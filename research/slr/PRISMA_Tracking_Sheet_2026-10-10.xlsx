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ISMA Counts" sheetId="2" state="visible" r:id="rId4"/>
    <sheet name="Lists" sheetId="3" state="visible" r:id="rId5"/>
    <sheet name="Search Log" sheetId="4" state="visible" r:id="rId6"/>
    <sheet name="Screening Log" sheetId="5" state="visible" r:id="rId7"/>
  </sheets>
  <definedNames>
    <definedName function="false" hidden="true" localSheetId="4" name="_xlnm._FilterDatabase" vbProcedure="false">'Screening Log'!$A$1:$P$801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<sst xmlns="http://schemas.openxmlformats.org/spreadsheetml/2006/main" count="220" uniqueCount="165">
  <si>
    <t xml:space="preserve">PRISMA tracking sheet</t>
  </si>
  <si>
    <t xml:space="preserve">Project</t>
  </si>
  <si>
    <t xml:space="preserve">Privacy-Preserving Heart Disease Risk Prediction Using FHE · COMP4101 Practicum · UDST</t>
  </si>
  <si>
    <t xml:space="preserve">Goes with</t>
  </si>
  <si>
    <t xml:space="preserve">SLR_Protocol_v3 (team roles, criteria I1–I5 and E1–E6)</t>
  </si>
  <si>
    <t xml:space="preserve">Colour legend</t>
  </si>
  <si>
    <t xml:space="preserve">Yellow cells</t>
  </si>
  <si>
    <t xml:space="preserve">Type here. These are the only cells anyone should edit.</t>
  </si>
  <si>
    <t xml:space="preserve">Grey cells</t>
  </si>
  <si>
    <t xml:space="preserve">Calculated automatically. Do not type over them.</t>
  </si>
  <si>
    <t xml:space="preserve">Pairs</t>
  </si>
  <si>
    <t xml:space="preserve">Pair 1</t>
  </si>
  <si>
    <t xml:space="preserve">Saif (screener 1) and Naif (screener 2): IEEE Xplore, Set 1, synthesis RQ1 and RQ4</t>
  </si>
  <si>
    <t xml:space="preserve">Pair 2</t>
  </si>
  <si>
    <t xml:space="preserve">Sarim (screener 1) and Hassan (screener 2): PubMed, Set 2, synthesis RQ3</t>
  </si>
  <si>
    <t xml:space="preserve">Pair 3</t>
  </si>
  <si>
    <t xml:space="preserve">Khalid (screener 1) and Abdullah (screener 2): Scopus, Set 3, synthesis RQ2</t>
  </si>
  <si>
    <t xml:space="preserve">Who fills what</t>
  </si>
  <si>
    <t xml:space="preserve">Search Log</t>
  </si>
  <si>
    <t xml:space="preserve">The first person in each pair types the search row on the day it is run; the partner re-runs it and ticks 'Confirmed by'.</t>
  </si>
  <si>
    <t xml:space="preserve">PRISMA Counts</t>
  </si>
  <si>
    <t xml:space="preserve">Hassan types 'Duplicate records removed' after RefWorks de-duplication. Everything else on that tab fills itself.</t>
  </si>
  <si>
    <t xml:space="preserve">Screening Log</t>
  </si>
  <si>
    <t xml:space="preserve">Hassan pastes one row per de-duplicated record and assigns it to Pair 1, 2 or 3 (split evenly, at random). Screener 1 fills column G and screener 2 fills column H, independently. If one says Exclude and the other does not, the row shows 'Pending' and the tie-breaker fills 'Resolved decision' (Naif for Pairs 2 and 3, Abdullah for Pair 1).</t>
  </si>
  <si>
    <t xml:space="preserve">Full text</t>
  </si>
  <si>
    <t xml:space="preserve">Each pair splits its surviving papers between its two members: put your name in 'Full-text reader'. The partner checks every exclusion.</t>
  </si>
  <si>
    <t xml:space="preserve">Snowballing</t>
  </si>
  <si>
    <t xml:space="preserve">Papers found in reference lists of included studies: add them with Source = Snowballing. They skip title/abstract screening and go straight to full text.</t>
  </si>
  <si>
    <t xml:space="preserve">Rules</t>
  </si>
  <si>
    <t xml:space="preserve">Include vs Maybe</t>
  </si>
  <si>
    <t xml:space="preserve">If neither screener says Exclude, the record goes to full text automatically. Only Exclude-vs-not disagreements need resolving.</t>
  </si>
  <si>
    <t xml:space="preserve">Full text not available</t>
  </si>
  <si>
    <t xml:space="preserve">Set 'Full text retrieved?' to No. That is exclusion E5, so leave the decision and code columns empty.</t>
  </si>
  <si>
    <t xml:space="preserve">Excluding at full text</t>
  </si>
  <si>
    <t xml:space="preserve">Set 'Full-text decision' to Exclude and pick a code (E1, E2, E3, E4 or E6). Every exclusion needs a code.</t>
  </si>
  <si>
    <t xml:space="preserve">Checks</t>
  </si>
  <si>
    <t xml:space="preserve">The PRISMA Counts tab shows OK or a warning beside each check. Fix warnings before the numbers go into a report.</t>
  </si>
  <si>
    <t xml:space="preserve">Example Screening Log row</t>
  </si>
  <si>
    <t xml:space="preserve">(format only; do not copy into the log)</t>
  </si>
  <si>
    <t xml:space="preserve">Record ID</t>
  </si>
  <si>
    <t xml:space="preserve">S-001</t>
  </si>
  <si>
    <t xml:space="preserve">Title</t>
  </si>
  <si>
    <t xml:space="preserve">Secure logistic regression based on homomorphic encryption: design and evaluation</t>
  </si>
  <si>
    <t xml:space="preserve">Authors</t>
  </si>
  <si>
    <t xml:space="preserve">Kim M; Song Y; Wang S; Xia Y; Jiang X</t>
  </si>
  <si>
    <t xml:space="preserve">Year</t>
  </si>
  <si>
    <t xml:space="preserve">2018</t>
  </si>
  <si>
    <t xml:space="preserve">Source</t>
  </si>
  <si>
    <t xml:space="preserve">Scopus</t>
  </si>
  <si>
    <t xml:space="preserve">Pair</t>
  </si>
  <si>
    <t xml:space="preserve">Screener 1 decision</t>
  </si>
  <si>
    <t xml:space="preserve">Include</t>
  </si>
  <si>
    <t xml:space="preserve">Screener 2 decision</t>
  </si>
  <si>
    <t xml:space="preserve">Agree?</t>
  </si>
  <si>
    <t xml:space="preserve">Yes</t>
  </si>
  <si>
    <t xml:space="preserve">Resolved decision</t>
  </si>
  <si>
    <t xml:space="preserve">Final T/A</t>
  </si>
  <si>
    <t xml:space="preserve">Full-text reader</t>
  </si>
  <si>
    <t xml:space="preserve">Khalid</t>
  </si>
  <si>
    <t xml:space="preserve">Full text retrieved?</t>
  </si>
  <si>
    <t xml:space="preserve">Full-text decision</t>
  </si>
  <si>
    <t xml:space="preserve">Exclusion code</t>
  </si>
  <si>
    <t xml:space="preserve">Notes</t>
  </si>
  <si>
    <t xml:space="preserve">Search-check paper</t>
  </si>
  <si>
    <t xml:space="preserve">PRISMA 2020 flow counts</t>
  </si>
  <si>
    <t xml:space="preserve">Labels follow the PRISMA 2020 flow diagram boxes, so each number can be copied straight into the diagram.</t>
  </si>
  <si>
    <t xml:space="preserve">Identification (databases)</t>
  </si>
  <si>
    <t xml:space="preserve">Records identified: IEEE Xplore</t>
  </si>
  <si>
    <t xml:space="preserve">From Search Log</t>
  </si>
  <si>
    <t xml:space="preserve">Records identified: PubMed</t>
  </si>
  <si>
    <t xml:space="preserve">Records identified: Scopus</t>
  </si>
  <si>
    <t xml:space="preserve">Records identified: total</t>
  </si>
  <si>
    <t xml:space="preserve">Duplicate records removed</t>
  </si>
  <si>
    <t xml:space="preserve">Hassan types this after RefWorks de-duplication</t>
  </si>
  <si>
    <t xml:space="preserve">Records to screen (total minus duplicates)</t>
  </si>
  <si>
    <t xml:space="preserve">Screening (databases)</t>
  </si>
  <si>
    <t xml:space="preserve">Records screened (rows in Screening Log)</t>
  </si>
  <si>
    <t xml:space="preserve">Should equal records to screen, see checks</t>
  </si>
  <si>
    <t xml:space="preserve">Records excluded at title/abstract</t>
  </si>
  <si>
    <t xml:space="preserve">Uses the final T/A decision</t>
  </si>
  <si>
    <t xml:space="preserve">Title/abstract decisions not final yet</t>
  </si>
  <si>
    <t xml:space="preserve">Waiting for a screener, or Pending a tie-break</t>
  </si>
  <si>
    <t xml:space="preserve">Reports sought for retrieval</t>
  </si>
  <si>
    <t xml:space="preserve">Include + Maybe go to full text</t>
  </si>
  <si>
    <t xml:space="preserve">Reports not retrieved (E5)</t>
  </si>
  <si>
    <t xml:space="preserve">Reports assessed for eligibility</t>
  </si>
  <si>
    <t xml:space="preserve">Reports excluded: E1 other privacy technique only</t>
  </si>
  <si>
    <t xml:space="preserve">Reports excluded: E2 not health data</t>
  </si>
  <si>
    <t xml:space="preserve">Reports excluded: E3 purely theoretical</t>
  </si>
  <si>
    <t xml:space="preserve">Reports excluded: E4 survey, review, thesis, etc.</t>
  </si>
  <si>
    <t xml:space="preserve">Reports excluded: E6 duplicate or earlier version</t>
  </si>
  <si>
    <t xml:space="preserve">Reports excluded at full text: total</t>
  </si>
  <si>
    <t xml:space="preserve">Studies included from databases</t>
  </si>
  <si>
    <t xml:space="preserve">Full-text decisions still pending</t>
  </si>
  <si>
    <t xml:space="preserve">Not decided yet, or excluded without a code</t>
  </si>
  <si>
    <t xml:space="preserve">Other methods (backward snowballing)</t>
  </si>
  <si>
    <t xml:space="preserve">Records identified from reference lists</t>
  </si>
  <si>
    <t xml:space="preserve">Source = Snowballing</t>
  </si>
  <si>
    <t xml:space="preserve">Reports not retrieved</t>
  </si>
  <si>
    <t xml:space="preserve">Reports excluded</t>
  </si>
  <si>
    <t xml:space="preserve">Reasons are in the Screening Log</t>
  </si>
  <si>
    <t xml:space="preserve">Studies included from snowballing</t>
  </si>
  <si>
    <t xml:space="preserve">Included</t>
  </si>
  <si>
    <t xml:space="preserve">Total studies included in review</t>
  </si>
  <si>
    <t xml:space="preserve">This is the number your synthesis is based on</t>
  </si>
  <si>
    <t xml:space="preserve">Screening agreement (title/abstract, both screeners)</t>
  </si>
  <si>
    <t xml:space="preserve">Records with both decisions</t>
  </si>
  <si>
    <t xml:space="preserve">Agreements (same decision)</t>
  </si>
  <si>
    <t xml:space="preserve">Percent agreement</t>
  </si>
  <si>
    <t xml:space="preserve">Report this in the method section</t>
  </si>
  <si>
    <t xml:space="preserve">Disagreements settled by tie-breaker</t>
  </si>
  <si>
    <t xml:space="preserve">Workload</t>
  </si>
  <si>
    <t xml:space="preserve">Pair 1 (Saif, Naif): records in set</t>
  </si>
  <si>
    <t xml:space="preserve">Pair 2 (Sarim, Hassan): records in set</t>
  </si>
  <si>
    <t xml:space="preserve">Pair 3 (Khalid, Abdullah): records in set</t>
  </si>
  <si>
    <t xml:space="preserve">Full-text papers: Saif</t>
  </si>
  <si>
    <t xml:space="preserve">Full-text papers: Naif</t>
  </si>
  <si>
    <t xml:space="preserve">Full-text papers: Sarim</t>
  </si>
  <si>
    <t xml:space="preserve">Full-text papers: Hassan</t>
  </si>
  <si>
    <t xml:space="preserve">Full-text papers: Khalid</t>
  </si>
  <si>
    <t xml:space="preserve">Full-text papers: Abdullah</t>
  </si>
  <si>
    <t xml:space="preserve">Screening Log rows match records to screen</t>
  </si>
  <si>
    <t xml:space="preserve">Every record assigned to a pair</t>
  </si>
  <si>
    <t xml:space="preserve">Both screeners finished</t>
  </si>
  <si>
    <t xml:space="preserve">No unresolved disagreements</t>
  </si>
  <si>
    <t xml:space="preserve">Every full-text exclusion has a code</t>
  </si>
  <si>
    <t xml:space="preserve">Every full-text paper has a reader</t>
  </si>
  <si>
    <t xml:space="preserve">Meaning (from protocol)</t>
  </si>
  <si>
    <t xml:space="preserve">Sources</t>
  </si>
  <si>
    <t xml:space="preserve">People</t>
  </si>
  <si>
    <t xml:space="preserve">Screener 1</t>
  </si>
  <si>
    <t xml:space="preserve">Screener 2</t>
  </si>
  <si>
    <t xml:space="preserve">Database</t>
  </si>
  <si>
    <t xml:space="preserve">Synthesis</t>
  </si>
  <si>
    <t xml:space="preserve">E1</t>
  </si>
  <si>
    <t xml:space="preserve">Other privacy technique only, no homomorphic encryption (hybrids with HE are kept)</t>
  </si>
  <si>
    <t xml:space="preserve">IEEE Xplore</t>
  </si>
  <si>
    <t xml:space="preserve">Saif</t>
  </si>
  <si>
    <t xml:space="preserve">Naif</t>
  </si>
  <si>
    <t xml:space="preserve">RQ1, RQ4</t>
  </si>
  <si>
    <t xml:space="preserve">E2</t>
  </si>
  <si>
    <t xml:space="preserve">Not applied to health data</t>
  </si>
  <si>
    <t xml:space="preserve">PubMed</t>
  </si>
  <si>
    <t xml:space="preserve">Sarim</t>
  </si>
  <si>
    <t xml:space="preserve">Hassan</t>
  </si>
  <si>
    <t xml:space="preserve">PubMed</t>
  </si>
  <si>
    <t xml:space="preserve">RQ3</t>
  </si>
  <si>
    <t xml:space="preserve">E3</t>
  </si>
  <si>
    <t xml:space="preserve">Purely theoretical, no implementation or results</t>
  </si>
  <si>
    <t xml:space="preserve">Abdullah</t>
  </si>
  <si>
    <t xml:space="preserve">RQ2</t>
  </si>
  <si>
    <t xml:space="preserve">E4</t>
  </si>
  <si>
    <t xml:space="preserve">Survey, review, editorial, poster abstract, or thesis</t>
  </si>
  <si>
    <t xml:space="preserve">E5</t>
  </si>
  <si>
    <t xml:space="preserve">Full text not available through UDST library (use 'Full text retrieved?' = No)</t>
  </si>
  <si>
    <t xml:space="preserve">E6</t>
  </si>
  <si>
    <t xml:space="preserve">Duplicate or earlier version of an included study</t>
  </si>
  <si>
    <t xml:space="preserve">Run by</t>
  </si>
  <si>
    <t xml:space="preserve">Confirmed by</t>
  </si>
  <si>
    <t xml:space="preserve">Date run</t>
  </si>
  <si>
    <t xml:space="preserve">Exact string used</t>
  </si>
  <si>
    <t xml:space="preserve">Filters applied</t>
  </si>
  <si>
    <t xml:space="preserve">Results</t>
  </si>
  <si>
    <t xml:space="preserve">Notes / changes</t>
  </si>
  <si>
    <t xml:space="preserve">Total identified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</si>
</sst>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dd\ mmm\ 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F4CC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3"/>
      <c r="B4" s="2"/>
    </row>
    <row r="5" customFormat="false" ht="15" hidden="false" customHeight="false" outlineLevel="0" collapsed="false">
      <c r="A5" s="4" t="s">
        <v>5</v>
      </c>
      <c r="B5" s="2"/>
    </row>
    <row r="6" customFormat="false" ht="15" hidden="false" customHeight="false" outlineLevel="0" collapsed="false">
      <c r="A6" s="5" t="s">
        <v>6</v>
      </c>
      <c r="B6" s="2" t="s">
        <v>7</v>
      </c>
    </row>
    <row r="7" customFormat="false" ht="15" hidden="false" customHeight="false" outlineLevel="0" collapsed="false">
      <c r="A7" s="6" t="s">
        <v>8</v>
      </c>
      <c r="B7" s="2" t="s">
        <v>9</v>
      </c>
    </row>
    <row r="8" customFormat="false" ht="15" hidden="false" customHeight="false" outlineLevel="0" collapsed="false">
      <c r="A8" s="3"/>
      <c r="B8" s="2"/>
    </row>
    <row r="9" customFormat="false" ht="15" hidden="false" customHeight="false" outlineLevel="0" collapsed="false">
      <c r="A9" s="4" t="s">
        <v>10</v>
      </c>
      <c r="B9" s="2"/>
    </row>
    <row r="10" customFormat="false" ht="15" hidden="false" customHeight="false" outlineLevel="0" collapsed="false">
      <c r="A10" s="3" t="s">
        <v>11</v>
      </c>
      <c r="B10" s="2" t="s">
        <v>12</v>
      </c>
    </row>
    <row r="11" customFormat="false" ht="15" hidden="false" customHeight="false" outlineLevel="0" collapsed="false">
      <c r="A11" s="3" t="s">
        <v>13</v>
      </c>
      <c r="B11" s="2" t="s">
        <v>14</v>
      </c>
    </row>
    <row r="12" customFormat="false" ht="15" hidden="false" customHeight="false" outlineLevel="0" collapsed="false">
      <c r="A12" s="3" t="s">
        <v>15</v>
      </c>
      <c r="B12" s="2" t="s">
        <v>16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4" t="s">
        <v>17</v>
      </c>
      <c r="B14" s="2"/>
    </row>
    <row r="15" customFormat="false" ht="15" hidden="false" customHeight="false" outlineLevel="0" collapsed="false">
      <c r="A15" s="3" t="s">
        <v>18</v>
      </c>
      <c r="B15" s="2" t="s">
        <v>19</v>
      </c>
    </row>
    <row r="16" customFormat="false" ht="15" hidden="false" customHeight="false" outlineLevel="0" collapsed="false">
      <c r="A16" s="3" t="s">
        <v>20</v>
      </c>
      <c r="B16" s="2" t="s">
        <v>21</v>
      </c>
    </row>
    <row r="17" customFormat="false" ht="35.05" hidden="false" customHeight="false" outlineLevel="0" collapsed="false">
      <c r="A17" s="3" t="s">
        <v>22</v>
      </c>
      <c r="B17" s="2" t="s">
        <v>23</v>
      </c>
    </row>
    <row r="18" customFormat="false" ht="23.85" hidden="false" customHeight="false" outlineLevel="0" collapsed="false">
      <c r="A18" s="3" t="s">
        <v>24</v>
      </c>
      <c r="B18" s="2" t="s">
        <v>25</v>
      </c>
    </row>
    <row r="19" customFormat="false" ht="23.85" hidden="false" customHeight="false" outlineLevel="0" collapsed="false">
      <c r="A19" s="3" t="s">
        <v>26</v>
      </c>
      <c r="B19" s="2" t="s">
        <v>27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4" t="s">
        <v>28</v>
      </c>
      <c r="B21" s="2"/>
    </row>
    <row r="22" customFormat="false" ht="23.85" hidden="false" customHeight="false" outlineLevel="0" collapsed="false">
      <c r="A22" s="3" t="s">
        <v>29</v>
      </c>
      <c r="B22" s="2" t="s">
        <v>30</v>
      </c>
    </row>
    <row r="23" customFormat="false" ht="15" hidden="false" customHeight="false" outlineLevel="0" collapsed="false">
      <c r="A23" s="3" t="s">
        <v>31</v>
      </c>
      <c r="B23" s="2" t="s">
        <v>32</v>
      </c>
    </row>
    <row r="24" customFormat="false" ht="15" hidden="false" customHeight="false" outlineLevel="0" collapsed="false">
      <c r="A24" s="3" t="s">
        <v>33</v>
      </c>
      <c r="B24" s="2" t="s">
        <v>34</v>
      </c>
    </row>
    <row r="25" customFormat="false" ht="23.85" hidden="false" customHeight="false" outlineLevel="0" collapsed="false">
      <c r="A25" s="3" t="s">
        <v>35</v>
      </c>
      <c r="B25" s="2" t="s">
        <v>36</v>
      </c>
    </row>
    <row r="26" customFormat="false" ht="15" hidden="false" customHeight="false" outlineLevel="0" collapsed="false">
      <c r="A26" s="3"/>
      <c r="B26" s="2"/>
    </row>
    <row r="27" customFormat="false" ht="15" hidden="false" customHeight="false" outlineLevel="0" collapsed="false">
      <c r="A27" s="3" t="s">
        <v>37</v>
      </c>
      <c r="B27" s="2" t="s">
        <v>38</v>
      </c>
    </row>
    <row r="28" customFormat="false" ht="15" hidden="false" customHeight="false" outlineLevel="0" collapsed="false">
      <c r="A28" s="7" t="s">
        <v>39</v>
      </c>
      <c r="B28" s="8" t="s">
        <v>40</v>
      </c>
    </row>
    <row r="29" customFormat="false" ht="15" hidden="false" customHeight="false" outlineLevel="0" collapsed="false">
      <c r="A29" s="7" t="s">
        <v>41</v>
      </c>
      <c r="B29" s="8" t="s">
        <v>42</v>
      </c>
    </row>
    <row r="30" customFormat="false" ht="15" hidden="false" customHeight="false" outlineLevel="0" collapsed="false">
      <c r="A30" s="7" t="s">
        <v>43</v>
      </c>
      <c r="B30" s="8" t="s">
        <v>44</v>
      </c>
    </row>
    <row r="31" customFormat="false" ht="15" hidden="false" customHeight="false" outlineLevel="0" collapsed="false">
      <c r="A31" s="7" t="s">
        <v>45</v>
      </c>
      <c r="B31" s="8" t="s">
        <v>46</v>
      </c>
    </row>
    <row r="32" customFormat="false" ht="15" hidden="false" customHeight="false" outlineLevel="0" collapsed="false">
      <c r="A32" s="7" t="s">
        <v>47</v>
      </c>
      <c r="B32" s="8" t="s">
        <v>48</v>
      </c>
    </row>
    <row r="33" customFormat="false" ht="15" hidden="false" customHeight="false" outlineLevel="0" collapsed="false">
      <c r="A33" s="7" t="s">
        <v>49</v>
      </c>
      <c r="B33" s="8" t="s">
        <v>15</v>
      </c>
    </row>
    <row r="34" customFormat="false" ht="15" hidden="false" customHeight="false" outlineLevel="0" collapsed="false">
      <c r="A34" s="7" t="s">
        <v>50</v>
      </c>
      <c r="B34" s="8" t="s">
        <v>51</v>
      </c>
    </row>
    <row r="35" customFormat="false" ht="15" hidden="false" customHeight="false" outlineLevel="0" collapsed="false">
      <c r="A35" s="7" t="s">
        <v>52</v>
      </c>
      <c r="B35" s="8" t="s">
        <v>51</v>
      </c>
    </row>
    <row r="36" customFormat="false" ht="15" hidden="false" customHeight="false" outlineLevel="0" collapsed="false">
      <c r="A36" s="7" t="s">
        <v>53</v>
      </c>
      <c r="B36" s="8" t="s">
        <v>54</v>
      </c>
    </row>
    <row r="37" customFormat="false" ht="15" hidden="false" customHeight="false" outlineLevel="0" collapsed="false">
      <c r="A37" s="7" t="s">
        <v>55</v>
      </c>
      <c r="B37" s="8"/>
    </row>
    <row r="38" customFormat="false" ht="15" hidden="false" customHeight="false" outlineLevel="0" collapsed="false">
      <c r="A38" s="7" t="s">
        <v>56</v>
      </c>
      <c r="B38" s="8" t="s">
        <v>51</v>
      </c>
    </row>
    <row r="39" customFormat="false" ht="15" hidden="false" customHeight="false" outlineLevel="0" collapsed="false">
      <c r="A39" s="7" t="s">
        <v>57</v>
      </c>
      <c r="B39" s="8" t="s">
        <v>58</v>
      </c>
    </row>
    <row r="40" customFormat="false" ht="15" hidden="false" customHeight="false" outlineLevel="0" collapsed="false">
      <c r="A40" s="7" t="s">
        <v>59</v>
      </c>
      <c r="B40" s="8" t="s">
        <v>54</v>
      </c>
    </row>
    <row r="41" customFormat="false" ht="15" hidden="false" customHeight="false" outlineLevel="0" collapsed="false">
      <c r="A41" s="7" t="s">
        <v>60</v>
      </c>
      <c r="B41" s="8" t="s">
        <v>51</v>
      </c>
    </row>
    <row r="42" customFormat="false" ht="15" hidden="false" customHeight="false" outlineLevel="0" collapsed="false">
      <c r="A42" s="7" t="s">
        <v>61</v>
      </c>
      <c r="B42" s="8"/>
    </row>
    <row r="43" customFormat="false" ht="15" hidden="false" customHeight="false" outlineLevel="0" collapsed="false">
      <c r="A43" s="7" t="s">
        <v>62</v>
      </c>
      <c r="B43" s="8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9" t="s">
        <v>65</v>
      </c>
    </row>
    <row r="4" customFormat="false" ht="15" hidden="false" customHeight="false" outlineLevel="0" collapsed="false">
      <c r="A4" s="10" t="s">
        <v>66</v>
      </c>
      <c r="B4" s="10"/>
      <c r="C4" s="10"/>
    </row>
    <row r="5" customFormat="false" ht="15" hidden="false" customHeight="false" outlineLevel="0" collapsed="false">
      <c r="A5" s="11" t="s">
        <v>67</v>
      </c>
      <c r="B5" s="12" t="n">
        <f aca="false">'Search Log'!H2</f>
        <v>337</v>
      </c>
      <c r="C5" s="13" t="s">
        <v>68</v>
      </c>
    </row>
    <row r="6" customFormat="false" ht="15" hidden="false" customHeight="false" outlineLevel="0" collapsed="false">
      <c r="A6" s="11" t="s">
        <v>69</v>
      </c>
      <c r="B6" s="12" t="n">
        <f aca="false">'Search Log'!H3</f>
        <v>172</v>
      </c>
      <c r="C6" s="13" t="s">
        <v>68</v>
      </c>
    </row>
    <row r="7" customFormat="false" ht="15" hidden="false" customHeight="false" outlineLevel="0" collapsed="false">
      <c r="A7" s="11" t="s">
        <v>70</v>
      </c>
      <c r="B7" s="12" t="n">
        <f aca="false">'Search Log'!H4</f>
        <v>1017</v>
      </c>
      <c r="C7" s="13" t="s">
        <v>68</v>
      </c>
    </row>
    <row r="8" customFormat="false" ht="15" hidden="false" customHeight="false" outlineLevel="0" collapsed="false">
      <c r="A8" s="11" t="s">
        <v>71</v>
      </c>
      <c r="B8" s="12" t="n">
        <f aca="false">SUM(B5:B7)</f>
        <v>1526</v>
      </c>
      <c r="C8" s="13"/>
    </row>
    <row r="9" customFormat="false" ht="15" hidden="false" customHeight="false" outlineLevel="0" collapsed="false">
      <c r="A9" s="11" t="s">
        <v>72</v>
      </c>
      <c r="B9" s="14"/>
      <c r="C9" s="13" t="s">
        <v>73</v>
      </c>
    </row>
    <row r="10" customFormat="false" ht="15" hidden="false" customHeight="false" outlineLevel="0" collapsed="false">
      <c r="A10" s="11" t="s">
        <v>74</v>
      </c>
      <c r="B10" s="12" t="n">
        <f aca="false">B8-B9</f>
        <v>1526</v>
      </c>
      <c r="C10" s="13"/>
    </row>
    <row r="11" customFormat="false" ht="15" hidden="false" customHeight="false" outlineLevel="0" collapsed="false">
      <c r="A11" s="10" t="s">
        <v>75</v>
      </c>
      <c r="B11" s="10"/>
      <c r="C11" s="10"/>
    </row>
    <row r="12" customFormat="false" ht="15" hidden="false" customHeight="false" outlineLevel="0" collapsed="false">
      <c r="A12" s="11" t="s">
        <v>76</v>
      </c>
      <c r="B12" s="12" t="n">
        <f aca="false">COUNTIFS('Screening Log'!$A$2:$A$801,"&lt;&gt;",'Screening Log'!$E$2:$E$801,"&lt;&gt;Snowballing")</f>
        <v>0</v>
      </c>
      <c r="C12" s="13" t="s">
        <v>77</v>
      </c>
    </row>
    <row r="13" customFormat="false" ht="15" hidden="false" customHeight="false" outlineLevel="0" collapsed="false">
      <c r="A13" s="11" t="s">
        <v>78</v>
      </c>
      <c r="B13" s="12" t="n">
        <f aca="false">COUNTIFS('Screening Log'!$A$2:$A$801,"&lt;&gt;",'Screening Log'!$E$2:$E$801,"&lt;&gt;Snowballing",'Screening Log'!$K$2:$K$801,"Exclude")</f>
        <v>0</v>
      </c>
      <c r="C13" s="13" t="s">
        <v>79</v>
      </c>
    </row>
    <row r="14" customFormat="false" ht="15" hidden="false" customHeight="false" outlineLevel="0" collapsed="false">
      <c r="A14" s="11" t="s">
        <v>80</v>
      </c>
      <c r="B14" s="12" t="n">
        <f aca="false">B12-B13-B15</f>
        <v>0</v>
      </c>
      <c r="C14" s="13" t="s">
        <v>81</v>
      </c>
    </row>
    <row r="15" customFormat="false" ht="15" hidden="false" customHeight="false" outlineLevel="0" collapsed="false">
      <c r="A15" s="11" t="s">
        <v>82</v>
      </c>
      <c r="B15" s="12" t="n">
        <f aca="false">COUNTIFS('Screening Log'!$A$2:$A$801,"&lt;&gt;",'Screening Log'!$E$2:$E$801,"&lt;&gt;Snowballing",'Screening Log'!$K$2:$K$801,"Include")+COUNTIFS('Screening Log'!$A$2:$A$801,"&lt;&gt;",'Screening Log'!$E$2:$E$801,"&lt;&gt;Snowballing",'Screening Log'!$K$2:$K$801,"Maybe")</f>
        <v>0</v>
      </c>
      <c r="C15" s="13" t="s">
        <v>83</v>
      </c>
    </row>
    <row r="16" customFormat="false" ht="15" hidden="false" customHeight="false" outlineLevel="0" collapsed="false">
      <c r="A16" s="11" t="s">
        <v>84</v>
      </c>
      <c r="B16" s="12" t="n">
        <f aca="false">COUNTIFS('Screening Log'!$A$2:$A$801,"&lt;&gt;",'Screening Log'!$E$2:$E$801,"&lt;&gt;Snowballing",'Screening Log'!$M$2:$M$801,"No")</f>
        <v>0</v>
      </c>
      <c r="C16" s="13"/>
    </row>
    <row r="17" customFormat="false" ht="15" hidden="false" customHeight="false" outlineLevel="0" collapsed="false">
      <c r="A17" s="11" t="s">
        <v>85</v>
      </c>
      <c r="B17" s="12" t="n">
        <f aca="false">B15-B16</f>
        <v>0</v>
      </c>
      <c r="C17" s="13"/>
    </row>
    <row r="18" customFormat="false" ht="15" hidden="false" customHeight="false" outlineLevel="0" collapsed="false">
      <c r="A18" s="11" t="s">
        <v>86</v>
      </c>
      <c r="B18" s="12" t="n">
        <f aca="false">COUNTIFS('Screening Log'!$A$2:$A$801,"&lt;&gt;",'Screening Log'!$E$2:$E$801,"&lt;&gt;Snowballing",'Screening Log'!$N$2:$N$801,"Exclude",'Screening Log'!$O$2:$O$801,"E1")</f>
        <v>0</v>
      </c>
      <c r="C18" s="13"/>
    </row>
    <row r="19" customFormat="false" ht="15" hidden="false" customHeight="false" outlineLevel="0" collapsed="false">
      <c r="A19" s="11" t="s">
        <v>87</v>
      </c>
      <c r="B19" s="12" t="n">
        <f aca="false">COUNTIFS('Screening Log'!$A$2:$A$801,"&lt;&gt;",'Screening Log'!$E$2:$E$801,"&lt;&gt;Snowballing",'Screening Log'!$N$2:$N$801,"Exclude",'Screening Log'!$O$2:$O$801,"E2")</f>
        <v>0</v>
      </c>
      <c r="C19" s="13"/>
    </row>
    <row r="20" customFormat="false" ht="15" hidden="false" customHeight="false" outlineLevel="0" collapsed="false">
      <c r="A20" s="11" t="s">
        <v>88</v>
      </c>
      <c r="B20" s="12" t="n">
        <f aca="false">COUNTIFS('Screening Log'!$A$2:$A$801,"&lt;&gt;",'Screening Log'!$E$2:$E$801,"&lt;&gt;Snowballing",'Screening Log'!$N$2:$N$801,"Exclude",'Screening Log'!$O$2:$O$801,"E3")</f>
        <v>0</v>
      </c>
      <c r="C20" s="13"/>
    </row>
    <row r="21" customFormat="false" ht="15" hidden="false" customHeight="false" outlineLevel="0" collapsed="false">
      <c r="A21" s="11" t="s">
        <v>89</v>
      </c>
      <c r="B21" s="12" t="n">
        <f aca="false">COUNTIFS('Screening Log'!$A$2:$A$801,"&lt;&gt;",'Screening Log'!$E$2:$E$801,"&lt;&gt;Snowballing",'Screening Log'!$N$2:$N$801,"Exclude",'Screening Log'!$O$2:$O$801,"E4")</f>
        <v>0</v>
      </c>
      <c r="C21" s="13"/>
    </row>
    <row r="22" customFormat="false" ht="15" hidden="false" customHeight="false" outlineLevel="0" collapsed="false">
      <c r="A22" s="11" t="s">
        <v>90</v>
      </c>
      <c r="B22" s="12" t="n">
        <f aca="false">COUNTIFS('Screening Log'!$A$2:$A$801,"&lt;&gt;",'Screening Log'!$E$2:$E$801,"&lt;&gt;Snowballing",'Screening Log'!$N$2:$N$801,"Exclude",'Screening Log'!$O$2:$O$801,"E6")</f>
        <v>0</v>
      </c>
      <c r="C22" s="13"/>
    </row>
    <row r="23" customFormat="false" ht="15" hidden="false" customHeight="false" outlineLevel="0" collapsed="false">
      <c r="A23" s="11" t="s">
        <v>91</v>
      </c>
      <c r="B23" s="12" t="n">
        <f aca="false">SUM(B18:B22)</f>
        <v>0</v>
      </c>
      <c r="C23" s="13"/>
    </row>
    <row r="24" customFormat="false" ht="15" hidden="false" customHeight="false" outlineLevel="0" collapsed="false">
      <c r="A24" s="11" t="s">
        <v>92</v>
      </c>
      <c r="B24" s="12" t="n">
        <f aca="false">COUNTIFS('Screening Log'!$A$2:$A$801,"&lt;&gt;",'Screening Log'!$E$2:$E$801,"&lt;&gt;Snowballing",'Screening Log'!$N$2:$N$801,"Include")</f>
        <v>0</v>
      </c>
      <c r="C24" s="13"/>
    </row>
    <row r="25" customFormat="false" ht="15" hidden="false" customHeight="false" outlineLevel="0" collapsed="false">
      <c r="A25" s="11" t="s">
        <v>93</v>
      </c>
      <c r="B25" s="12" t="n">
        <f aca="false">B17-B23-B24</f>
        <v>0</v>
      </c>
      <c r="C25" s="13" t="s">
        <v>94</v>
      </c>
    </row>
    <row r="26" customFormat="false" ht="15" hidden="false" customHeight="false" outlineLevel="0" collapsed="false">
      <c r="A26" s="10" t="s">
        <v>95</v>
      </c>
      <c r="B26" s="10"/>
      <c r="C26" s="10"/>
    </row>
    <row r="27" customFormat="false" ht="15" hidden="false" customHeight="false" outlineLevel="0" collapsed="false">
      <c r="A27" s="11" t="s">
        <v>96</v>
      </c>
      <c r="B27" s="12" t="n">
        <f aca="false">COUNTIFS('Screening Log'!$A$2:$A$801,"&lt;&gt;",'Screening Log'!$E$2:$E$801,"Snowballing")</f>
        <v>0</v>
      </c>
      <c r="C27" s="13" t="s">
        <v>97</v>
      </c>
    </row>
    <row r="28" customFormat="false" ht="15" hidden="false" customHeight="false" outlineLevel="0" collapsed="false">
      <c r="A28" s="11" t="s">
        <v>98</v>
      </c>
      <c r="B28" s="12" t="n">
        <f aca="false">COUNTIFS('Screening Log'!$A$2:$A$801,"&lt;&gt;",'Screening Log'!$E$2:$E$801,"Snowballing",'Screening Log'!$M$2:$M$801,"No")</f>
        <v>0</v>
      </c>
      <c r="C28" s="13"/>
    </row>
    <row r="29" customFormat="false" ht="15" hidden="false" customHeight="false" outlineLevel="0" collapsed="false">
      <c r="A29" s="11" t="s">
        <v>85</v>
      </c>
      <c r="B29" s="12" t="n">
        <f aca="false">B27-B28</f>
        <v>0</v>
      </c>
      <c r="C29" s="13"/>
    </row>
    <row r="30" customFormat="false" ht="15" hidden="false" customHeight="false" outlineLevel="0" collapsed="false">
      <c r="A30" s="11" t="s">
        <v>99</v>
      </c>
      <c r="B30" s="12" t="n">
        <f aca="false">COUNTIFS('Screening Log'!$A$2:$A$801,"&lt;&gt;",'Screening Log'!$E$2:$E$801,"Snowballing",'Screening Log'!$N$2:$N$801,"Exclude")</f>
        <v>0</v>
      </c>
      <c r="C30" s="13" t="s">
        <v>100</v>
      </c>
    </row>
    <row r="31" customFormat="false" ht="15" hidden="false" customHeight="false" outlineLevel="0" collapsed="false">
      <c r="A31" s="11" t="s">
        <v>101</v>
      </c>
      <c r="B31" s="12" t="n">
        <f aca="false">COUNTIFS('Screening Log'!$A$2:$A$801,"&lt;&gt;",'Screening Log'!$E$2:$E$801,"Snowballing",'Screening Log'!$N$2:$N$801,"Include")</f>
        <v>0</v>
      </c>
      <c r="C31" s="13"/>
    </row>
    <row r="32" customFormat="false" ht="15" hidden="false" customHeight="false" outlineLevel="0" collapsed="false">
      <c r="A32" s="10" t="s">
        <v>102</v>
      </c>
      <c r="B32" s="10"/>
      <c r="C32" s="10"/>
    </row>
    <row r="33" customFormat="false" ht="15" hidden="false" customHeight="false" outlineLevel="0" collapsed="false">
      <c r="A33" s="11" t="s">
        <v>103</v>
      </c>
      <c r="B33" s="15" t="n">
        <f aca="false">B24+B31</f>
        <v>0</v>
      </c>
      <c r="C33" s="13" t="s">
        <v>104</v>
      </c>
    </row>
    <row r="34" customFormat="false" ht="15" hidden="false" customHeight="false" outlineLevel="0" collapsed="false">
      <c r="A34" s="10" t="s">
        <v>105</v>
      </c>
      <c r="B34" s="10"/>
      <c r="C34" s="10"/>
    </row>
    <row r="35" customFormat="false" ht="15" hidden="false" customHeight="false" outlineLevel="0" collapsed="false">
      <c r="A35" s="11" t="s">
        <v>106</v>
      </c>
      <c r="B35" s="12" t="n">
        <f aca="false">COUNTIFS('Screening Log'!$A$2:$A$801,"&lt;&gt;",'Screening Log'!$E$2:$E$801,"&lt;&gt;Snowballing",'Screening Log'!$G$2:$G$801,"&lt;&gt;",'Screening Log'!$H$2:$H$801,"&lt;&gt;")</f>
        <v>0</v>
      </c>
      <c r="C35" s="13"/>
    </row>
    <row r="36" customFormat="false" ht="15" hidden="false" customHeight="false" outlineLevel="0" collapsed="false">
      <c r="A36" s="11" t="s">
        <v>107</v>
      </c>
      <c r="B36" s="12" t="n">
        <f aca="false">COUNTIFS('Screening Log'!$I$2:$I$801,"Yes")</f>
        <v>0</v>
      </c>
      <c r="C36" s="13"/>
    </row>
    <row r="37" customFormat="false" ht="15" hidden="false" customHeight="false" outlineLevel="0" collapsed="false">
      <c r="A37" s="11" t="s">
        <v>108</v>
      </c>
      <c r="B37" s="16" t="n">
        <f aca="false">IF(B35=0,0,B36/B35)</f>
        <v>0</v>
      </c>
      <c r="C37" s="13" t="s">
        <v>109</v>
      </c>
    </row>
    <row r="38" customFormat="false" ht="15" hidden="false" customHeight="false" outlineLevel="0" collapsed="false">
      <c r="A38" s="11" t="s">
        <v>110</v>
      </c>
      <c r="B38" s="12" t="n">
        <f aca="false">COUNTIFS('Screening Log'!$K$2:$K$801,"&lt;&gt;Pending",'Screening Log'!$G$2:$G$801,"Exclude",'Screening Log'!$H$2:$H$801,"&lt;&gt;Exclude",'Screening Log'!$H$2:$H$801,"&lt;&gt;")+COUNTIFS('Screening Log'!$K$2:$K$801,"&lt;&gt;Pending",'Screening Log'!$H$2:$H$801,"Exclude",'Screening Log'!$G$2:$G$801,"&lt;&gt;Exclude",'Screening Log'!$G$2:$G$801,"&lt;&gt;")</f>
        <v>0</v>
      </c>
      <c r="C38" s="13"/>
    </row>
    <row r="39" customFormat="false" ht="15" hidden="false" customHeight="false" outlineLevel="0" collapsed="false">
      <c r="A39" s="10" t="s">
        <v>111</v>
      </c>
      <c r="B39" s="10"/>
      <c r="C39" s="10"/>
    </row>
    <row r="40" customFormat="false" ht="15" hidden="false" customHeight="false" outlineLevel="0" collapsed="false">
      <c r="A40" s="11" t="s">
        <v>112</v>
      </c>
      <c r="B40" s="12" t="n">
        <f aca="false">COUNTIFS('Screening Log'!$A$2:$A$801,"&lt;&gt;",'Screening Log'!$E$2:$E$801,"&lt;&gt;Snowballing",'Screening Log'!$F$2:$F$801,"Pair 1")</f>
        <v>0</v>
      </c>
      <c r="C40" s="13"/>
    </row>
    <row r="41" customFormat="false" ht="15" hidden="false" customHeight="false" outlineLevel="0" collapsed="false">
      <c r="A41" s="11" t="s">
        <v>113</v>
      </c>
      <c r="B41" s="12" t="n">
        <f aca="false">COUNTIFS('Screening Log'!$A$2:$A$801,"&lt;&gt;",'Screening Log'!$E$2:$E$801,"&lt;&gt;Snowballing",'Screening Log'!$F$2:$F$801,"Pair 2")</f>
        <v>0</v>
      </c>
      <c r="C41" s="13"/>
    </row>
    <row r="42" customFormat="false" ht="15" hidden="false" customHeight="false" outlineLevel="0" collapsed="false">
      <c r="A42" s="11" t="s">
        <v>114</v>
      </c>
      <c r="B42" s="12" t="n">
        <f aca="false">COUNTIFS('Screening Log'!$A$2:$A$801,"&lt;&gt;",'Screening Log'!$E$2:$E$801,"&lt;&gt;Snowballing",'Screening Log'!$F$2:$F$801,"Pair 3")</f>
        <v>0</v>
      </c>
      <c r="C42" s="13"/>
    </row>
    <row r="43" customFormat="false" ht="15" hidden="false" customHeight="false" outlineLevel="0" collapsed="false">
      <c r="A43" s="11" t="s">
        <v>115</v>
      </c>
      <c r="B43" s="12" t="n">
        <f aca="false">COUNTIFS('Screening Log'!$L$2:$L$801,"Saif")</f>
        <v>0</v>
      </c>
      <c r="C43" s="13"/>
    </row>
    <row r="44" customFormat="false" ht="15" hidden="false" customHeight="false" outlineLevel="0" collapsed="false">
      <c r="A44" s="11" t="s">
        <v>116</v>
      </c>
      <c r="B44" s="12" t="n">
        <f aca="false">COUNTIFS('Screening Log'!$L$2:$L$801,"Naif")</f>
        <v>0</v>
      </c>
      <c r="C44" s="13"/>
    </row>
    <row r="45" customFormat="false" ht="15" hidden="false" customHeight="false" outlineLevel="0" collapsed="false">
      <c r="A45" s="11" t="s">
        <v>117</v>
      </c>
      <c r="B45" s="12" t="n">
        <f aca="false">COUNTIFS('Screening Log'!$L$2:$L$801,"Sarim")</f>
        <v>0</v>
      </c>
      <c r="C45" s="13"/>
    </row>
    <row r="46" customFormat="false" ht="15" hidden="false" customHeight="false" outlineLevel="0" collapsed="false">
      <c r="A46" s="11" t="s">
        <v>118</v>
      </c>
      <c r="B46" s="12" t="n">
        <f aca="false">COUNTIFS('Screening Log'!$L$2:$L$801,"Hassan")</f>
        <v>0</v>
      </c>
      <c r="C46" s="13"/>
    </row>
    <row r="47" customFormat="false" ht="15" hidden="false" customHeight="false" outlineLevel="0" collapsed="false">
      <c r="A47" s="11" t="s">
        <v>119</v>
      </c>
      <c r="B47" s="12" t="n">
        <f aca="false">COUNTIFS('Screening Log'!$L$2:$L$801,"Khalid")</f>
        <v>0</v>
      </c>
      <c r="C47" s="13"/>
    </row>
    <row r="48" customFormat="false" ht="15" hidden="false" customHeight="false" outlineLevel="0" collapsed="false">
      <c r="A48" s="11" t="s">
        <v>120</v>
      </c>
      <c r="B48" s="12" t="n">
        <f aca="false">COUNTIFS('Screening Log'!$L$2:$L$801,"Abdullah")</f>
        <v>0</v>
      </c>
      <c r="C48" s="13"/>
    </row>
    <row r="49" customFormat="false" ht="15" hidden="false" customHeight="false" outlineLevel="0" collapsed="false">
      <c r="A49" s="10" t="s">
        <v>35</v>
      </c>
      <c r="B49" s="10"/>
      <c r="C49" s="10"/>
    </row>
    <row r="50" customFormat="false" ht="15" hidden="false" customHeight="false" outlineLevel="0" collapsed="false">
      <c r="A50" s="11" t="s">
        <v>121</v>
      </c>
      <c r="B50" s="17" t="str">
        <f aca="false">IF(B9="","Waiting for duplicate count",IF(B12=B10,"OK","Mismatch: "&amp;B12&amp;" rows vs "&amp;B10&amp;" expected"))</f>
        <v>Waiting for duplicate count</v>
      </c>
      <c r="C50" s="17"/>
    </row>
    <row r="51" customFormat="false" ht="15" hidden="false" customHeight="false" outlineLevel="0" collapsed="false">
      <c r="A51" s="11" t="s">
        <v>122</v>
      </c>
      <c r="B51" s="17" t="str">
        <f aca="false">IF(COUNTIFS('Screening Log'!$A$2:$A$801,"&lt;&gt;",'Screening Log'!$E$2:$E$801,"&lt;&gt;Snowballing",'Screening Log'!$F$2:$F$801,"")=0,"OK",COUNTIFS('Screening Log'!$A$2:$A$801,"&lt;&gt;",'Screening Log'!$E$2:$E$801,"&lt;&gt;Snowballing",'Screening Log'!$F$2:$F$801,"")&amp;" record(s) with no pair")</f>
        <v>OK</v>
      </c>
      <c r="C51" s="17"/>
    </row>
    <row r="52" customFormat="false" ht="15" hidden="false" customHeight="false" outlineLevel="0" collapsed="false">
      <c r="A52" s="11" t="s">
        <v>123</v>
      </c>
      <c r="B52" s="17" t="str">
        <f aca="false">IF(COUNTIFS('Screening Log'!$A$2:$A$801,"&lt;&gt;",'Screening Log'!$E$2:$E$801,"&lt;&gt;Snowballing",'Screening Log'!$K$2:$K$801,"Waiting")=0,"OK",COUNTIFS('Screening Log'!$A$2:$A$801,"&lt;&gt;",'Screening Log'!$E$2:$E$801,"&lt;&gt;Snowballing",'Screening Log'!$K$2:$K$801,"Waiting")&amp;" record(s) still need a second decision")</f>
        <v>OK</v>
      </c>
      <c r="C52" s="17"/>
    </row>
    <row r="53" customFormat="false" ht="15" hidden="false" customHeight="false" outlineLevel="0" collapsed="false">
      <c r="A53" s="11" t="s">
        <v>124</v>
      </c>
      <c r="B53" s="17" t="str">
        <f aca="false">IF(COUNTIFS('Screening Log'!$K$2:$K$801,"Pending")=0,"OK",COUNTIFS('Screening Log'!$K$2:$K$801,"Pending")&amp;" pending: tie-breaker to resolve")</f>
        <v>OK</v>
      </c>
      <c r="C53" s="17"/>
    </row>
    <row r="54" customFormat="false" ht="15" hidden="false" customHeight="false" outlineLevel="0" collapsed="false">
      <c r="A54" s="11" t="s">
        <v>125</v>
      </c>
      <c r="B54" s="17" t="str">
        <f aca="false">IF(COUNTIFS('Screening Log'!$N$2:$N$801,"Exclude",'Screening Log'!$O$2:$O$801,"")=0,"OK",COUNTIFS('Screening Log'!$N$2:$N$801,"Exclude",'Screening Log'!$O$2:$O$801,"")&amp;" exclusion(s) missing a code")</f>
        <v>OK</v>
      </c>
      <c r="C54" s="17"/>
    </row>
    <row r="55" customFormat="false" ht="15" hidden="false" customHeight="false" outlineLevel="0" collapsed="false">
      <c r="A55" s="11" t="s">
        <v>126</v>
      </c>
      <c r="B55" s="17" t="str">
        <f aca="false">IF(COUNTIFS('Screening Log'!$A$2:$A$801,"&lt;&gt;",'Screening Log'!$E$2:$E$801,"&lt;&gt;Snowballing",'Screening Log'!$K$2:$K$801,"Include",'Screening Log'!$L$2:$L$801,"")+COUNTIFS('Screening Log'!$A$2:$A$801,"&lt;&gt;",'Screening Log'!$E$2:$E$801,"&lt;&gt;Snowballing",'Screening Log'!$K$2:$K$801,"Maybe",'Screening Log'!$L$2:$L$801,"")+COUNTIFS('Screening Log'!$A$2:$A$801,"&lt;&gt;",'Screening Log'!$E$2:$E$801,"Snowballing",'Screening Log'!$L$2:$L$801,"")=0,"OK",COUNTIFS('Screening Log'!$A$2:$A$801,"&lt;&gt;",'Screening Log'!$E$2:$E$801,"&lt;&gt;Snowballing",'Screening Log'!$K$2:$K$801,"Include",'Screening Log'!$L$2:$L$801,"")+COUNTIFS('Screening Log'!$A$2:$A$801,"&lt;&gt;",'Screening Log'!$E$2:$E$801,"&lt;&gt;Snowballing",'Screening Log'!$K$2:$K$801,"Maybe",'Screening Log'!$L$2:$L$801,"")+COUNTIFS('Screening Log'!$A$2:$A$801,"&lt;&gt;",'Screening Log'!$E$2:$E$801,"Snowballing",'Screening Log'!$L$2:$L$801,"")&amp;" paper(s) with no reader")</f>
        <v>OK</v>
      </c>
      <c r="C55" s="17"/>
    </row>
  </sheetData>
  <mergeCells count="6">
    <mergeCell ref="B50:C50"/>
    <mergeCell ref="B51:C51"/>
    <mergeCell ref="B52:C52"/>
    <mergeCell ref="B53:C53"/>
    <mergeCell ref="B54:C54"/>
    <mergeCell ref="B55:C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78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12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8" t="s">
        <v>61</v>
      </c>
      <c r="B1" s="18" t="s">
        <v>127</v>
      </c>
      <c r="D1" s="19" t="s">
        <v>128</v>
      </c>
      <c r="E1" s="19" t="s">
        <v>129</v>
      </c>
      <c r="F1" s="19" t="s">
        <v>49</v>
      </c>
      <c r="G1" s="19" t="s">
        <v>130</v>
      </c>
      <c r="H1" s="19" t="s">
        <v>131</v>
      </c>
      <c r="I1" s="19" t="s">
        <v>132</v>
      </c>
      <c r="J1" s="19" t="s">
        <v>133</v>
      </c>
    </row>
    <row r="2" customFormat="false" ht="15" hidden="false" customHeight="false" outlineLevel="0" collapsed="false">
      <c r="A2" s="20" t="s">
        <v>134</v>
      </c>
      <c r="B2" s="20" t="s">
        <v>135</v>
      </c>
      <c r="D2" s="20" t="s">
        <v>136</v>
      </c>
      <c r="E2" s="20" t="s">
        <v>137</v>
      </c>
      <c r="F2" s="20" t="s">
        <v>11</v>
      </c>
      <c r="G2" s="20" t="s">
        <v>137</v>
      </c>
      <c r="H2" s="20" t="s">
        <v>138</v>
      </c>
      <c r="I2" s="20" t="s">
        <v>136</v>
      </c>
      <c r="J2" s="20" t="s">
        <v>139</v>
      </c>
    </row>
    <row r="3" customFormat="false" ht="15" hidden="false" customHeight="false" outlineLevel="0" collapsed="false">
      <c r="A3" s="20" t="s">
        <v>140</v>
      </c>
      <c r="B3" s="20" t="s">
        <v>141</v>
      </c>
      <c r="D3" s="20" t="s">
        <v>142</v>
      </c>
      <c r="E3" s="20" t="s">
        <v>138</v>
      </c>
      <c r="F3" s="20" t="s">
        <v>13</v>
      </c>
      <c r="G3" s="20" t="s">
        <v>143</v>
      </c>
      <c r="H3" s="20" t="s">
        <v>144</v>
      </c>
      <c r="I3" s="20" t="s">
        <v>145</v>
      </c>
      <c r="J3" s="20" t="s">
        <v>146</v>
      </c>
    </row>
    <row r="4" customFormat="false" ht="15" hidden="false" customHeight="false" outlineLevel="0" collapsed="false">
      <c r="A4" s="20" t="s">
        <v>147</v>
      </c>
      <c r="B4" s="20" t="s">
        <v>148</v>
      </c>
      <c r="D4" s="20" t="s">
        <v>48</v>
      </c>
      <c r="E4" s="20" t="s">
        <v>143</v>
      </c>
      <c r="F4" s="20" t="s">
        <v>15</v>
      </c>
      <c r="G4" s="20" t="s">
        <v>58</v>
      </c>
      <c r="H4" s="20" t="s">
        <v>149</v>
      </c>
      <c r="I4" s="20" t="s">
        <v>48</v>
      </c>
      <c r="J4" s="20" t="s">
        <v>150</v>
      </c>
    </row>
    <row r="5" customFormat="false" ht="15" hidden="false" customHeight="false" outlineLevel="0" collapsed="false">
      <c r="A5" s="20" t="s">
        <v>151</v>
      </c>
      <c r="B5" s="20" t="s">
        <v>152</v>
      </c>
      <c r="D5" s="20" t="s">
        <v>26</v>
      </c>
      <c r="E5" s="20" t="s">
        <v>144</v>
      </c>
    </row>
    <row r="6" customFormat="false" ht="15" hidden="false" customHeight="false" outlineLevel="0" collapsed="false">
      <c r="A6" s="20" t="s">
        <v>153</v>
      </c>
      <c r="B6" s="20" t="s">
        <v>154</v>
      </c>
      <c r="E6" s="20" t="s">
        <v>58</v>
      </c>
    </row>
    <row r="7" customFormat="false" ht="15" hidden="false" customHeight="false" outlineLevel="0" collapsed="false">
      <c r="A7" s="20" t="s">
        <v>155</v>
      </c>
      <c r="B7" s="20" t="s">
        <v>156</v>
      </c>
      <c r="E7" s="20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64"/>
    <col collapsed="false" customWidth="true" hidden="false" outlineLevel="0" max="7" min="7" style="0" width="30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3.85" hidden="false" customHeight="false" outlineLevel="0" collapsed="false">
      <c r="A1" s="18" t="s">
        <v>132</v>
      </c>
      <c r="B1" s="18" t="s">
        <v>49</v>
      </c>
      <c r="C1" s="18" t="s">
        <v>157</v>
      </c>
      <c r="D1" s="18" t="s">
        <v>158</v>
      </c>
      <c r="E1" s="18" t="s">
        <v>159</v>
      </c>
      <c r="F1" s="18" t="s">
        <v>160</v>
      </c>
      <c r="G1" s="18" t="s">
        <v>161</v>
      </c>
      <c r="H1" s="18" t="s">
        <v>162</v>
      </c>
      <c r="I1" s="18" t="s">
        <v>163</v>
      </c>
    </row>
    <row r="2" customFormat="false" ht="60" hidden="false" customHeight="true" outlineLevel="0" collapsed="false">
      <c r="A2" s="21" t="s">
        <v>136</v>
      </c>
      <c r="B2" s="21" t="s">
        <v>11</v>
      </c>
      <c r="C2" s="21" t="s">
        <v>137</v>
      </c>
      <c r="D2" s="22" t="s">
        <v>138</v>
      </c>
      <c r="E2" s="23" t="n">
        <v>46305</v>
      </c>
      <c r="F2" s="22" t="inlineStr">
        <is>
          <t xml:space="preserve">("Abstract":"homomorphic encryption" OR "Abstract":"fully homomorphic" OR "Abstract":FHE OR "Abstract":CKKS OR "Abstract":BFV OR "Abstract":BGV OR "Abstract":TenSEAL OR "Abstract":"Microsoft SEAL") AND ("Abstract":"machine learning" OR "Abstract":"logistic regression" OR "Abstract":"neural network" OR "Abstract":"deep learning" OR "Abstract":classif* OR "Abstract":predict* OR "Abstract":inference) AND ("Abstract":health* OR "Abstract":medical OR "Abstract":clinical OR "Abstract":patient* OR "Abstract":disease* OR "Abstract":biomedical OR "Abstract":diagnos* OR "Abstract":genom* OR "Abstract":cancer OR "Abstract":diabet* OR "Abstract":"heart disease" OR "Abstract":cardiovascular)</t>
        </is>
      </c>
      <c r="G2" s="22" t="inlineStr">
        <is>
          <t xml:space="preserve">Publication Year 2016–2026; Conferences and Journals</t>
        </is>
      </c>
      <c r="H2" s="24" t="n">
        <v>337</v>
      </c>
      <c r="I2" s="22" t="inlineStr">
        <is>
          <t xml:space="preserve">Exported in 4 RIS files (100 + 100 + 100 + 37): research/slr/exports/IEEE_2026-10-10_p1–p4.ris</t>
        </is>
      </c>
    </row>
    <row r="3" customFormat="false" ht="60" hidden="false" customHeight="true" outlineLevel="0" collapsed="false">
      <c r="A3" s="21" t="s">
        <v>145</v>
      </c>
      <c r="B3" s="21" t="s">
        <v>13</v>
      </c>
      <c r="C3" s="21" t="s">
        <v>143</v>
      </c>
      <c r="D3" s="22" t="s">
        <v>144</v>
      </c>
      <c r="E3" s="23" t="n">
        <v>46305</v>
      </c>
      <c r="F3" s="22" t="inlineStr">
        <is>
          <t xml:space="preserve">("homomorphic encryption"[tiab] OR "fully homomorphic"[tiab] OR FHE[tiab] OR CKKS[tiab] OR BFV[tiab] OR BGV[tiab] OR TenSEAL[tiab] OR "Microsoft SEAL"[tiab]) AND ("machine learning"[tiab] OR "logistic regression"[tiab] OR "neural network"[tiab] OR "deep learning"[tiab] OR classif*[tiab] OR predict*[tiab] OR inference[tiab]) AND (health*[tiab] OR medical[tiab] OR biomedical[tiab] OR clinical[tiab] OR patient*[tiab] OR disease*[tiab] OR diagnos*[tiab] OR genom*[tiab] OR cancer[tiab] OR diabet*[tiab] OR "heart disease"[tiab] OR cardiovascular[tiab]) AND 2016:2026[dp] AND english[la]</t>
        </is>
      </c>
      <c r="G3" s="22" t="inlineStr">
        <is>
          <t xml:space="preserve">In the string: 2016:2026[dp], english[la]</t>
        </is>
      </c>
      <c r="H3" s="24" t="n">
        <v>172</v>
      </c>
      <c r="I3" s="22" t="inlineStr">
        <is>
          <t xml:space="preserve">Replaces ACM Digital Library (no UDST subscription; filters and export locked). A [tw] variant (176 results) was tested and not used. Export: research/slr/exports/PubMed_2026-10-10.nbib</t>
        </is>
      </c>
    </row>
    <row r="4" customFormat="false" ht="60" hidden="false" customHeight="true" outlineLevel="0" collapsed="false">
      <c r="A4" s="21" t="s">
        <v>48</v>
      </c>
      <c r="B4" s="21" t="s">
        <v>15</v>
      </c>
      <c r="C4" s="21" t="s">
        <v>58</v>
      </c>
      <c r="D4" s="22" t="s">
        <v>149</v>
      </c>
      <c r="E4" s="23" t="n">
        <v>46305</v>
      </c>
      <c r="F4" s="22" t="inlineStr">
        <is>
          <t xml:space="preserve">TITLE-ABS-KEY ( "homomorphic encryption" OR "fully homomorphic" OR fhe OR ckks OR bfv OR bgv OR tenseal OR "Microsoft SEAL" ) AND TITLE-ABS-KEY ( "machine learning" OR "logistic regression" OR "neural network" OR "deep learning" OR classif* OR predict* OR inference ) AND TITLE-ABS-KEY ( health* OR medical OR biomedical OR clinical OR patient* OR disease* OR diagnos* OR genom* OR cancer OR diabet* OR "heart disease" OR cardiovascular ) AND PUBYEAR &gt; 2015 AND PUBYEAR &lt; 2027 AND LANGUAGE ( english ) AND ( DOCTYPE ( ar ) OR DOCTYPE ( cp ) )</t>
        </is>
      </c>
      <c r="G4" s="22" t="inlineStr">
        <is>
          <t xml:space="preserve">In the string: PUBYEAR 2016–2026, English, DOCTYPE ar + cp</t>
        </is>
      </c>
      <c r="H4" s="24" t="n">
        <v>1017</v>
      </c>
      <c r="I4" s="22" t="inlineStr">
        <is>
          <t xml:space="preserve">Over the 400 limit. Narrowing was tested (766 and 855 results, still over), so the full 1,017 was kept by team decision. Export: research/slr/exports/Scopus_2026-10-10.ris</t>
        </is>
      </c>
    </row>
    <row r="5" customFormat="false" ht="15" hidden="false" customHeight="false" outlineLevel="0" collapsed="false">
      <c r="A5" s="25" t="s">
        <v>164</v>
      </c>
      <c r="B5" s="26"/>
      <c r="C5" s="26"/>
      <c r="D5" s="26"/>
      <c r="E5" s="26"/>
      <c r="F5" s="26"/>
      <c r="G5" s="26"/>
      <c r="H5" s="27" t="n">
        <f aca="false">SUM(H2:H4)</f>
        <v>1526</v>
      </c>
      <c r="I5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36"/>
  </cols>
  <sheetData>
    <row r="1" customFormat="false" ht="30" hidden="false" customHeight="true" outlineLevel="0" collapsed="false">
      <c r="A1" s="18" t="s">
        <v>39</v>
      </c>
      <c r="B1" s="18" t="s">
        <v>41</v>
      </c>
      <c r="C1" s="18" t="s">
        <v>43</v>
      </c>
      <c r="D1" s="18" t="s">
        <v>45</v>
      </c>
      <c r="E1" s="18" t="s">
        <v>47</v>
      </c>
      <c r="F1" s="18" t="s">
        <v>49</v>
      </c>
      <c r="G1" s="18" t="s">
        <v>50</v>
      </c>
      <c r="H1" s="18" t="s">
        <v>52</v>
      </c>
      <c r="I1" s="18" t="s">
        <v>53</v>
      </c>
      <c r="J1" s="18" t="s">
        <v>55</v>
      </c>
      <c r="K1" s="18" t="s">
        <v>56</v>
      </c>
      <c r="L1" s="18" t="s">
        <v>57</v>
      </c>
      <c r="M1" s="18" t="s">
        <v>59</v>
      </c>
      <c r="N1" s="18" t="s">
        <v>60</v>
      </c>
      <c r="O1" s="18" t="s">
        <v>61</v>
      </c>
      <c r="P1" s="18" t="s">
        <v>62</v>
      </c>
    </row>
    <row r="2" customFormat="false" ht="15" hidden="false" customHeight="false" outlineLevel="0" collapsed="false">
      <c r="A2" s="28"/>
      <c r="B2" s="28"/>
      <c r="C2" s="28"/>
      <c r="D2" s="28"/>
      <c r="E2" s="28"/>
      <c r="F2" s="28"/>
      <c r="G2" s="28"/>
      <c r="H2" s="28"/>
      <c r="I2" s="29" t="str">
        <f aca="false">IF(OR(G2="",H2=""),"",IF(G2=H2,"Yes","No"))</f>
        <v/>
      </c>
      <c r="J2" s="28"/>
      <c r="K2" s="29" t="str">
        <f aca="false">IF(E2="Snowballing","n/a",IF(AND(G2="",H2=""),"",IF(OR(G2="",H2=""),"Waiting",IF(G2=H2,G2,IF(AND(G2&lt;&gt;"Exclude",H2&lt;&gt;"Exclude"),"Maybe",IF(J2&lt;&gt;"",J2,"Pending"))))))</f>
        <v/>
      </c>
      <c r="L2" s="28"/>
      <c r="M2" s="28"/>
      <c r="N2" s="28"/>
      <c r="O2" s="28"/>
      <c r="P2" s="28"/>
    </row>
    <row r="3" customFormat="false" ht="15" hidden="false" customHeight="false" outlineLevel="0" collapsed="false">
      <c r="A3" s="28"/>
      <c r="B3" s="28"/>
      <c r="C3" s="28"/>
      <c r="D3" s="28"/>
      <c r="E3" s="28"/>
      <c r="F3" s="28"/>
      <c r="G3" s="28"/>
      <c r="H3" s="28"/>
      <c r="I3" s="29" t="str">
        <f aca="false">IF(OR(G3="",H3=""),"",IF(G3=H3,"Yes","No"))</f>
        <v/>
      </c>
      <c r="J3" s="28"/>
      <c r="K3" s="29" t="str">
        <f aca="false">IF(E3="Snowballing","n/a",IF(AND(G3="",H3=""),"",IF(OR(G3="",H3=""),"Waiting",IF(G3=H3,G3,IF(AND(G3&lt;&gt;"Exclude",H3&lt;&gt;"Exclude"),"Maybe",IF(J3&lt;&gt;"",J3,"Pending"))))))</f>
        <v/>
      </c>
      <c r="L3" s="28"/>
      <c r="M3" s="28"/>
      <c r="N3" s="28"/>
      <c r="O3" s="28"/>
      <c r="P3" s="28"/>
    </row>
    <row r="4" customFormat="false" ht="15" hidden="false" customHeight="false" outlineLevel="0" collapsed="false">
      <c r="A4" s="28"/>
      <c r="B4" s="28"/>
      <c r="C4" s="28"/>
      <c r="D4" s="28"/>
      <c r="E4" s="28"/>
      <c r="F4" s="28"/>
      <c r="G4" s="28"/>
      <c r="H4" s="28"/>
      <c r="I4" s="29" t="str">
        <f aca="false">IF(OR(G4="",H4=""),"",IF(G4=H4,"Yes","No"))</f>
        <v/>
      </c>
      <c r="J4" s="28"/>
      <c r="K4" s="29" t="str">
        <f aca="false">IF(E4="Snowballing","n/a",IF(AND(G4="",H4=""),"",IF(OR(G4="",H4=""),"Waiting",IF(G4=H4,G4,IF(AND(G4&lt;&gt;"Exclude",H4&lt;&gt;"Exclude"),"Maybe",IF(J4&lt;&gt;"",J4,"Pending"))))))</f>
        <v/>
      </c>
      <c r="L4" s="28"/>
      <c r="M4" s="28"/>
      <c r="N4" s="28"/>
      <c r="O4" s="28"/>
      <c r="P4" s="28"/>
    </row>
    <row r="5" customFormat="false" ht="15" hidden="false" customHeight="false" outlineLevel="0" collapsed="false">
      <c r="A5" s="28"/>
      <c r="B5" s="28"/>
      <c r="C5" s="28"/>
      <c r="D5" s="28"/>
      <c r="E5" s="28"/>
      <c r="F5" s="28"/>
      <c r="G5" s="28"/>
      <c r="H5" s="28"/>
      <c r="I5" s="29" t="str">
        <f aca="false">IF(OR(G5="",H5=""),"",IF(G5=H5,"Yes","No"))</f>
        <v/>
      </c>
      <c r="J5" s="28"/>
      <c r="K5" s="29" t="str">
        <f aca="false">IF(E5="Snowballing","n/a",IF(AND(G5="",H5=""),"",IF(OR(G5="",H5=""),"Waiting",IF(G5=H5,G5,IF(AND(G5&lt;&gt;"Exclude",H5&lt;&gt;"Exclude"),"Maybe",IF(J5&lt;&gt;"",J5,"Pending"))))))</f>
        <v/>
      </c>
      <c r="L5" s="28"/>
      <c r="M5" s="28"/>
      <c r="N5" s="28"/>
      <c r="O5" s="28"/>
      <c r="P5" s="28"/>
    </row>
    <row r="6" customFormat="false" ht="15" hidden="false" customHeight="false" outlineLevel="0" collapsed="false">
      <c r="A6" s="28"/>
      <c r="B6" s="28"/>
      <c r="C6" s="28"/>
      <c r="D6" s="28"/>
      <c r="E6" s="28"/>
      <c r="F6" s="28"/>
      <c r="G6" s="28"/>
      <c r="H6" s="28"/>
      <c r="I6" s="29" t="str">
        <f aca="false">IF(OR(G6="",H6=""),"",IF(G6=H6,"Yes","No"))</f>
        <v/>
      </c>
      <c r="J6" s="28"/>
      <c r="K6" s="29" t="str">
        <f aca="false">IF(E6="Snowballing","n/a",IF(AND(G6="",H6=""),"",IF(OR(G6="",H6=""),"Waiting",IF(G6=H6,G6,IF(AND(G6&lt;&gt;"Exclude",H6&lt;&gt;"Exclude"),"Maybe",IF(J6&lt;&gt;"",J6,"Pending"))))))</f>
        <v/>
      </c>
      <c r="L6" s="28"/>
      <c r="M6" s="28"/>
      <c r="N6" s="28"/>
      <c r="O6" s="28"/>
      <c r="P6" s="28"/>
    </row>
    <row r="7" customFormat="false" ht="15" hidden="false" customHeight="false" outlineLevel="0" collapsed="false">
      <c r="A7" s="28"/>
      <c r="B7" s="28"/>
      <c r="C7" s="28"/>
      <c r="D7" s="28"/>
      <c r="E7" s="28"/>
      <c r="F7" s="28"/>
      <c r="G7" s="28"/>
      <c r="H7" s="28"/>
      <c r="I7" s="29" t="str">
        <f aca="false">IF(OR(G7="",H7=""),"",IF(G7=H7,"Yes","No"))</f>
        <v/>
      </c>
      <c r="J7" s="28"/>
      <c r="K7" s="29" t="str">
        <f aca="false">IF(E7="Snowballing","n/a",IF(AND(G7="",H7=""),"",IF(OR(G7="",H7=""),"Waiting",IF(G7=H7,G7,IF(AND(G7&lt;&gt;"Exclude",H7&lt;&gt;"Exclude"),"Maybe",IF(J7&lt;&gt;"",J7,"Pending"))))))</f>
        <v/>
      </c>
      <c r="L7" s="28"/>
      <c r="M7" s="28"/>
      <c r="N7" s="28"/>
      <c r="O7" s="28"/>
      <c r="P7" s="28"/>
    </row>
    <row r="8" customFormat="false" ht="15" hidden="false" customHeight="false" outlineLevel="0" collapsed="false">
      <c r="A8" s="28"/>
      <c r="B8" s="28"/>
      <c r="C8" s="28"/>
      <c r="D8" s="28"/>
      <c r="E8" s="28"/>
      <c r="F8" s="28"/>
      <c r="G8" s="28"/>
      <c r="H8" s="28"/>
      <c r="I8" s="29" t="str">
        <f aca="false">IF(OR(G8="",H8=""),"",IF(G8=H8,"Yes","No"))</f>
        <v/>
      </c>
      <c r="J8" s="28"/>
      <c r="K8" s="29" t="str">
        <f aca="false">IF(E8="Snowballing","n/a",IF(AND(G8="",H8=""),"",IF(OR(G8="",H8=""),"Waiting",IF(G8=H8,G8,IF(AND(G8&lt;&gt;"Exclude",H8&lt;&gt;"Exclude"),"Maybe",IF(J8&lt;&gt;"",J8,"Pending"))))))</f>
        <v/>
      </c>
      <c r="L8" s="28"/>
      <c r="M8" s="28"/>
      <c r="N8" s="28"/>
      <c r="O8" s="28"/>
      <c r="P8" s="28"/>
    </row>
    <row r="9" customFormat="false" ht="15" hidden="false" customHeight="false" outlineLevel="0" collapsed="false">
      <c r="A9" s="28"/>
      <c r="B9" s="28"/>
      <c r="C9" s="28"/>
      <c r="D9" s="28"/>
      <c r="E9" s="28"/>
      <c r="F9" s="28"/>
      <c r="G9" s="28"/>
      <c r="H9" s="28"/>
      <c r="I9" s="29" t="str">
        <f aca="false">IF(OR(G9="",H9=""),"",IF(G9=H9,"Yes","No"))</f>
        <v/>
      </c>
      <c r="J9" s="28"/>
      <c r="K9" s="29" t="str">
        <f aca="false">IF(E9="Snowballing","n/a",IF(AND(G9="",H9=""),"",IF(OR(G9="",H9=""),"Waiting",IF(G9=H9,G9,IF(AND(G9&lt;&gt;"Exclude",H9&lt;&gt;"Exclude"),"Maybe",IF(J9&lt;&gt;"",J9,"Pending"))))))</f>
        <v/>
      </c>
      <c r="L9" s="28"/>
      <c r="M9" s="28"/>
      <c r="N9" s="28"/>
      <c r="O9" s="28"/>
      <c r="P9" s="28"/>
    </row>
    <row r="10" customFormat="false" ht="15" hidden="false" customHeight="false" outlineLevel="0" collapsed="false">
      <c r="A10" s="28"/>
      <c r="B10" s="28"/>
      <c r="C10" s="28"/>
      <c r="D10" s="28"/>
      <c r="E10" s="28"/>
      <c r="F10" s="28"/>
      <c r="G10" s="28"/>
      <c r="H10" s="28"/>
      <c r="I10" s="29" t="str">
        <f aca="false">IF(OR(G10="",H10=""),"",IF(G10=H10,"Yes","No"))</f>
        <v/>
      </c>
      <c r="J10" s="28"/>
      <c r="K10" s="29" t="str">
        <f aca="false">IF(E10="Snowballing","n/a",IF(AND(G10="",H10=""),"",IF(OR(G10="",H10=""),"Waiting",IF(G10=H10,G10,IF(AND(G10&lt;&gt;"Exclude",H10&lt;&gt;"Exclude"),"Maybe",IF(J10&lt;&gt;"",J10,"Pending"))))))</f>
        <v/>
      </c>
      <c r="L10" s="28"/>
      <c r="M10" s="28"/>
      <c r="N10" s="28"/>
      <c r="O10" s="28"/>
      <c r="P10" s="28"/>
    </row>
    <row r="11" customFormat="false" ht="15" hidden="false" customHeight="false" outlineLevel="0" collapsed="false">
      <c r="A11" s="28"/>
      <c r="B11" s="28"/>
      <c r="C11" s="28"/>
      <c r="D11" s="28"/>
      <c r="E11" s="28"/>
      <c r="F11" s="28"/>
      <c r="G11" s="28"/>
      <c r="H11" s="28"/>
      <c r="I11" s="29" t="str">
        <f aca="false">IF(OR(G11="",H11=""),"",IF(G11=H11,"Yes","No"))</f>
        <v/>
      </c>
      <c r="J11" s="28"/>
      <c r="K11" s="29" t="str">
        <f aca="false">IF(E11="Snowballing","n/a",IF(AND(G11="",H11=""),"",IF(OR(G11="",H11=""),"Waiting",IF(G11=H11,G11,IF(AND(G11&lt;&gt;"Exclude",H11&lt;&gt;"Exclude"),"Maybe",IF(J11&lt;&gt;"",J11,"Pending"))))))</f>
        <v/>
      </c>
      <c r="L11" s="28"/>
      <c r="M11" s="28"/>
      <c r="N11" s="28"/>
      <c r="O11" s="28"/>
      <c r="P11" s="28"/>
    </row>
    <row r="12" customFormat="false" ht="15" hidden="false" customHeight="false" outlineLevel="0" collapsed="false">
      <c r="A12" s="28"/>
      <c r="B12" s="28"/>
      <c r="C12" s="28"/>
      <c r="D12" s="28"/>
      <c r="E12" s="28"/>
      <c r="F12" s="28"/>
      <c r="G12" s="28"/>
      <c r="H12" s="28"/>
      <c r="I12" s="29" t="str">
        <f aca="false">IF(OR(G12="",H12=""),"",IF(G12=H12,"Yes","No"))</f>
        <v/>
      </c>
      <c r="J12" s="28"/>
      <c r="K12" s="29" t="str">
        <f aca="false">IF(E12="Snowballing","n/a",IF(AND(G12="",H12=""),"",IF(OR(G12="",H12=""),"Waiting",IF(G12=H12,G12,IF(AND(G12&lt;&gt;"Exclude",H12&lt;&gt;"Exclude"),"Maybe",IF(J12&lt;&gt;"",J12,"Pending"))))))</f>
        <v/>
      </c>
      <c r="L12" s="28"/>
      <c r="M12" s="28"/>
      <c r="N12" s="28"/>
      <c r="O12" s="28"/>
      <c r="P12" s="28"/>
    </row>
    <row r="13" customFormat="false" ht="15" hidden="false" customHeight="false" outlineLevel="0" collapsed="false">
      <c r="A13" s="28"/>
      <c r="B13" s="28"/>
      <c r="C13" s="28"/>
      <c r="D13" s="28"/>
      <c r="E13" s="28"/>
      <c r="F13" s="28"/>
      <c r="G13" s="28"/>
      <c r="H13" s="28"/>
      <c r="I13" s="29" t="str">
        <f aca="false">IF(OR(G13="",H13=""),"",IF(G13=H13,"Yes","No"))</f>
        <v/>
      </c>
      <c r="J13" s="28"/>
      <c r="K13" s="29" t="str">
        <f aca="false">IF(E13="Snowballing","n/a",IF(AND(G13="",H13=""),"",IF(OR(G13="",H13=""),"Waiting",IF(G13=H13,G13,IF(AND(G13&lt;&gt;"Exclude",H13&lt;&gt;"Exclude"),"Maybe",IF(J13&lt;&gt;"",J13,"Pending"))))))</f>
        <v/>
      </c>
      <c r="L13" s="28"/>
      <c r="M13" s="28"/>
      <c r="N13" s="28"/>
      <c r="O13" s="28"/>
      <c r="P13" s="28"/>
    </row>
    <row r="14" customFormat="false" ht="15" hidden="false" customHeight="false" outlineLevel="0" collapsed="false">
      <c r="A14" s="28"/>
      <c r="B14" s="28"/>
      <c r="C14" s="28"/>
      <c r="D14" s="28"/>
      <c r="E14" s="28"/>
      <c r="F14" s="28"/>
      <c r="G14" s="28"/>
      <c r="H14" s="28"/>
      <c r="I14" s="29" t="str">
        <f aca="false">IF(OR(G14="",H14=""),"",IF(G14=H14,"Yes","No"))</f>
        <v/>
      </c>
      <c r="J14" s="28"/>
      <c r="K14" s="29" t="str">
        <f aca="false">IF(E14="Snowballing","n/a",IF(AND(G14="",H14=""),"",IF(OR(G14="",H14=""),"Waiting",IF(G14=H14,G14,IF(AND(G14&lt;&gt;"Exclude",H14&lt;&gt;"Exclude"),"Maybe",IF(J14&lt;&gt;"",J14,"Pending"))))))</f>
        <v/>
      </c>
      <c r="L14" s="28"/>
      <c r="M14" s="28"/>
      <c r="N14" s="28"/>
      <c r="O14" s="28"/>
      <c r="P14" s="28"/>
    </row>
    <row r="15" customFormat="false" ht="15" hidden="false" customHeight="false" outlineLevel="0" collapsed="false">
      <c r="A15" s="28"/>
      <c r="B15" s="28"/>
      <c r="C15" s="28"/>
      <c r="D15" s="28"/>
      <c r="E15" s="28"/>
      <c r="F15" s="28"/>
      <c r="G15" s="28"/>
      <c r="H15" s="28"/>
      <c r="I15" s="29" t="str">
        <f aca="false">IF(OR(G15="",H15=""),"",IF(G15=H15,"Yes","No"))</f>
        <v/>
      </c>
      <c r="J15" s="28"/>
      <c r="K15" s="29" t="str">
        <f aca="false">IF(E15="Snowballing","n/a",IF(AND(G15="",H15=""),"",IF(OR(G15="",H15=""),"Waiting",IF(G15=H15,G15,IF(AND(G15&lt;&gt;"Exclude",H15&lt;&gt;"Exclude"),"Maybe",IF(J15&lt;&gt;"",J15,"Pending"))))))</f>
        <v/>
      </c>
      <c r="L15" s="28"/>
      <c r="M15" s="28"/>
      <c r="N15" s="28"/>
      <c r="O15" s="28"/>
      <c r="P15" s="28"/>
    </row>
    <row r="16" customFormat="false" ht="15" hidden="false" customHeight="false" outlineLevel="0" collapsed="false">
      <c r="A16" s="28"/>
      <c r="B16" s="28"/>
      <c r="C16" s="28"/>
      <c r="D16" s="28"/>
      <c r="E16" s="28"/>
      <c r="F16" s="28"/>
      <c r="G16" s="28"/>
      <c r="H16" s="28"/>
      <c r="I16" s="29" t="str">
        <f aca="false">IF(OR(G16="",H16=""),"",IF(G16=H16,"Yes","No"))</f>
        <v/>
      </c>
      <c r="J16" s="28"/>
      <c r="K16" s="29" t="str">
        <f aca="false">IF(E16="Snowballing","n/a",IF(AND(G16="",H16=""),"",IF(OR(G16="",H16=""),"Waiting",IF(G16=H16,G16,IF(AND(G16&lt;&gt;"Exclude",H16&lt;&gt;"Exclude"),"Maybe",IF(J16&lt;&gt;"",J16,"Pending"))))))</f>
        <v/>
      </c>
      <c r="L16" s="28"/>
      <c r="M16" s="28"/>
      <c r="N16" s="28"/>
      <c r="O16" s="28"/>
      <c r="P16" s="28"/>
    </row>
    <row r="17" customFormat="false" ht="15" hidden="false" customHeight="false" outlineLevel="0" collapsed="false">
      <c r="A17" s="28"/>
      <c r="B17" s="28"/>
      <c r="C17" s="28"/>
      <c r="D17" s="28"/>
      <c r="E17" s="28"/>
      <c r="F17" s="28"/>
      <c r="G17" s="28"/>
      <c r="H17" s="28"/>
      <c r="I17" s="29" t="str">
        <f aca="false">IF(OR(G17="",H17=""),"",IF(G17=H17,"Yes","No"))</f>
        <v/>
      </c>
      <c r="J17" s="28"/>
      <c r="K17" s="29" t="str">
        <f aca="false">IF(E17="Snowballing","n/a",IF(AND(G17="",H17=""),"",IF(OR(G17="",H17=""),"Waiting",IF(G17=H17,G17,IF(AND(G17&lt;&gt;"Exclude",H17&lt;&gt;"Exclude"),"Maybe",IF(J17&lt;&gt;"",J17,"Pending"))))))</f>
        <v/>
      </c>
      <c r="L17" s="28"/>
      <c r="M17" s="28"/>
      <c r="N17" s="28"/>
      <c r="O17" s="28"/>
      <c r="P17" s="28"/>
    </row>
    <row r="18" customFormat="false" ht="15" hidden="false" customHeight="false" outlineLevel="0" collapsed="false">
      <c r="A18" s="28"/>
      <c r="B18" s="28"/>
      <c r="C18" s="28"/>
      <c r="D18" s="28"/>
      <c r="E18" s="28"/>
      <c r="F18" s="28"/>
      <c r="G18" s="28"/>
      <c r="H18" s="28"/>
      <c r="I18" s="29" t="str">
        <f aca="false">IF(OR(G18="",H18=""),"",IF(G18=H18,"Yes","No"))</f>
        <v/>
      </c>
      <c r="J18" s="28"/>
      <c r="K18" s="29" t="str">
        <f aca="false">IF(E18="Snowballing","n/a",IF(AND(G18="",H18=""),"",IF(OR(G18="",H18=""),"Waiting",IF(G18=H18,G18,IF(AND(G18&lt;&gt;"Exclude",H18&lt;&gt;"Exclude"),"Maybe",IF(J18&lt;&gt;"",J18,"Pending"))))))</f>
        <v/>
      </c>
      <c r="L18" s="28"/>
      <c r="M18" s="28"/>
      <c r="N18" s="28"/>
      <c r="O18" s="28"/>
      <c r="P18" s="28"/>
    </row>
    <row r="19" customFormat="false" ht="15" hidden="false" customHeight="false" outlineLevel="0" collapsed="false">
      <c r="A19" s="28"/>
      <c r="B19" s="28"/>
      <c r="C19" s="28"/>
      <c r="D19" s="28"/>
      <c r="E19" s="28"/>
      <c r="F19" s="28"/>
      <c r="G19" s="28"/>
      <c r="H19" s="28"/>
      <c r="I19" s="29" t="str">
        <f aca="false">IF(OR(G19="",H19=""),"",IF(G19=H19,"Yes","No"))</f>
        <v/>
      </c>
      <c r="J19" s="28"/>
      <c r="K19" s="29" t="str">
        <f aca="false">IF(E19="Snowballing","n/a",IF(AND(G19="",H19=""),"",IF(OR(G19="",H19=""),"Waiting",IF(G19=H19,G19,IF(AND(G19&lt;&gt;"Exclude",H19&lt;&gt;"Exclude"),"Maybe",IF(J19&lt;&gt;"",J19,"Pending"))))))</f>
        <v/>
      </c>
      <c r="L19" s="28"/>
      <c r="M19" s="28"/>
      <c r="N19" s="28"/>
      <c r="O19" s="28"/>
      <c r="P19" s="28"/>
    </row>
    <row r="20" customFormat="false" ht="15" hidden="false" customHeight="false" outlineLevel="0" collapsed="false">
      <c r="A20" s="28"/>
      <c r="B20" s="28"/>
      <c r="C20" s="28"/>
      <c r="D20" s="28"/>
      <c r="E20" s="28"/>
      <c r="F20" s="28"/>
      <c r="G20" s="28"/>
      <c r="H20" s="28"/>
      <c r="I20" s="29" t="str">
        <f aca="false">IF(OR(G20="",H20=""),"",IF(G20=H20,"Yes","No"))</f>
        <v/>
      </c>
      <c r="J20" s="28"/>
      <c r="K20" s="29" t="str">
        <f aca="false">IF(E20="Snowballing","n/a",IF(AND(G20="",H20=""),"",IF(OR(G20="",H20=""),"Waiting",IF(G20=H20,G20,IF(AND(G20&lt;&gt;"Exclude",H20&lt;&gt;"Exclude"),"Maybe",IF(J20&lt;&gt;"",J20,"Pending"))))))</f>
        <v/>
      </c>
      <c r="L20" s="28"/>
      <c r="M20" s="28"/>
      <c r="N20" s="28"/>
      <c r="O20" s="28"/>
      <c r="P20" s="28"/>
    </row>
    <row r="21" customFormat="false" ht="15" hidden="false" customHeight="false" outlineLevel="0" collapsed="false">
      <c r="A21" s="28"/>
      <c r="B21" s="28"/>
      <c r="C21" s="28"/>
      <c r="D21" s="28"/>
      <c r="E21" s="28"/>
      <c r="F21" s="28"/>
      <c r="G21" s="28"/>
      <c r="H21" s="28"/>
      <c r="I21" s="29" t="str">
        <f aca="false">IF(OR(G21="",H21=""),"",IF(G21=H21,"Yes","No"))</f>
        <v/>
      </c>
      <c r="J21" s="28"/>
      <c r="K21" s="29" t="str">
        <f aca="false">IF(E21="Snowballing","n/a",IF(AND(G21="",H21=""),"",IF(OR(G21="",H21=""),"Waiting",IF(G21=H21,G21,IF(AND(G21&lt;&gt;"Exclude",H21&lt;&gt;"Exclude"),"Maybe",IF(J21&lt;&gt;"",J21,"Pending"))))))</f>
        <v/>
      </c>
      <c r="L21" s="28"/>
      <c r="M21" s="28"/>
      <c r="N21" s="28"/>
      <c r="O21" s="28"/>
      <c r="P21" s="28"/>
    </row>
    <row r="22" customFormat="false" ht="15" hidden="false" customHeight="false" outlineLevel="0" collapsed="false">
      <c r="A22" s="28"/>
      <c r="B22" s="28"/>
      <c r="C22" s="28"/>
      <c r="D22" s="28"/>
      <c r="E22" s="28"/>
      <c r="F22" s="28"/>
      <c r="G22" s="28"/>
      <c r="H22" s="28"/>
      <c r="I22" s="29" t="str">
        <f aca="false">IF(OR(G22="",H22=""),"",IF(G22=H22,"Yes","No"))</f>
        <v/>
      </c>
      <c r="J22" s="28"/>
      <c r="K22" s="29" t="str">
        <f aca="false">IF(E22="Snowballing","n/a",IF(AND(G22="",H22=""),"",IF(OR(G22="",H22=""),"Waiting",IF(G22=H22,G22,IF(AND(G22&lt;&gt;"Exclude",H22&lt;&gt;"Exclude"),"Maybe",IF(J22&lt;&gt;"",J22,"Pending"))))))</f>
        <v/>
      </c>
      <c r="L22" s="28"/>
      <c r="M22" s="28"/>
      <c r="N22" s="28"/>
      <c r="O22" s="28"/>
      <c r="P22" s="28"/>
    </row>
    <row r="23" customFormat="false" ht="15" hidden="false" customHeight="false" outlineLevel="0" collapsed="false">
      <c r="A23" s="28"/>
      <c r="B23" s="28"/>
      <c r="C23" s="28"/>
      <c r="D23" s="28"/>
      <c r="E23" s="28"/>
      <c r="F23" s="28"/>
      <c r="G23" s="28"/>
      <c r="H23" s="28"/>
      <c r="I23" s="29" t="str">
        <f aca="false">IF(OR(G23="",H23=""),"",IF(G23=H23,"Yes","No"))</f>
        <v/>
      </c>
      <c r="J23" s="28"/>
      <c r="K23" s="29" t="str">
        <f aca="false">IF(E23="Snowballing","n/a",IF(AND(G23="",H23=""),"",IF(OR(G23="",H23=""),"Waiting",IF(G23=H23,G23,IF(AND(G23&lt;&gt;"Exclude",H23&lt;&gt;"Exclude"),"Maybe",IF(J23&lt;&gt;"",J23,"Pending"))))))</f>
        <v/>
      </c>
      <c r="L23" s="28"/>
      <c r="M23" s="28"/>
      <c r="N23" s="28"/>
      <c r="O23" s="28"/>
      <c r="P23" s="28"/>
    </row>
    <row r="24" customFormat="false" ht="15" hidden="false" customHeight="false" outlineLevel="0" collapsed="false">
      <c r="A24" s="28"/>
      <c r="B24" s="28"/>
      <c r="C24" s="28"/>
      <c r="D24" s="28"/>
      <c r="E24" s="28"/>
      <c r="F24" s="28"/>
      <c r="G24" s="28"/>
      <c r="H24" s="28"/>
      <c r="I24" s="29" t="str">
        <f aca="false">IF(OR(G24="",H24=""),"",IF(G24=H24,"Yes","No"))</f>
        <v/>
      </c>
      <c r="J24" s="28"/>
      <c r="K24" s="29" t="str">
        <f aca="false">IF(E24="Snowballing","n/a",IF(AND(G24="",H24=""),"",IF(OR(G24="",H24=""),"Waiting",IF(G24=H24,G24,IF(AND(G24&lt;&gt;"Exclude",H24&lt;&gt;"Exclude"),"Maybe",IF(J24&lt;&gt;"",J24,"Pending"))))))</f>
        <v/>
      </c>
      <c r="L24" s="28"/>
      <c r="M24" s="28"/>
      <c r="N24" s="28"/>
      <c r="O24" s="28"/>
      <c r="P24" s="28"/>
    </row>
    <row r="25" customFormat="false" ht="15" hidden="false" customHeight="false" outlineLevel="0" collapsed="false">
      <c r="A25" s="28"/>
      <c r="B25" s="28"/>
      <c r="C25" s="28"/>
      <c r="D25" s="28"/>
      <c r="E25" s="28"/>
      <c r="F25" s="28"/>
      <c r="G25" s="28"/>
      <c r="H25" s="28"/>
      <c r="I25" s="29" t="str">
        <f aca="false">IF(OR(G25="",H25=""),"",IF(G25=H25,"Yes","No"))</f>
        <v/>
      </c>
      <c r="J25" s="28"/>
      <c r="K25" s="29" t="str">
        <f aca="false">IF(E25="Snowballing","n/a",IF(AND(G25="",H25=""),"",IF(OR(G25="",H25=""),"Waiting",IF(G25=H25,G25,IF(AND(G25&lt;&gt;"Exclude",H25&lt;&gt;"Exclude"),"Maybe",IF(J25&lt;&gt;"",J25,"Pending"))))))</f>
        <v/>
      </c>
      <c r="L25" s="28"/>
      <c r="M25" s="28"/>
      <c r="N25" s="28"/>
      <c r="O25" s="28"/>
      <c r="P25" s="28"/>
    </row>
    <row r="26" customFormat="false" ht="15" hidden="false" customHeight="false" outlineLevel="0" collapsed="false">
      <c r="A26" s="28"/>
      <c r="B26" s="28"/>
      <c r="C26" s="28"/>
      <c r="D26" s="28"/>
      <c r="E26" s="28"/>
      <c r="F26" s="28"/>
      <c r="G26" s="28"/>
      <c r="H26" s="28"/>
      <c r="I26" s="29" t="str">
        <f aca="false">IF(OR(G26="",H26=""),"",IF(G26=H26,"Yes","No"))</f>
        <v/>
      </c>
      <c r="J26" s="28"/>
      <c r="K26" s="29" t="str">
        <f aca="false">IF(E26="Snowballing","n/a",IF(AND(G26="",H26=""),"",IF(OR(G26="",H26=""),"Waiting",IF(G26=H26,G26,IF(AND(G26&lt;&gt;"Exclude",H26&lt;&gt;"Exclude"),"Maybe",IF(J26&lt;&gt;"",J26,"Pending"))))))</f>
        <v/>
      </c>
      <c r="L26" s="28"/>
      <c r="M26" s="28"/>
      <c r="N26" s="28"/>
      <c r="O26" s="28"/>
      <c r="P26" s="28"/>
    </row>
    <row r="27" customFormat="false" ht="15" hidden="false" customHeight="false" outlineLevel="0" collapsed="false">
      <c r="A27" s="28"/>
      <c r="B27" s="28"/>
      <c r="C27" s="28"/>
      <c r="D27" s="28"/>
      <c r="E27" s="28"/>
      <c r="F27" s="28"/>
      <c r="G27" s="28"/>
      <c r="H27" s="28"/>
      <c r="I27" s="29" t="str">
        <f aca="false">IF(OR(G27="",H27=""),"",IF(G27=H27,"Yes","No"))</f>
        <v/>
      </c>
      <c r="J27" s="28"/>
      <c r="K27" s="29" t="str">
        <f aca="false">IF(E27="Snowballing","n/a",IF(AND(G27="",H27=""),"",IF(OR(G27="",H27=""),"Waiting",IF(G27=H27,G27,IF(AND(G27&lt;&gt;"Exclude",H27&lt;&gt;"Exclude"),"Maybe",IF(J27&lt;&gt;"",J27,"Pending"))))))</f>
        <v/>
      </c>
      <c r="L27" s="28"/>
      <c r="M27" s="28"/>
      <c r="N27" s="28"/>
      <c r="O27" s="28"/>
      <c r="P27" s="28"/>
    </row>
    <row r="28" customFormat="false" ht="15" hidden="false" customHeight="false" outlineLevel="0" collapsed="false">
      <c r="A28" s="28"/>
      <c r="B28" s="28"/>
      <c r="C28" s="28"/>
      <c r="D28" s="28"/>
      <c r="E28" s="28"/>
      <c r="F28" s="28"/>
      <c r="G28" s="28"/>
      <c r="H28" s="28"/>
      <c r="I28" s="29" t="str">
        <f aca="false">IF(OR(G28="",H28=""),"",IF(G28=H28,"Yes","No"))</f>
        <v/>
      </c>
      <c r="J28" s="28"/>
      <c r="K28" s="29" t="str">
        <f aca="false">IF(E28="Snowballing","n/a",IF(AND(G28="",H28=""),"",IF(OR(G28="",H28=""),"Waiting",IF(G28=H28,G28,IF(AND(G28&lt;&gt;"Exclude",H28&lt;&gt;"Exclude"),"Maybe",IF(J28&lt;&gt;"",J28,"Pending"))))))</f>
        <v/>
      </c>
      <c r="L28" s="28"/>
      <c r="M28" s="28"/>
      <c r="N28" s="28"/>
      <c r="O28" s="28"/>
      <c r="P28" s="28"/>
    </row>
    <row r="29" customFormat="false" ht="15" hidden="false" customHeight="false" outlineLevel="0" collapsed="false">
      <c r="A29" s="28"/>
      <c r="B29" s="28"/>
      <c r="C29" s="28"/>
      <c r="D29" s="28"/>
      <c r="E29" s="28"/>
      <c r="F29" s="28"/>
      <c r="G29" s="28"/>
      <c r="H29" s="28"/>
      <c r="I29" s="29" t="str">
        <f aca="false">IF(OR(G29="",H29=""),"",IF(G29=H29,"Yes","No"))</f>
        <v/>
      </c>
      <c r="J29" s="28"/>
      <c r="K29" s="29" t="str">
        <f aca="false">IF(E29="Snowballing","n/a",IF(AND(G29="",H29=""),"",IF(OR(G29="",H29=""),"Waiting",IF(G29=H29,G29,IF(AND(G29&lt;&gt;"Exclude",H29&lt;&gt;"Exclude"),"Maybe",IF(J29&lt;&gt;"",J29,"Pending"))))))</f>
        <v/>
      </c>
      <c r="L29" s="28"/>
      <c r="M29" s="28"/>
      <c r="N29" s="28"/>
      <c r="O29" s="28"/>
      <c r="P29" s="28"/>
    </row>
    <row r="30" customFormat="false" ht="15" hidden="false" customHeight="false" outlineLevel="0" collapsed="false">
      <c r="A30" s="28"/>
      <c r="B30" s="28"/>
      <c r="C30" s="28"/>
      <c r="D30" s="28"/>
      <c r="E30" s="28"/>
      <c r="F30" s="28"/>
      <c r="G30" s="28"/>
      <c r="H30" s="28"/>
      <c r="I30" s="29" t="str">
        <f aca="false">IF(OR(G30="",H30=""),"",IF(G30=H30,"Yes","No"))</f>
        <v/>
      </c>
      <c r="J30" s="28"/>
      <c r="K30" s="29" t="str">
        <f aca="false">IF(E30="Snowballing","n/a",IF(AND(G30="",H30=""),"",IF(OR(G30="",H30=""),"Waiting",IF(G30=H30,G30,IF(AND(G30&lt;&gt;"Exclude",H30&lt;&gt;"Exclude"),"Maybe",IF(J30&lt;&gt;"",J30,"Pending"))))))</f>
        <v/>
      </c>
      <c r="L30" s="28"/>
      <c r="M30" s="28"/>
      <c r="N30" s="28"/>
      <c r="O30" s="28"/>
      <c r="P30" s="28"/>
    </row>
    <row r="31" customFormat="false" ht="15" hidden="false" customHeight="false" outlineLevel="0" collapsed="false">
      <c r="A31" s="28"/>
      <c r="B31" s="28"/>
      <c r="C31" s="28"/>
      <c r="D31" s="28"/>
      <c r="E31" s="28"/>
      <c r="F31" s="28"/>
      <c r="G31" s="28"/>
      <c r="H31" s="28"/>
      <c r="I31" s="29" t="str">
        <f aca="false">IF(OR(G31="",H31=""),"",IF(G31=H31,"Yes","No"))</f>
        <v/>
      </c>
      <c r="J31" s="28"/>
      <c r="K31" s="29" t="str">
        <f aca="false">IF(E31="Snowballing","n/a",IF(AND(G31="",H31=""),"",IF(OR(G31="",H31=""),"Waiting",IF(G31=H31,G31,IF(AND(G31&lt;&gt;"Exclude",H31&lt;&gt;"Exclude"),"Maybe",IF(J31&lt;&gt;"",J31,"Pending"))))))</f>
        <v/>
      </c>
      <c r="L31" s="28"/>
      <c r="M31" s="28"/>
      <c r="N31" s="28"/>
      <c r="O31" s="28"/>
      <c r="P31" s="28"/>
    </row>
    <row r="32" customFormat="false" ht="15" hidden="false" customHeight="false" outlineLevel="0" collapsed="false">
      <c r="A32" s="28"/>
      <c r="B32" s="28"/>
      <c r="C32" s="28"/>
      <c r="D32" s="28"/>
      <c r="E32" s="28"/>
      <c r="F32" s="28"/>
      <c r="G32" s="28"/>
      <c r="H32" s="28"/>
      <c r="I32" s="29" t="str">
        <f aca="false">IF(OR(G32="",H32=""),"",IF(G32=H32,"Yes","No"))</f>
        <v/>
      </c>
      <c r="J32" s="28"/>
      <c r="K32" s="29" t="str">
        <f aca="false">IF(E32="Snowballing","n/a",IF(AND(G32="",H32=""),"",IF(OR(G32="",H32=""),"Waiting",IF(G32=H32,G32,IF(AND(G32&lt;&gt;"Exclude",H32&lt;&gt;"Exclude"),"Maybe",IF(J32&lt;&gt;"",J32,"Pending"))))))</f>
        <v/>
      </c>
      <c r="L32" s="28"/>
      <c r="M32" s="28"/>
      <c r="N32" s="28"/>
      <c r="O32" s="28"/>
      <c r="P32" s="28"/>
    </row>
    <row r="33" customFormat="false" ht="15" hidden="false" customHeight="false" outlineLevel="0" collapsed="false">
      <c r="A33" s="28"/>
      <c r="B33" s="28"/>
      <c r="C33" s="28"/>
      <c r="D33" s="28"/>
      <c r="E33" s="28"/>
      <c r="F33" s="28"/>
      <c r="G33" s="28"/>
      <c r="H33" s="28"/>
      <c r="I33" s="29" t="str">
        <f aca="false">IF(OR(G33="",H33=""),"",IF(G33=H33,"Yes","No"))</f>
        <v/>
      </c>
      <c r="J33" s="28"/>
      <c r="K33" s="29" t="str">
        <f aca="false">IF(E33="Snowballing","n/a",IF(AND(G33="",H33=""),"",IF(OR(G33="",H33=""),"Waiting",IF(G33=H33,G33,IF(AND(G33&lt;&gt;"Exclude",H33&lt;&gt;"Exclude"),"Maybe",IF(J33&lt;&gt;"",J33,"Pending"))))))</f>
        <v/>
      </c>
      <c r="L33" s="28"/>
      <c r="M33" s="28"/>
      <c r="N33" s="28"/>
      <c r="O33" s="28"/>
      <c r="P33" s="28"/>
    </row>
    <row r="34" customFormat="false" ht="15" hidden="false" customHeight="false" outlineLevel="0" collapsed="false">
      <c r="A34" s="28"/>
      <c r="B34" s="28"/>
      <c r="C34" s="28"/>
      <c r="D34" s="28"/>
      <c r="E34" s="28"/>
      <c r="F34" s="28"/>
      <c r="G34" s="28"/>
      <c r="H34" s="28"/>
      <c r="I34" s="29" t="str">
        <f aca="false">IF(OR(G34="",H34=""),"",IF(G34=H34,"Yes","No"))</f>
        <v/>
      </c>
      <c r="J34" s="28"/>
      <c r="K34" s="29" t="str">
        <f aca="false">IF(E34="Snowballing","n/a",IF(AND(G34="",H34=""),"",IF(OR(G34="",H34=""),"Waiting",IF(G34=H34,G34,IF(AND(G34&lt;&gt;"Exclude",H34&lt;&gt;"Exclude"),"Maybe",IF(J34&lt;&gt;"",J34,"Pending"))))))</f>
        <v/>
      </c>
      <c r="L34" s="28"/>
      <c r="M34" s="28"/>
      <c r="N34" s="28"/>
      <c r="O34" s="28"/>
      <c r="P34" s="28"/>
    </row>
    <row r="35" customFormat="false" ht="15" hidden="false" customHeight="false" outlineLevel="0" collapsed="false">
      <c r="A35" s="28"/>
      <c r="B35" s="28"/>
      <c r="C35" s="28"/>
      <c r="D35" s="28"/>
      <c r="E35" s="28"/>
      <c r="F35" s="28"/>
      <c r="G35" s="28"/>
      <c r="H35" s="28"/>
      <c r="I35" s="29" t="str">
        <f aca="false">IF(OR(G35="",H35=""),"",IF(G35=H35,"Yes","No"))</f>
        <v/>
      </c>
      <c r="J35" s="28"/>
      <c r="K35" s="29" t="str">
        <f aca="false">IF(E35="Snowballing","n/a",IF(AND(G35="",H35=""),"",IF(OR(G35="",H35=""),"Waiting",IF(G35=H35,G35,IF(AND(G35&lt;&gt;"Exclude",H35&lt;&gt;"Exclude"),"Maybe",IF(J35&lt;&gt;"",J35,"Pending"))))))</f>
        <v/>
      </c>
      <c r="L35" s="28"/>
      <c r="M35" s="28"/>
      <c r="N35" s="28"/>
      <c r="O35" s="28"/>
      <c r="P35" s="28"/>
    </row>
    <row r="36" customFormat="false" ht="15" hidden="false" customHeight="false" outlineLevel="0" collapsed="false">
      <c r="A36" s="28"/>
      <c r="B36" s="28"/>
      <c r="C36" s="28"/>
      <c r="D36" s="28"/>
      <c r="E36" s="28"/>
      <c r="F36" s="28"/>
      <c r="G36" s="28"/>
      <c r="H36" s="28"/>
      <c r="I36" s="29" t="str">
        <f aca="false">IF(OR(G36="",H36=""),"",IF(G36=H36,"Yes","No"))</f>
        <v/>
      </c>
      <c r="J36" s="28"/>
      <c r="K36" s="29" t="str">
        <f aca="false">IF(E36="Snowballing","n/a",IF(AND(G36="",H36=""),"",IF(OR(G36="",H36=""),"Waiting",IF(G36=H36,G36,IF(AND(G36&lt;&gt;"Exclude",H36&lt;&gt;"Exclude"),"Maybe",IF(J36&lt;&gt;"",J36,"Pending"))))))</f>
        <v/>
      </c>
      <c r="L36" s="28"/>
      <c r="M36" s="28"/>
      <c r="N36" s="28"/>
      <c r="O36" s="28"/>
      <c r="P36" s="28"/>
    </row>
    <row r="37" customFormat="false" ht="1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9" t="str">
        <f aca="false">IF(OR(G37="",H37=""),"",IF(G37=H37,"Yes","No"))</f>
        <v/>
      </c>
      <c r="J37" s="28"/>
      <c r="K37" s="29" t="str">
        <f aca="false">IF(E37="Snowballing","n/a",IF(AND(G37="",H37=""),"",IF(OR(G37="",H37=""),"Waiting",IF(G37=H37,G37,IF(AND(G37&lt;&gt;"Exclude",H37&lt;&gt;"Exclude"),"Maybe",IF(J37&lt;&gt;"",J37,"Pending"))))))</f>
        <v/>
      </c>
      <c r="L37" s="28"/>
      <c r="M37" s="28"/>
      <c r="N37" s="28"/>
      <c r="O37" s="28"/>
      <c r="P37" s="28"/>
    </row>
    <row r="38" customFormat="false" ht="1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9" t="str">
        <f aca="false">IF(OR(G38="",H38=""),"",IF(G38=H38,"Yes","No"))</f>
        <v/>
      </c>
      <c r="J38" s="28"/>
      <c r="K38" s="29" t="str">
        <f aca="false">IF(E38="Snowballing","n/a",IF(AND(G38="",H38=""),"",IF(OR(G38="",H38=""),"Waiting",IF(G38=H38,G38,IF(AND(G38&lt;&gt;"Exclude",H38&lt;&gt;"Exclude"),"Maybe",IF(J38&lt;&gt;"",J38,"Pending"))))))</f>
        <v/>
      </c>
      <c r="L38" s="28"/>
      <c r="M38" s="28"/>
      <c r="N38" s="28"/>
      <c r="O38" s="28"/>
      <c r="P38" s="28"/>
    </row>
    <row r="39" customFormat="false" ht="1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9" t="str">
        <f aca="false">IF(OR(G39="",H39=""),"",IF(G39=H39,"Yes","No"))</f>
        <v/>
      </c>
      <c r="J39" s="28"/>
      <c r="K39" s="29" t="str">
        <f aca="false">IF(E39="Snowballing","n/a",IF(AND(G39="",H39=""),"",IF(OR(G39="",H39=""),"Waiting",IF(G39=H39,G39,IF(AND(G39&lt;&gt;"Exclude",H39&lt;&gt;"Exclude"),"Maybe",IF(J39&lt;&gt;"",J39,"Pending"))))))</f>
        <v/>
      </c>
      <c r="L39" s="28"/>
      <c r="M39" s="28"/>
      <c r="N39" s="28"/>
      <c r="O39" s="28"/>
      <c r="P39" s="28"/>
    </row>
    <row r="40" customFormat="false" ht="1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9" t="str">
        <f aca="false">IF(OR(G40="",H40=""),"",IF(G40=H40,"Yes","No"))</f>
        <v/>
      </c>
      <c r="J40" s="28"/>
      <c r="K40" s="29" t="str">
        <f aca="false">IF(E40="Snowballing","n/a",IF(AND(G40="",H40=""),"",IF(OR(G40="",H40=""),"Waiting",IF(G40=H40,G40,IF(AND(G40&lt;&gt;"Exclude",H40&lt;&gt;"Exclude"),"Maybe",IF(J40&lt;&gt;"",J40,"Pending"))))))</f>
        <v/>
      </c>
      <c r="L40" s="28"/>
      <c r="M40" s="28"/>
      <c r="N40" s="28"/>
      <c r="O40" s="28"/>
      <c r="P40" s="28"/>
    </row>
    <row r="41" customFormat="false" ht="1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9" t="str">
        <f aca="false">IF(OR(G41="",H41=""),"",IF(G41=H41,"Yes","No"))</f>
        <v/>
      </c>
      <c r="J41" s="28"/>
      <c r="K41" s="29" t="str">
        <f aca="false">IF(E41="Snowballing","n/a",IF(AND(G41="",H41=""),"",IF(OR(G41="",H41=""),"Waiting",IF(G41=H41,G41,IF(AND(G41&lt;&gt;"Exclude",H41&lt;&gt;"Exclude"),"Maybe",IF(J41&lt;&gt;"",J41,"Pending"))))))</f>
        <v/>
      </c>
      <c r="L41" s="28"/>
      <c r="M41" s="28"/>
      <c r="N41" s="28"/>
      <c r="O41" s="28"/>
      <c r="P41" s="28"/>
    </row>
    <row r="42" customFormat="false" ht="1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9" t="str">
        <f aca="false">IF(OR(G42="",H42=""),"",IF(G42=H42,"Yes","No"))</f>
        <v/>
      </c>
      <c r="J42" s="28"/>
      <c r="K42" s="29" t="str">
        <f aca="false">IF(E42="Snowballing","n/a",IF(AND(G42="",H42=""),"",IF(OR(G42="",H42=""),"Waiting",IF(G42=H42,G42,IF(AND(G42&lt;&gt;"Exclude",H42&lt;&gt;"Exclude"),"Maybe",IF(J42&lt;&gt;"",J42,"Pending"))))))</f>
        <v/>
      </c>
      <c r="L42" s="28"/>
      <c r="M42" s="28"/>
      <c r="N42" s="28"/>
      <c r="O42" s="28"/>
      <c r="P42" s="28"/>
    </row>
    <row r="43" customFormat="false" ht="1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9" t="str">
        <f aca="false">IF(OR(G43="",H43=""),"",IF(G43=H43,"Yes","No"))</f>
        <v/>
      </c>
      <c r="J43" s="28"/>
      <c r="K43" s="29" t="str">
        <f aca="false">IF(E43="Snowballing","n/a",IF(AND(G43="",H43=""),"",IF(OR(G43="",H43=""),"Waiting",IF(G43=H43,G43,IF(AND(G43&lt;&gt;"Exclude",H43&lt;&gt;"Exclude"),"Maybe",IF(J43&lt;&gt;"",J43,"Pending"))))))</f>
        <v/>
      </c>
      <c r="L43" s="28"/>
      <c r="M43" s="28"/>
      <c r="N43" s="28"/>
      <c r="O43" s="28"/>
      <c r="P43" s="28"/>
    </row>
    <row r="44" customFormat="false" ht="1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9" t="str">
        <f aca="false">IF(OR(G44="",H44=""),"",IF(G44=H44,"Yes","No"))</f>
        <v/>
      </c>
      <c r="J44" s="28"/>
      <c r="K44" s="29" t="str">
        <f aca="false">IF(E44="Snowballing","n/a",IF(AND(G44="",H44=""),"",IF(OR(G44="",H44=""),"Waiting",IF(G44=H44,G44,IF(AND(G44&lt;&gt;"Exclude",H44&lt;&gt;"Exclude"),"Maybe",IF(J44&lt;&gt;"",J44,"Pending"))))))</f>
        <v/>
      </c>
      <c r="L44" s="28"/>
      <c r="M44" s="28"/>
      <c r="N44" s="28"/>
      <c r="O44" s="28"/>
      <c r="P44" s="28"/>
    </row>
    <row r="45" customFormat="false" ht="1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9" t="str">
        <f aca="false">IF(OR(G45="",H45=""),"",IF(G45=H45,"Yes","No"))</f>
        <v/>
      </c>
      <c r="J45" s="28"/>
      <c r="K45" s="29" t="str">
        <f aca="false">IF(E45="Snowballing","n/a",IF(AND(G45="",H45=""),"",IF(OR(G45="",H45=""),"Waiting",IF(G45=H45,G45,IF(AND(G45&lt;&gt;"Exclude",H45&lt;&gt;"Exclude"),"Maybe",IF(J45&lt;&gt;"",J45,"Pending"))))))</f>
        <v/>
      </c>
      <c r="L45" s="28"/>
      <c r="M45" s="28"/>
      <c r="N45" s="28"/>
      <c r="O45" s="28"/>
      <c r="P45" s="28"/>
    </row>
    <row r="46" customFormat="false" ht="1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9" t="str">
        <f aca="false">IF(OR(G46="",H46=""),"",IF(G46=H46,"Yes","No"))</f>
        <v/>
      </c>
      <c r="J46" s="28"/>
      <c r="K46" s="29" t="str">
        <f aca="false">IF(E46="Snowballing","n/a",IF(AND(G46="",H46=""),"",IF(OR(G46="",H46=""),"Waiting",IF(G46=H46,G46,IF(AND(G46&lt;&gt;"Exclude",H46&lt;&gt;"Exclude"),"Maybe",IF(J46&lt;&gt;"",J46,"Pending"))))))</f>
        <v/>
      </c>
      <c r="L46" s="28"/>
      <c r="M46" s="28"/>
      <c r="N46" s="28"/>
      <c r="O46" s="28"/>
      <c r="P46" s="28"/>
    </row>
    <row r="47" customFormat="false" ht="1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9" t="str">
        <f aca="false">IF(OR(G47="",H47=""),"",IF(G47=H47,"Yes","No"))</f>
        <v/>
      </c>
      <c r="J47" s="28"/>
      <c r="K47" s="29" t="str">
        <f aca="false">IF(E47="Snowballing","n/a",IF(AND(G47="",H47=""),"",IF(OR(G47="",H47=""),"Waiting",IF(G47=H47,G47,IF(AND(G47&lt;&gt;"Exclude",H47&lt;&gt;"Exclude"),"Maybe",IF(J47&lt;&gt;"",J47,"Pending"))))))</f>
        <v/>
      </c>
      <c r="L47" s="28"/>
      <c r="M47" s="28"/>
      <c r="N47" s="28"/>
      <c r="O47" s="28"/>
      <c r="P47" s="28"/>
    </row>
    <row r="48" customFormat="false" ht="1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9" t="str">
        <f aca="false">IF(OR(G48="",H48=""),"",IF(G48=H48,"Yes","No"))</f>
        <v/>
      </c>
      <c r="J48" s="28"/>
      <c r="K48" s="29" t="str">
        <f aca="false">IF(E48="Snowballing","n/a",IF(AND(G48="",H48=""),"",IF(OR(G48="",H48=""),"Waiting",IF(G48=H48,G48,IF(AND(G48&lt;&gt;"Exclude",H48&lt;&gt;"Exclude"),"Maybe",IF(J48&lt;&gt;"",J48,"Pending"))))))</f>
        <v/>
      </c>
      <c r="L48" s="28"/>
      <c r="M48" s="28"/>
      <c r="N48" s="28"/>
      <c r="O48" s="28"/>
      <c r="P48" s="28"/>
    </row>
    <row r="49" customFormat="false" ht="1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9" t="str">
        <f aca="false">IF(OR(G49="",H49=""),"",IF(G49=H49,"Yes","No"))</f>
        <v/>
      </c>
      <c r="J49" s="28"/>
      <c r="K49" s="29" t="str">
        <f aca="false">IF(E49="Snowballing","n/a",IF(AND(G49="",H49=""),"",IF(OR(G49="",H49=""),"Waiting",IF(G49=H49,G49,IF(AND(G49&lt;&gt;"Exclude",H49&lt;&gt;"Exclude"),"Maybe",IF(J49&lt;&gt;"",J49,"Pending"))))))</f>
        <v/>
      </c>
      <c r="L49" s="28"/>
      <c r="M49" s="28"/>
      <c r="N49" s="28"/>
      <c r="O49" s="28"/>
      <c r="P49" s="28"/>
    </row>
    <row r="50" customFormat="false" ht="1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9" t="str">
        <f aca="false">IF(OR(G50="",H50=""),"",IF(G50=H50,"Yes","No"))</f>
        <v/>
      </c>
      <c r="J50" s="28"/>
      <c r="K50" s="29" t="str">
        <f aca="false">IF(E50="Snowballing","n/a",IF(AND(G50="",H50=""),"",IF(OR(G50="",H50=""),"Waiting",IF(G50=H50,G50,IF(AND(G50&lt;&gt;"Exclude",H50&lt;&gt;"Exclude"),"Maybe",IF(J50&lt;&gt;"",J50,"Pending"))))))</f>
        <v/>
      </c>
      <c r="L50" s="28"/>
      <c r="M50" s="28"/>
      <c r="N50" s="28"/>
      <c r="O50" s="28"/>
      <c r="P50" s="28"/>
    </row>
    <row r="51" customFormat="false" ht="1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9" t="str">
        <f aca="false">IF(OR(G51="",H51=""),"",IF(G51=H51,"Yes","No"))</f>
        <v/>
      </c>
      <c r="J51" s="28"/>
      <c r="K51" s="29" t="str">
        <f aca="false">IF(E51="Snowballing","n/a",IF(AND(G51="",H51=""),"",IF(OR(G51="",H51=""),"Waiting",IF(G51=H51,G51,IF(AND(G51&lt;&gt;"Exclude",H51&lt;&gt;"Exclude"),"Maybe",IF(J51&lt;&gt;"",J51,"Pending"))))))</f>
        <v/>
      </c>
      <c r="L51" s="28"/>
      <c r="M51" s="28"/>
      <c r="N51" s="28"/>
      <c r="O51" s="28"/>
      <c r="P51" s="28"/>
    </row>
    <row r="52" customFormat="false" ht="1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9" t="str">
        <f aca="false">IF(OR(G52="",H52=""),"",IF(G52=H52,"Yes","No"))</f>
        <v/>
      </c>
      <c r="J52" s="28"/>
      <c r="K52" s="29" t="str">
        <f aca="false">IF(E52="Snowballing","n/a",IF(AND(G52="",H52=""),"",IF(OR(G52="",H52=""),"Waiting",IF(G52=H52,G52,IF(AND(G52&lt;&gt;"Exclude",H52&lt;&gt;"Exclude"),"Maybe",IF(J52&lt;&gt;"",J52,"Pending"))))))</f>
        <v/>
      </c>
      <c r="L52" s="28"/>
      <c r="M52" s="28"/>
      <c r="N52" s="28"/>
      <c r="O52" s="28"/>
      <c r="P52" s="28"/>
    </row>
    <row r="53" customFormat="false" ht="1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9" t="str">
        <f aca="false">IF(OR(G53="",H53=""),"",IF(G53=H53,"Yes","No"))</f>
        <v/>
      </c>
      <c r="J53" s="28"/>
      <c r="K53" s="29" t="str">
        <f aca="false">IF(E53="Snowballing","n/a",IF(AND(G53="",H53=""),"",IF(OR(G53="",H53=""),"Waiting",IF(G53=H53,G53,IF(AND(G53&lt;&gt;"Exclude",H53&lt;&gt;"Exclude"),"Maybe",IF(J53&lt;&gt;"",J53,"Pending"))))))</f>
        <v/>
      </c>
      <c r="L53" s="28"/>
      <c r="M53" s="28"/>
      <c r="N53" s="28"/>
      <c r="O53" s="28"/>
      <c r="P53" s="28"/>
    </row>
    <row r="54" customFormat="false" ht="1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9" t="str">
        <f aca="false">IF(OR(G54="",H54=""),"",IF(G54=H54,"Yes","No"))</f>
        <v/>
      </c>
      <c r="J54" s="28"/>
      <c r="K54" s="29" t="str">
        <f aca="false">IF(E54="Snowballing","n/a",IF(AND(G54="",H54=""),"",IF(OR(G54="",H54=""),"Waiting",IF(G54=H54,G54,IF(AND(G54&lt;&gt;"Exclude",H54&lt;&gt;"Exclude"),"Maybe",IF(J54&lt;&gt;"",J54,"Pending"))))))</f>
        <v/>
      </c>
      <c r="L54" s="28"/>
      <c r="M54" s="28"/>
      <c r="N54" s="28"/>
      <c r="O54" s="28"/>
      <c r="P54" s="28"/>
    </row>
    <row r="55" customFormat="false" ht="1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9" t="str">
        <f aca="false">IF(OR(G55="",H55=""),"",IF(G55=H55,"Yes","No"))</f>
        <v/>
      </c>
      <c r="J55" s="28"/>
      <c r="K55" s="29" t="str">
        <f aca="false">IF(E55="Snowballing","n/a",IF(AND(G55="",H55=""),"",IF(OR(G55="",H55=""),"Waiting",IF(G55=H55,G55,IF(AND(G55&lt;&gt;"Exclude",H55&lt;&gt;"Exclude"),"Maybe",IF(J55&lt;&gt;"",J55,"Pending"))))))</f>
        <v/>
      </c>
      <c r="L55" s="28"/>
      <c r="M55" s="28"/>
      <c r="N55" s="28"/>
      <c r="O55" s="28"/>
      <c r="P55" s="28"/>
    </row>
    <row r="56" customFormat="false" ht="1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9" t="str">
        <f aca="false">IF(OR(G56="",H56=""),"",IF(G56=H56,"Yes","No"))</f>
        <v/>
      </c>
      <c r="J56" s="28"/>
      <c r="K56" s="29" t="str">
        <f aca="false">IF(E56="Snowballing","n/a",IF(AND(G56="",H56=""),"",IF(OR(G56="",H56=""),"Waiting",IF(G56=H56,G56,IF(AND(G56&lt;&gt;"Exclude",H56&lt;&gt;"Exclude"),"Maybe",IF(J56&lt;&gt;"",J56,"Pending"))))))</f>
        <v/>
      </c>
      <c r="L56" s="28"/>
      <c r="M56" s="28"/>
      <c r="N56" s="28"/>
      <c r="O56" s="28"/>
      <c r="P56" s="28"/>
    </row>
    <row r="57" customFormat="false" ht="1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9" t="str">
        <f aca="false">IF(OR(G57="",H57=""),"",IF(G57=H57,"Yes","No"))</f>
        <v/>
      </c>
      <c r="J57" s="28"/>
      <c r="K57" s="29" t="str">
        <f aca="false">IF(E57="Snowballing","n/a",IF(AND(G57="",H57=""),"",IF(OR(G57="",H57=""),"Waiting",IF(G57=H57,G57,IF(AND(G57&lt;&gt;"Exclude",H57&lt;&gt;"Exclude"),"Maybe",IF(J57&lt;&gt;"",J57,"Pending"))))))</f>
        <v/>
      </c>
      <c r="L57" s="28"/>
      <c r="M57" s="28"/>
      <c r="N57" s="28"/>
      <c r="O57" s="28"/>
      <c r="P57" s="28"/>
    </row>
    <row r="58" customFormat="false" ht="1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9" t="str">
        <f aca="false">IF(OR(G58="",H58=""),"",IF(G58=H58,"Yes","No"))</f>
        <v/>
      </c>
      <c r="J58" s="28"/>
      <c r="K58" s="29" t="str">
        <f aca="false">IF(E58="Snowballing","n/a",IF(AND(G58="",H58=""),"",IF(OR(G58="",H58=""),"Waiting",IF(G58=H58,G58,IF(AND(G58&lt;&gt;"Exclude",H58&lt;&gt;"Exclude"),"Maybe",IF(J58&lt;&gt;"",J58,"Pending"))))))</f>
        <v/>
      </c>
      <c r="L58" s="28"/>
      <c r="M58" s="28"/>
      <c r="N58" s="28"/>
      <c r="O58" s="28"/>
      <c r="P58" s="28"/>
    </row>
    <row r="59" customFormat="false" ht="1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9" t="str">
        <f aca="false">IF(OR(G59="",H59=""),"",IF(G59=H59,"Yes","No"))</f>
        <v/>
      </c>
      <c r="J59" s="28"/>
      <c r="K59" s="29" t="str">
        <f aca="false">IF(E59="Snowballing","n/a",IF(AND(G59="",H59=""),"",IF(OR(G59="",H59=""),"Waiting",IF(G59=H59,G59,IF(AND(G59&lt;&gt;"Exclude",H59&lt;&gt;"Exclude"),"Maybe",IF(J59&lt;&gt;"",J59,"Pending"))))))</f>
        <v/>
      </c>
      <c r="L59" s="28"/>
      <c r="M59" s="28"/>
      <c r="N59" s="28"/>
      <c r="O59" s="28"/>
      <c r="P59" s="28"/>
    </row>
    <row r="60" customFormat="false" ht="1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9" t="str">
        <f aca="false">IF(OR(G60="",H60=""),"",IF(G60=H60,"Yes","No"))</f>
        <v/>
      </c>
      <c r="J60" s="28"/>
      <c r="K60" s="29" t="str">
        <f aca="false">IF(E60="Snowballing","n/a",IF(AND(G60="",H60=""),"",IF(OR(G60="",H60=""),"Waiting",IF(G60=H60,G60,IF(AND(G60&lt;&gt;"Exclude",H60&lt;&gt;"Exclude"),"Maybe",IF(J60&lt;&gt;"",J60,"Pending"))))))</f>
        <v/>
      </c>
      <c r="L60" s="28"/>
      <c r="M60" s="28"/>
      <c r="N60" s="28"/>
      <c r="O60" s="28"/>
      <c r="P60" s="28"/>
    </row>
    <row r="61" customFormat="false" ht="1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9" t="str">
        <f aca="false">IF(OR(G61="",H61=""),"",IF(G61=H61,"Yes","No"))</f>
        <v/>
      </c>
      <c r="J61" s="28"/>
      <c r="K61" s="29" t="str">
        <f aca="false">IF(E61="Snowballing","n/a",IF(AND(G61="",H61=""),"",IF(OR(G61="",H61=""),"Waiting",IF(G61=H61,G61,IF(AND(G61&lt;&gt;"Exclude",H61&lt;&gt;"Exclude"),"Maybe",IF(J61&lt;&gt;"",J61,"Pending"))))))</f>
        <v/>
      </c>
      <c r="L61" s="28"/>
      <c r="M61" s="28"/>
      <c r="N61" s="28"/>
      <c r="O61" s="28"/>
      <c r="P61" s="28"/>
    </row>
    <row r="62" customFormat="false" ht="1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9" t="str">
        <f aca="false">IF(OR(G62="",H62=""),"",IF(G62=H62,"Yes","No"))</f>
        <v/>
      </c>
      <c r="J62" s="28"/>
      <c r="K62" s="29" t="str">
        <f aca="false">IF(E62="Snowballing","n/a",IF(AND(G62="",H62=""),"",IF(OR(G62="",H62=""),"Waiting",IF(G62=H62,G62,IF(AND(G62&lt;&gt;"Exclude",H62&lt;&gt;"Exclude"),"Maybe",IF(J62&lt;&gt;"",J62,"Pending"))))))</f>
        <v/>
      </c>
      <c r="L62" s="28"/>
      <c r="M62" s="28"/>
      <c r="N62" s="28"/>
      <c r="O62" s="28"/>
      <c r="P62" s="28"/>
    </row>
    <row r="63" customFormat="false" ht="1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9" t="str">
        <f aca="false">IF(OR(G63="",H63=""),"",IF(G63=H63,"Yes","No"))</f>
        <v/>
      </c>
      <c r="J63" s="28"/>
      <c r="K63" s="29" t="str">
        <f aca="false">IF(E63="Snowballing","n/a",IF(AND(G63="",H63=""),"",IF(OR(G63="",H63=""),"Waiting",IF(G63=H63,G63,IF(AND(G63&lt;&gt;"Exclude",H63&lt;&gt;"Exclude"),"Maybe",IF(J63&lt;&gt;"",J63,"Pending"))))))</f>
        <v/>
      </c>
      <c r="L63" s="28"/>
      <c r="M63" s="28"/>
      <c r="N63" s="28"/>
      <c r="O63" s="28"/>
      <c r="P63" s="28"/>
    </row>
    <row r="64" customFormat="false" ht="1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9" t="str">
        <f aca="false">IF(OR(G64="",H64=""),"",IF(G64=H64,"Yes","No"))</f>
        <v/>
      </c>
      <c r="J64" s="28"/>
      <c r="K64" s="29" t="str">
        <f aca="false">IF(E64="Snowballing","n/a",IF(AND(G64="",H64=""),"",IF(OR(G64="",H64=""),"Waiting",IF(G64=H64,G64,IF(AND(G64&lt;&gt;"Exclude",H64&lt;&gt;"Exclude"),"Maybe",IF(J64&lt;&gt;"",J64,"Pending"))))))</f>
        <v/>
      </c>
      <c r="L64" s="28"/>
      <c r="M64" s="28"/>
      <c r="N64" s="28"/>
      <c r="O64" s="28"/>
      <c r="P64" s="28"/>
    </row>
    <row r="65" customFormat="false" ht="1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9" t="str">
        <f aca="false">IF(OR(G65="",H65=""),"",IF(G65=H65,"Yes","No"))</f>
        <v/>
      </c>
      <c r="J65" s="28"/>
      <c r="K65" s="29" t="str">
        <f aca="false">IF(E65="Snowballing","n/a",IF(AND(G65="",H65=""),"",IF(OR(G65="",H65=""),"Waiting",IF(G65=H65,G65,IF(AND(G65&lt;&gt;"Exclude",H65&lt;&gt;"Exclude"),"Maybe",IF(J65&lt;&gt;"",J65,"Pending"))))))</f>
        <v/>
      </c>
      <c r="L65" s="28"/>
      <c r="M65" s="28"/>
      <c r="N65" s="28"/>
      <c r="O65" s="28"/>
      <c r="P65" s="28"/>
    </row>
    <row r="66" customFormat="false" ht="1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9" t="str">
        <f aca="false">IF(OR(G66="",H66=""),"",IF(G66=H66,"Yes","No"))</f>
        <v/>
      </c>
      <c r="J66" s="28"/>
      <c r="K66" s="29" t="str">
        <f aca="false">IF(E66="Snowballing","n/a",IF(AND(G66="",H66=""),"",IF(OR(G66="",H66=""),"Waiting",IF(G66=H66,G66,IF(AND(G66&lt;&gt;"Exclude",H66&lt;&gt;"Exclude"),"Maybe",IF(J66&lt;&gt;"",J66,"Pending"))))))</f>
        <v/>
      </c>
      <c r="L66" s="28"/>
      <c r="M66" s="28"/>
      <c r="N66" s="28"/>
      <c r="O66" s="28"/>
      <c r="P66" s="28"/>
    </row>
    <row r="67" customFormat="false" ht="1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9" t="str">
        <f aca="false">IF(OR(G67="",H67=""),"",IF(G67=H67,"Yes","No"))</f>
        <v/>
      </c>
      <c r="J67" s="28"/>
      <c r="K67" s="29" t="str">
        <f aca="false">IF(E67="Snowballing","n/a",IF(AND(G67="",H67=""),"",IF(OR(G67="",H67=""),"Waiting",IF(G67=H67,G67,IF(AND(G67&lt;&gt;"Exclude",H67&lt;&gt;"Exclude"),"Maybe",IF(J67&lt;&gt;"",J67,"Pending"))))))</f>
        <v/>
      </c>
      <c r="L67" s="28"/>
      <c r="M67" s="28"/>
      <c r="N67" s="28"/>
      <c r="O67" s="28"/>
      <c r="P67" s="28"/>
    </row>
    <row r="68" customFormat="false" ht="15" hidden="fals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9" t="str">
        <f aca="false">IF(OR(G68="",H68=""),"",IF(G68=H68,"Yes","No"))</f>
        <v/>
      </c>
      <c r="J68" s="28"/>
      <c r="K68" s="29" t="str">
        <f aca="false">IF(E68="Snowballing","n/a",IF(AND(G68="",H68=""),"",IF(OR(G68="",H68=""),"Waiting",IF(G68=H68,G68,IF(AND(G68&lt;&gt;"Exclude",H68&lt;&gt;"Exclude"),"Maybe",IF(J68&lt;&gt;"",J68,"Pending"))))))</f>
        <v/>
      </c>
      <c r="L68" s="28"/>
      <c r="M68" s="28"/>
      <c r="N68" s="28"/>
      <c r="O68" s="28"/>
      <c r="P68" s="28"/>
    </row>
    <row r="69" customFormat="false" ht="15" hidden="fals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9" t="str">
        <f aca="false">IF(OR(G69="",H69=""),"",IF(G69=H69,"Yes","No"))</f>
        <v/>
      </c>
      <c r="J69" s="28"/>
      <c r="K69" s="29" t="str">
        <f aca="false">IF(E69="Snowballing","n/a",IF(AND(G69="",H69=""),"",IF(OR(G69="",H69=""),"Waiting",IF(G69=H69,G69,IF(AND(G69&lt;&gt;"Exclude",H69&lt;&gt;"Exclude"),"Maybe",IF(J69&lt;&gt;"",J69,"Pending"))))))</f>
        <v/>
      </c>
      <c r="L69" s="28"/>
      <c r="M69" s="28"/>
      <c r="N69" s="28"/>
      <c r="O69" s="28"/>
      <c r="P69" s="28"/>
    </row>
    <row r="70" customFormat="false" ht="15" hidden="false" customHeight="false" outlineLevel="0" collapsed="false">
      <c r="A70" s="28"/>
      <c r="B70" s="28"/>
      <c r="C70" s="28"/>
      <c r="D70" s="28"/>
      <c r="E70" s="28"/>
      <c r="F70" s="28"/>
      <c r="G70" s="28"/>
      <c r="H70" s="28"/>
      <c r="I70" s="29" t="str">
        <f aca="false">IF(OR(G70="",H70=""),"",IF(G70=H70,"Yes","No"))</f>
        <v/>
      </c>
      <c r="J70" s="28"/>
      <c r="K70" s="29" t="str">
        <f aca="false">IF(E70="Snowballing","n/a",IF(AND(G70="",H70=""),"",IF(OR(G70="",H70=""),"Waiting",IF(G70=H70,G70,IF(AND(G70&lt;&gt;"Exclude",H70&lt;&gt;"Exclude"),"Maybe",IF(J70&lt;&gt;"",J70,"Pending"))))))</f>
        <v/>
      </c>
      <c r="L70" s="28"/>
      <c r="M70" s="28"/>
      <c r="N70" s="28"/>
      <c r="O70" s="28"/>
      <c r="P70" s="28"/>
    </row>
    <row r="71" customFormat="false" ht="15" hidden="false" customHeight="false" outlineLevel="0" collapsed="false">
      <c r="A71" s="28"/>
      <c r="B71" s="28"/>
      <c r="C71" s="28"/>
      <c r="D71" s="28"/>
      <c r="E71" s="28"/>
      <c r="F71" s="28"/>
      <c r="G71" s="28"/>
      <c r="H71" s="28"/>
      <c r="I71" s="29" t="str">
        <f aca="false">IF(OR(G71="",H71=""),"",IF(G71=H71,"Yes","No"))</f>
        <v/>
      </c>
      <c r="J71" s="28"/>
      <c r="K71" s="29" t="str">
        <f aca="false">IF(E71="Snowballing","n/a",IF(AND(G71="",H71=""),"",IF(OR(G71="",H71=""),"Waiting",IF(G71=H71,G71,IF(AND(G71&lt;&gt;"Exclude",H71&lt;&gt;"Exclude"),"Maybe",IF(J71&lt;&gt;"",J71,"Pending"))))))</f>
        <v/>
      </c>
      <c r="L71" s="28"/>
      <c r="M71" s="28"/>
      <c r="N71" s="28"/>
      <c r="O71" s="28"/>
      <c r="P71" s="28"/>
    </row>
    <row r="72" customFormat="false" ht="15" hidden="false" customHeight="false" outlineLevel="0" collapsed="false">
      <c r="A72" s="28"/>
      <c r="B72" s="28"/>
      <c r="C72" s="28"/>
      <c r="D72" s="28"/>
      <c r="E72" s="28"/>
      <c r="F72" s="28"/>
      <c r="G72" s="28"/>
      <c r="H72" s="28"/>
      <c r="I72" s="29" t="str">
        <f aca="false">IF(OR(G72="",H72=""),"",IF(G72=H72,"Yes","No"))</f>
        <v/>
      </c>
      <c r="J72" s="28"/>
      <c r="K72" s="29" t="str">
        <f aca="false">IF(E72="Snowballing","n/a",IF(AND(G72="",H72=""),"",IF(OR(G72="",H72=""),"Waiting",IF(G72=H72,G72,IF(AND(G72&lt;&gt;"Exclude",H72&lt;&gt;"Exclude"),"Maybe",IF(J72&lt;&gt;"",J72,"Pending"))))))</f>
        <v/>
      </c>
      <c r="L72" s="28"/>
      <c r="M72" s="28"/>
      <c r="N72" s="28"/>
      <c r="O72" s="28"/>
      <c r="P72" s="28"/>
    </row>
    <row r="73" customFormat="false" ht="15" hidden="false" customHeight="false" outlineLevel="0" collapsed="false">
      <c r="A73" s="28"/>
      <c r="B73" s="28"/>
      <c r="C73" s="28"/>
      <c r="D73" s="28"/>
      <c r="E73" s="28"/>
      <c r="F73" s="28"/>
      <c r="G73" s="28"/>
      <c r="H73" s="28"/>
      <c r="I73" s="29" t="str">
        <f aca="false">IF(OR(G73="",H73=""),"",IF(G73=H73,"Yes","No"))</f>
        <v/>
      </c>
      <c r="J73" s="28"/>
      <c r="K73" s="29" t="str">
        <f aca="false">IF(E73="Snowballing","n/a",IF(AND(G73="",H73=""),"",IF(OR(G73="",H73=""),"Waiting",IF(G73=H73,G73,IF(AND(G73&lt;&gt;"Exclude",H73&lt;&gt;"Exclude"),"Maybe",IF(J73&lt;&gt;"",J73,"Pending"))))))</f>
        <v/>
      </c>
      <c r="L73" s="28"/>
      <c r="M73" s="28"/>
      <c r="N73" s="28"/>
      <c r="O73" s="28"/>
      <c r="P73" s="28"/>
    </row>
    <row r="74" customFormat="false" ht="15" hidden="false" customHeight="false" outlineLevel="0" collapsed="false">
      <c r="A74" s="28"/>
      <c r="B74" s="28"/>
      <c r="C74" s="28"/>
      <c r="D74" s="28"/>
      <c r="E74" s="28"/>
      <c r="F74" s="28"/>
      <c r="G74" s="28"/>
      <c r="H74" s="28"/>
      <c r="I74" s="29" t="str">
        <f aca="false">IF(OR(G74="",H74=""),"",IF(G74=H74,"Yes","No"))</f>
        <v/>
      </c>
      <c r="J74" s="28"/>
      <c r="K74" s="29" t="str">
        <f aca="false">IF(E74="Snowballing","n/a",IF(AND(G74="",H74=""),"",IF(OR(G74="",H74=""),"Waiting",IF(G74=H74,G74,IF(AND(G74&lt;&gt;"Exclude",H74&lt;&gt;"Exclude"),"Maybe",IF(J74&lt;&gt;"",J74,"Pending"))))))</f>
        <v/>
      </c>
      <c r="L74" s="28"/>
      <c r="M74" s="28"/>
      <c r="N74" s="28"/>
      <c r="O74" s="28"/>
      <c r="P74" s="28"/>
    </row>
    <row r="75" customFormat="false" ht="15" hidden="false" customHeight="false" outlineLevel="0" collapsed="false">
      <c r="A75" s="28"/>
      <c r="B75" s="28"/>
      <c r="C75" s="28"/>
      <c r="D75" s="28"/>
      <c r="E75" s="28"/>
      <c r="F75" s="28"/>
      <c r="G75" s="28"/>
      <c r="H75" s="28"/>
      <c r="I75" s="29" t="str">
        <f aca="false">IF(OR(G75="",H75=""),"",IF(G75=H75,"Yes","No"))</f>
        <v/>
      </c>
      <c r="J75" s="28"/>
      <c r="K75" s="29" t="str">
        <f aca="false">IF(E75="Snowballing","n/a",IF(AND(G75="",H75=""),"",IF(OR(G75="",H75=""),"Waiting",IF(G75=H75,G75,IF(AND(G75&lt;&gt;"Exclude",H75&lt;&gt;"Exclude"),"Maybe",IF(J75&lt;&gt;"",J75,"Pending"))))))</f>
        <v/>
      </c>
      <c r="L75" s="28"/>
      <c r="M75" s="28"/>
      <c r="N75" s="28"/>
      <c r="O75" s="28"/>
      <c r="P75" s="28"/>
    </row>
    <row r="76" customFormat="false" ht="15" hidden="false" customHeight="false" outlineLevel="0" collapsed="false">
      <c r="A76" s="28"/>
      <c r="B76" s="28"/>
      <c r="C76" s="28"/>
      <c r="D76" s="28"/>
      <c r="E76" s="28"/>
      <c r="F76" s="28"/>
      <c r="G76" s="28"/>
      <c r="H76" s="28"/>
      <c r="I76" s="29" t="str">
        <f aca="false">IF(OR(G76="",H76=""),"",IF(G76=H76,"Yes","No"))</f>
        <v/>
      </c>
      <c r="J76" s="28"/>
      <c r="K76" s="29" t="str">
        <f aca="false">IF(E76="Snowballing","n/a",IF(AND(G76="",H76=""),"",IF(OR(G76="",H76=""),"Waiting",IF(G76=H76,G76,IF(AND(G76&lt;&gt;"Exclude",H76&lt;&gt;"Exclude"),"Maybe",IF(J76&lt;&gt;"",J76,"Pending"))))))</f>
        <v/>
      </c>
      <c r="L76" s="28"/>
      <c r="M76" s="28"/>
      <c r="N76" s="28"/>
      <c r="O76" s="28"/>
      <c r="P76" s="28"/>
    </row>
    <row r="77" customFormat="false" ht="15" hidden="false" customHeight="false" outlineLevel="0" collapsed="false">
      <c r="A77" s="28"/>
      <c r="B77" s="28"/>
      <c r="C77" s="28"/>
      <c r="D77" s="28"/>
      <c r="E77" s="28"/>
      <c r="F77" s="28"/>
      <c r="G77" s="28"/>
      <c r="H77" s="28"/>
      <c r="I77" s="29" t="str">
        <f aca="false">IF(OR(G77="",H77=""),"",IF(G77=H77,"Yes","No"))</f>
        <v/>
      </c>
      <c r="J77" s="28"/>
      <c r="K77" s="29" t="str">
        <f aca="false">IF(E77="Snowballing","n/a",IF(AND(G77="",H77=""),"",IF(OR(G77="",H77=""),"Waiting",IF(G77=H77,G77,IF(AND(G77&lt;&gt;"Exclude",H77&lt;&gt;"Exclude"),"Maybe",IF(J77&lt;&gt;"",J77,"Pending"))))))</f>
        <v/>
      </c>
      <c r="L77" s="28"/>
      <c r="M77" s="28"/>
      <c r="N77" s="28"/>
      <c r="O77" s="28"/>
      <c r="P77" s="28"/>
    </row>
    <row r="78" customFormat="false" ht="15" hidden="false" customHeight="false" outlineLevel="0" collapsed="false">
      <c r="A78" s="28"/>
      <c r="B78" s="28"/>
      <c r="C78" s="28"/>
      <c r="D78" s="28"/>
      <c r="E78" s="28"/>
      <c r="F78" s="28"/>
      <c r="G78" s="28"/>
      <c r="H78" s="28"/>
      <c r="I78" s="29" t="str">
        <f aca="false">IF(OR(G78="",H78=""),"",IF(G78=H78,"Yes","No"))</f>
        <v/>
      </c>
      <c r="J78" s="28"/>
      <c r="K78" s="29" t="str">
        <f aca="false">IF(E78="Snowballing","n/a",IF(AND(G78="",H78=""),"",IF(OR(G78="",H78=""),"Waiting",IF(G78=H78,G78,IF(AND(G78&lt;&gt;"Exclude",H78&lt;&gt;"Exclude"),"Maybe",IF(J78&lt;&gt;"",J78,"Pending"))))))</f>
        <v/>
      </c>
      <c r="L78" s="28"/>
      <c r="M78" s="28"/>
      <c r="N78" s="28"/>
      <c r="O78" s="28"/>
      <c r="P78" s="28"/>
    </row>
    <row r="79" customFormat="false" ht="15" hidden="false" customHeight="false" outlineLevel="0" collapsed="false">
      <c r="A79" s="28"/>
      <c r="B79" s="28"/>
      <c r="C79" s="28"/>
      <c r="D79" s="28"/>
      <c r="E79" s="28"/>
      <c r="F79" s="28"/>
      <c r="G79" s="28"/>
      <c r="H79" s="28"/>
      <c r="I79" s="29" t="str">
        <f aca="false">IF(OR(G79="",H79=""),"",IF(G79=H79,"Yes","No"))</f>
        <v/>
      </c>
      <c r="J79" s="28"/>
      <c r="K79" s="29" t="str">
        <f aca="false">IF(E79="Snowballing","n/a",IF(AND(G79="",H79=""),"",IF(OR(G79="",H79=""),"Waiting",IF(G79=H79,G79,IF(AND(G79&lt;&gt;"Exclude",H79&lt;&gt;"Exclude"),"Maybe",IF(J79&lt;&gt;"",J79,"Pending"))))))</f>
        <v/>
      </c>
      <c r="L79" s="28"/>
      <c r="M79" s="28"/>
      <c r="N79" s="28"/>
      <c r="O79" s="28"/>
      <c r="P79" s="28"/>
    </row>
    <row r="80" customFormat="false" ht="15" hidden="false" customHeight="false" outlineLevel="0" collapsed="false">
      <c r="A80" s="28"/>
      <c r="B80" s="28"/>
      <c r="C80" s="28"/>
      <c r="D80" s="28"/>
      <c r="E80" s="28"/>
      <c r="F80" s="28"/>
      <c r="G80" s="28"/>
      <c r="H80" s="28"/>
      <c r="I80" s="29" t="str">
        <f aca="false">IF(OR(G80="",H80=""),"",IF(G80=H80,"Yes","No"))</f>
        <v/>
      </c>
      <c r="J80" s="28"/>
      <c r="K80" s="29" t="str">
        <f aca="false">IF(E80="Snowballing","n/a",IF(AND(G80="",H80=""),"",IF(OR(G80="",H80=""),"Waiting",IF(G80=H80,G80,IF(AND(G80&lt;&gt;"Exclude",H80&lt;&gt;"Exclude"),"Maybe",IF(J80&lt;&gt;"",J80,"Pending"))))))</f>
        <v/>
      </c>
      <c r="L80" s="28"/>
      <c r="M80" s="28"/>
      <c r="N80" s="28"/>
      <c r="O80" s="28"/>
      <c r="P80" s="28"/>
    </row>
    <row r="81" customFormat="false" ht="1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9" t="str">
        <f aca="false">IF(OR(G81="",H81=""),"",IF(G81=H81,"Yes","No"))</f>
        <v/>
      </c>
      <c r="J81" s="28"/>
      <c r="K81" s="29" t="str">
        <f aca="false">IF(E81="Snowballing","n/a",IF(AND(G81="",H81=""),"",IF(OR(G81="",H81=""),"Waiting",IF(G81=H81,G81,IF(AND(G81&lt;&gt;"Exclude",H81&lt;&gt;"Exclude"),"Maybe",IF(J81&lt;&gt;"",J81,"Pending"))))))</f>
        <v/>
      </c>
      <c r="L81" s="28"/>
      <c r="M81" s="28"/>
      <c r="N81" s="28"/>
      <c r="O81" s="28"/>
      <c r="P81" s="28"/>
    </row>
    <row r="82" customFormat="false" ht="15" hidden="false" customHeight="false" outlineLevel="0" collapsed="false">
      <c r="A82" s="28"/>
      <c r="B82" s="28"/>
      <c r="C82" s="28"/>
      <c r="D82" s="28"/>
      <c r="E82" s="28"/>
      <c r="F82" s="28"/>
      <c r="G82" s="28"/>
      <c r="H82" s="28"/>
      <c r="I82" s="29" t="str">
        <f aca="false">IF(OR(G82="",H82=""),"",IF(G82=H82,"Yes","No"))</f>
        <v/>
      </c>
      <c r="J82" s="28"/>
      <c r="K82" s="29" t="str">
        <f aca="false">IF(E82="Snowballing","n/a",IF(AND(G82="",H82=""),"",IF(OR(G82="",H82=""),"Waiting",IF(G82=H82,G82,IF(AND(G82&lt;&gt;"Exclude",H82&lt;&gt;"Exclude"),"Maybe",IF(J82&lt;&gt;"",J82,"Pending"))))))</f>
        <v/>
      </c>
      <c r="L82" s="28"/>
      <c r="M82" s="28"/>
      <c r="N82" s="28"/>
      <c r="O82" s="28"/>
      <c r="P82" s="28"/>
    </row>
    <row r="83" customFormat="false" ht="15" hidden="false" customHeight="false" outlineLevel="0" collapsed="false">
      <c r="A83" s="28"/>
      <c r="B83" s="28"/>
      <c r="C83" s="28"/>
      <c r="D83" s="28"/>
      <c r="E83" s="28"/>
      <c r="F83" s="28"/>
      <c r="G83" s="28"/>
      <c r="H83" s="28"/>
      <c r="I83" s="29" t="str">
        <f aca="false">IF(OR(G83="",H83=""),"",IF(G83=H83,"Yes","No"))</f>
        <v/>
      </c>
      <c r="J83" s="28"/>
      <c r="K83" s="29" t="str">
        <f aca="false">IF(E83="Snowballing","n/a",IF(AND(G83="",H83=""),"",IF(OR(G83="",H83=""),"Waiting",IF(G83=H83,G83,IF(AND(G83&lt;&gt;"Exclude",H83&lt;&gt;"Exclude"),"Maybe",IF(J83&lt;&gt;"",J83,"Pending"))))))</f>
        <v/>
      </c>
      <c r="L83" s="28"/>
      <c r="M83" s="28"/>
      <c r="N83" s="28"/>
      <c r="O83" s="28"/>
      <c r="P83" s="28"/>
    </row>
    <row r="84" customFormat="false" ht="15" hidden="false" customHeight="false" outlineLevel="0" collapsed="false">
      <c r="A84" s="28"/>
      <c r="B84" s="28"/>
      <c r="C84" s="28"/>
      <c r="D84" s="28"/>
      <c r="E84" s="28"/>
      <c r="F84" s="28"/>
      <c r="G84" s="28"/>
      <c r="H84" s="28"/>
      <c r="I84" s="29" t="str">
        <f aca="false">IF(OR(G84="",H84=""),"",IF(G84=H84,"Yes","No"))</f>
        <v/>
      </c>
      <c r="J84" s="28"/>
      <c r="K84" s="29" t="str">
        <f aca="false">IF(E84="Snowballing","n/a",IF(AND(G84="",H84=""),"",IF(OR(G84="",H84=""),"Waiting",IF(G84=H84,G84,IF(AND(G84&lt;&gt;"Exclude",H84&lt;&gt;"Exclude"),"Maybe",IF(J84&lt;&gt;"",J84,"Pending"))))))</f>
        <v/>
      </c>
      <c r="L84" s="28"/>
      <c r="M84" s="28"/>
      <c r="N84" s="28"/>
      <c r="O84" s="28"/>
      <c r="P84" s="28"/>
    </row>
    <row r="85" customFormat="false" ht="15" hidden="false" customHeight="false" outlineLevel="0" collapsed="false">
      <c r="A85" s="28"/>
      <c r="B85" s="28"/>
      <c r="C85" s="28"/>
      <c r="D85" s="28"/>
      <c r="E85" s="28"/>
      <c r="F85" s="28"/>
      <c r="G85" s="28"/>
      <c r="H85" s="28"/>
      <c r="I85" s="29" t="str">
        <f aca="false">IF(OR(G85="",H85=""),"",IF(G85=H85,"Yes","No"))</f>
        <v/>
      </c>
      <c r="J85" s="28"/>
      <c r="K85" s="29" t="str">
        <f aca="false">IF(E85="Snowballing","n/a",IF(AND(G85="",H85=""),"",IF(OR(G85="",H85=""),"Waiting",IF(G85=H85,G85,IF(AND(G85&lt;&gt;"Exclude",H85&lt;&gt;"Exclude"),"Maybe",IF(J85&lt;&gt;"",J85,"Pending"))))))</f>
        <v/>
      </c>
      <c r="L85" s="28"/>
      <c r="M85" s="28"/>
      <c r="N85" s="28"/>
      <c r="O85" s="28"/>
      <c r="P85" s="28"/>
    </row>
    <row r="86" customFormat="false" ht="15" hidden="false" customHeight="false" outlineLevel="0" collapsed="false">
      <c r="A86" s="28"/>
      <c r="B86" s="28"/>
      <c r="C86" s="28"/>
      <c r="D86" s="28"/>
      <c r="E86" s="28"/>
      <c r="F86" s="28"/>
      <c r="G86" s="28"/>
      <c r="H86" s="28"/>
      <c r="I86" s="29" t="str">
        <f aca="false">IF(OR(G86="",H86=""),"",IF(G86=H86,"Yes","No"))</f>
        <v/>
      </c>
      <c r="J86" s="28"/>
      <c r="K86" s="29" t="str">
        <f aca="false">IF(E86="Snowballing","n/a",IF(AND(G86="",H86=""),"",IF(OR(G86="",H86=""),"Waiting",IF(G86=H86,G86,IF(AND(G86&lt;&gt;"Exclude",H86&lt;&gt;"Exclude"),"Maybe",IF(J86&lt;&gt;"",J86,"Pending"))))))</f>
        <v/>
      </c>
      <c r="L86" s="28"/>
      <c r="M86" s="28"/>
      <c r="N86" s="28"/>
      <c r="O86" s="28"/>
      <c r="P86" s="28"/>
    </row>
    <row r="87" customFormat="false" ht="15" hidden="false" customHeight="false" outlineLevel="0" collapsed="false">
      <c r="A87" s="28"/>
      <c r="B87" s="28"/>
      <c r="C87" s="28"/>
      <c r="D87" s="28"/>
      <c r="E87" s="28"/>
      <c r="F87" s="28"/>
      <c r="G87" s="28"/>
      <c r="H87" s="28"/>
      <c r="I87" s="29" t="str">
        <f aca="false">IF(OR(G87="",H87=""),"",IF(G87=H87,"Yes","No"))</f>
        <v/>
      </c>
      <c r="J87" s="28"/>
      <c r="K87" s="29" t="str">
        <f aca="false">IF(E87="Snowballing","n/a",IF(AND(G87="",H87=""),"",IF(OR(G87="",H87=""),"Waiting",IF(G87=H87,G87,IF(AND(G87&lt;&gt;"Exclude",H87&lt;&gt;"Exclude"),"Maybe",IF(J87&lt;&gt;"",J87,"Pending"))))))</f>
        <v/>
      </c>
      <c r="L87" s="28"/>
      <c r="M87" s="28"/>
      <c r="N87" s="28"/>
      <c r="O87" s="28"/>
      <c r="P87" s="28"/>
    </row>
    <row r="88" customFormat="false" ht="15" hidden="false" customHeight="false" outlineLevel="0" collapsed="false">
      <c r="A88" s="28"/>
      <c r="B88" s="28"/>
      <c r="C88" s="28"/>
      <c r="D88" s="28"/>
      <c r="E88" s="28"/>
      <c r="F88" s="28"/>
      <c r="G88" s="28"/>
      <c r="H88" s="28"/>
      <c r="I88" s="29" t="str">
        <f aca="false">IF(OR(G88="",H88=""),"",IF(G88=H88,"Yes","No"))</f>
        <v/>
      </c>
      <c r="J88" s="28"/>
      <c r="K88" s="29" t="str">
        <f aca="false">IF(E88="Snowballing","n/a",IF(AND(G88="",H88=""),"",IF(OR(G88="",H88=""),"Waiting",IF(G88=H88,G88,IF(AND(G88&lt;&gt;"Exclude",H88&lt;&gt;"Exclude"),"Maybe",IF(J88&lt;&gt;"",J88,"Pending"))))))</f>
        <v/>
      </c>
      <c r="L88" s="28"/>
      <c r="M88" s="28"/>
      <c r="N88" s="28"/>
      <c r="O88" s="28"/>
      <c r="P88" s="28"/>
    </row>
    <row r="89" customFormat="false" ht="15" hidden="false" customHeight="false" outlineLevel="0" collapsed="false">
      <c r="A89" s="28"/>
      <c r="B89" s="28"/>
      <c r="C89" s="28"/>
      <c r="D89" s="28"/>
      <c r="E89" s="28"/>
      <c r="F89" s="28"/>
      <c r="G89" s="28"/>
      <c r="H89" s="28"/>
      <c r="I89" s="29" t="str">
        <f aca="false">IF(OR(G89="",H89=""),"",IF(G89=H89,"Yes","No"))</f>
        <v/>
      </c>
      <c r="J89" s="28"/>
      <c r="K89" s="29" t="str">
        <f aca="false">IF(E89="Snowballing","n/a",IF(AND(G89="",H89=""),"",IF(OR(G89="",H89=""),"Waiting",IF(G89=H89,G89,IF(AND(G89&lt;&gt;"Exclude",H89&lt;&gt;"Exclude"),"Maybe",IF(J89&lt;&gt;"",J89,"Pending"))))))</f>
        <v/>
      </c>
      <c r="L89" s="28"/>
      <c r="M89" s="28"/>
      <c r="N89" s="28"/>
      <c r="O89" s="28"/>
      <c r="P89" s="28"/>
    </row>
    <row r="90" customFormat="false" ht="15" hidden="false" customHeight="false" outlineLevel="0" collapsed="false">
      <c r="A90" s="28"/>
      <c r="B90" s="28"/>
      <c r="C90" s="28"/>
      <c r="D90" s="28"/>
      <c r="E90" s="28"/>
      <c r="F90" s="28"/>
      <c r="G90" s="28"/>
      <c r="H90" s="28"/>
      <c r="I90" s="29" t="str">
        <f aca="false">IF(OR(G90="",H90=""),"",IF(G90=H90,"Yes","No"))</f>
        <v/>
      </c>
      <c r="J90" s="28"/>
      <c r="K90" s="29" t="str">
        <f aca="false">IF(E90="Snowballing","n/a",IF(AND(G90="",H90=""),"",IF(OR(G90="",H90=""),"Waiting",IF(G90=H90,G90,IF(AND(G90&lt;&gt;"Exclude",H90&lt;&gt;"Exclude"),"Maybe",IF(J90&lt;&gt;"",J90,"Pending"))))))</f>
        <v/>
      </c>
      <c r="L90" s="28"/>
      <c r="M90" s="28"/>
      <c r="N90" s="28"/>
      <c r="O90" s="28"/>
      <c r="P90" s="28"/>
    </row>
    <row r="91" customFormat="false" ht="15" hidden="false" customHeight="false" outlineLevel="0" collapsed="false">
      <c r="A91" s="28"/>
      <c r="B91" s="28"/>
      <c r="C91" s="28"/>
      <c r="D91" s="28"/>
      <c r="E91" s="28"/>
      <c r="F91" s="28"/>
      <c r="G91" s="28"/>
      <c r="H91" s="28"/>
      <c r="I91" s="29" t="str">
        <f aca="false">IF(OR(G91="",H91=""),"",IF(G91=H91,"Yes","No"))</f>
        <v/>
      </c>
      <c r="J91" s="28"/>
      <c r="K91" s="29" t="str">
        <f aca="false">IF(E91="Snowballing","n/a",IF(AND(G91="",H91=""),"",IF(OR(G91="",H91=""),"Waiting",IF(G91=H91,G91,IF(AND(G91&lt;&gt;"Exclude",H91&lt;&gt;"Exclude"),"Maybe",IF(J91&lt;&gt;"",J91,"Pending"))))))</f>
        <v/>
      </c>
      <c r="L91" s="28"/>
      <c r="M91" s="28"/>
      <c r="N91" s="28"/>
      <c r="O91" s="28"/>
      <c r="P91" s="28"/>
    </row>
    <row r="92" customFormat="false" ht="15" hidden="false" customHeight="false" outlineLevel="0" collapsed="false">
      <c r="A92" s="28"/>
      <c r="B92" s="28"/>
      <c r="C92" s="28"/>
      <c r="D92" s="28"/>
      <c r="E92" s="28"/>
      <c r="F92" s="28"/>
      <c r="G92" s="28"/>
      <c r="H92" s="28"/>
      <c r="I92" s="29" t="str">
        <f aca="false">IF(OR(G92="",H92=""),"",IF(G92=H92,"Yes","No"))</f>
        <v/>
      </c>
      <c r="J92" s="28"/>
      <c r="K92" s="29" t="str">
        <f aca="false">IF(E92="Snowballing","n/a",IF(AND(G92="",H92=""),"",IF(OR(G92="",H92=""),"Waiting",IF(G92=H92,G92,IF(AND(G92&lt;&gt;"Exclude",H92&lt;&gt;"Exclude"),"Maybe",IF(J92&lt;&gt;"",J92,"Pending"))))))</f>
        <v/>
      </c>
      <c r="L92" s="28"/>
      <c r="M92" s="28"/>
      <c r="N92" s="28"/>
      <c r="O92" s="28"/>
      <c r="P92" s="28"/>
    </row>
    <row r="93" customFormat="false" ht="15" hidden="false" customHeight="false" outlineLevel="0" collapsed="false">
      <c r="A93" s="28"/>
      <c r="B93" s="28"/>
      <c r="C93" s="28"/>
      <c r="D93" s="28"/>
      <c r="E93" s="28"/>
      <c r="F93" s="28"/>
      <c r="G93" s="28"/>
      <c r="H93" s="28"/>
      <c r="I93" s="29" t="str">
        <f aca="false">IF(OR(G93="",H93=""),"",IF(G93=H93,"Yes","No"))</f>
        <v/>
      </c>
      <c r="J93" s="28"/>
      <c r="K93" s="29" t="str">
        <f aca="false">IF(E93="Snowballing","n/a",IF(AND(G93="",H93=""),"",IF(OR(G93="",H93=""),"Waiting",IF(G93=H93,G93,IF(AND(G93&lt;&gt;"Exclude",H93&lt;&gt;"Exclude"),"Maybe",IF(J93&lt;&gt;"",J93,"Pending"))))))</f>
        <v/>
      </c>
      <c r="L93" s="28"/>
      <c r="M93" s="28"/>
      <c r="N93" s="28"/>
      <c r="O93" s="28"/>
      <c r="P93" s="28"/>
    </row>
    <row r="94" customFormat="false" ht="15" hidden="false" customHeight="false" outlineLevel="0" collapsed="false">
      <c r="A94" s="28"/>
      <c r="B94" s="28"/>
      <c r="C94" s="28"/>
      <c r="D94" s="28"/>
      <c r="E94" s="28"/>
      <c r="F94" s="28"/>
      <c r="G94" s="28"/>
      <c r="H94" s="28"/>
      <c r="I94" s="29" t="str">
        <f aca="false">IF(OR(G94="",H94=""),"",IF(G94=H94,"Yes","No"))</f>
        <v/>
      </c>
      <c r="J94" s="28"/>
      <c r="K94" s="29" t="str">
        <f aca="false">IF(E94="Snowballing","n/a",IF(AND(G94="",H94=""),"",IF(OR(G94="",H94=""),"Waiting",IF(G94=H94,G94,IF(AND(G94&lt;&gt;"Exclude",H94&lt;&gt;"Exclude"),"Maybe",IF(J94&lt;&gt;"",J94,"Pending"))))))</f>
        <v/>
      </c>
      <c r="L94" s="28"/>
      <c r="M94" s="28"/>
      <c r="N94" s="28"/>
      <c r="O94" s="28"/>
      <c r="P94" s="28"/>
    </row>
    <row r="95" customFormat="false" ht="15" hidden="false" customHeight="false" outlineLevel="0" collapsed="false">
      <c r="A95" s="28"/>
      <c r="B95" s="28"/>
      <c r="C95" s="28"/>
      <c r="D95" s="28"/>
      <c r="E95" s="28"/>
      <c r="F95" s="28"/>
      <c r="G95" s="28"/>
      <c r="H95" s="28"/>
      <c r="I95" s="29" t="str">
        <f aca="false">IF(OR(G95="",H95=""),"",IF(G95=H95,"Yes","No"))</f>
        <v/>
      </c>
      <c r="J95" s="28"/>
      <c r="K95" s="29" t="str">
        <f aca="false">IF(E95="Snowballing","n/a",IF(AND(G95="",H95=""),"",IF(OR(G95="",H95=""),"Waiting",IF(G95=H95,G95,IF(AND(G95&lt;&gt;"Exclude",H95&lt;&gt;"Exclude"),"Maybe",IF(J95&lt;&gt;"",J95,"Pending"))))))</f>
        <v/>
      </c>
      <c r="L95" s="28"/>
      <c r="M95" s="28"/>
      <c r="N95" s="28"/>
      <c r="O95" s="28"/>
      <c r="P95" s="28"/>
    </row>
    <row r="96" customFormat="false" ht="15" hidden="false" customHeight="false" outlineLevel="0" collapsed="false">
      <c r="A96" s="28"/>
      <c r="B96" s="28"/>
      <c r="C96" s="28"/>
      <c r="D96" s="28"/>
      <c r="E96" s="28"/>
      <c r="F96" s="28"/>
      <c r="G96" s="28"/>
      <c r="H96" s="28"/>
      <c r="I96" s="29" t="str">
        <f aca="false">IF(OR(G96="",H96=""),"",IF(G96=H96,"Yes","No"))</f>
        <v/>
      </c>
      <c r="J96" s="28"/>
      <c r="K96" s="29" t="str">
        <f aca="false">IF(E96="Snowballing","n/a",IF(AND(G96="",H96=""),"",IF(OR(G96="",H96=""),"Waiting",IF(G96=H96,G96,IF(AND(G96&lt;&gt;"Exclude",H96&lt;&gt;"Exclude"),"Maybe",IF(J96&lt;&gt;"",J96,"Pending"))))))</f>
        <v/>
      </c>
      <c r="L96" s="28"/>
      <c r="M96" s="28"/>
      <c r="N96" s="28"/>
      <c r="O96" s="28"/>
      <c r="P96" s="28"/>
    </row>
    <row r="97" customFormat="false" ht="15" hidden="false" customHeight="false" outlineLevel="0" collapsed="false">
      <c r="A97" s="28"/>
      <c r="B97" s="28"/>
      <c r="C97" s="28"/>
      <c r="D97" s="28"/>
      <c r="E97" s="28"/>
      <c r="F97" s="28"/>
      <c r="G97" s="28"/>
      <c r="H97" s="28"/>
      <c r="I97" s="29" t="str">
        <f aca="false">IF(OR(G97="",H97=""),"",IF(G97=H97,"Yes","No"))</f>
        <v/>
      </c>
      <c r="J97" s="28"/>
      <c r="K97" s="29" t="str">
        <f aca="false">IF(E97="Snowballing","n/a",IF(AND(G97="",H97=""),"",IF(OR(G97="",H97=""),"Waiting",IF(G97=H97,G97,IF(AND(G97&lt;&gt;"Exclude",H97&lt;&gt;"Exclude"),"Maybe",IF(J97&lt;&gt;"",J97,"Pending"))))))</f>
        <v/>
      </c>
      <c r="L97" s="28"/>
      <c r="M97" s="28"/>
      <c r="N97" s="28"/>
      <c r="O97" s="28"/>
      <c r="P97" s="28"/>
    </row>
    <row r="98" customFormat="false" ht="15" hidden="false" customHeight="false" outlineLevel="0" collapsed="false">
      <c r="A98" s="28"/>
      <c r="B98" s="28"/>
      <c r="C98" s="28"/>
      <c r="D98" s="28"/>
      <c r="E98" s="28"/>
      <c r="F98" s="28"/>
      <c r="G98" s="28"/>
      <c r="H98" s="28"/>
      <c r="I98" s="29" t="str">
        <f aca="false">IF(OR(G98="",H98=""),"",IF(G98=H98,"Yes","No"))</f>
        <v/>
      </c>
      <c r="J98" s="28"/>
      <c r="K98" s="29" t="str">
        <f aca="false">IF(E98="Snowballing","n/a",IF(AND(G98="",H98=""),"",IF(OR(G98="",H98=""),"Waiting",IF(G98=H98,G98,IF(AND(G98&lt;&gt;"Exclude",H98&lt;&gt;"Exclude"),"Maybe",IF(J98&lt;&gt;"",J98,"Pending"))))))</f>
        <v/>
      </c>
      <c r="L98" s="28"/>
      <c r="M98" s="28"/>
      <c r="N98" s="28"/>
      <c r="O98" s="28"/>
      <c r="P98" s="28"/>
    </row>
    <row r="99" customFormat="false" ht="15" hidden="false" customHeight="false" outlineLevel="0" collapsed="false">
      <c r="A99" s="28"/>
      <c r="B99" s="28"/>
      <c r="C99" s="28"/>
      <c r="D99" s="28"/>
      <c r="E99" s="28"/>
      <c r="F99" s="28"/>
      <c r="G99" s="28"/>
      <c r="H99" s="28"/>
      <c r="I99" s="29" t="str">
        <f aca="false">IF(OR(G99="",H99=""),"",IF(G99=H99,"Yes","No"))</f>
        <v/>
      </c>
      <c r="J99" s="28"/>
      <c r="K99" s="29" t="str">
        <f aca="false">IF(E99="Snowballing","n/a",IF(AND(G99="",H99=""),"",IF(OR(G99="",H99=""),"Waiting",IF(G99=H99,G99,IF(AND(G99&lt;&gt;"Exclude",H99&lt;&gt;"Exclude"),"Maybe",IF(J99&lt;&gt;"",J99,"Pending"))))))</f>
        <v/>
      </c>
      <c r="L99" s="28"/>
      <c r="M99" s="28"/>
      <c r="N99" s="28"/>
      <c r="O99" s="28"/>
      <c r="P99" s="28"/>
    </row>
    <row r="100" customFormat="false" ht="15" hidden="false" customHeight="false" outlineLevel="0" collapsed="false">
      <c r="A100" s="28"/>
      <c r="B100" s="28"/>
      <c r="C100" s="28"/>
      <c r="D100" s="28"/>
      <c r="E100" s="28"/>
      <c r="F100" s="28"/>
      <c r="G100" s="28"/>
      <c r="H100" s="28"/>
      <c r="I100" s="29" t="str">
        <f aca="false">IF(OR(G100="",H100=""),"",IF(G100=H100,"Yes","No"))</f>
        <v/>
      </c>
      <c r="J100" s="28"/>
      <c r="K100" s="29" t="str">
        <f aca="false">IF(E100="Snowballing","n/a",IF(AND(G100="",H100=""),"",IF(OR(G100="",H100=""),"Waiting",IF(G100=H100,G100,IF(AND(G100&lt;&gt;"Exclude",H100&lt;&gt;"Exclude"),"Maybe",IF(J100&lt;&gt;"",J100,"Pending"))))))</f>
        <v/>
      </c>
      <c r="L100" s="28"/>
      <c r="M100" s="28"/>
      <c r="N100" s="28"/>
      <c r="O100" s="28"/>
      <c r="P100" s="28"/>
    </row>
    <row r="101" customFormat="false" ht="15" hidden="false" customHeight="false" outlineLevel="0" collapsed="false">
      <c r="A101" s="28"/>
      <c r="B101" s="28"/>
      <c r="C101" s="28"/>
      <c r="D101" s="28"/>
      <c r="E101" s="28"/>
      <c r="F101" s="28"/>
      <c r="G101" s="28"/>
      <c r="H101" s="28"/>
      <c r="I101" s="29" t="str">
        <f aca="false">IF(OR(G101="",H101=""),"",IF(G101=H101,"Yes","No"))</f>
        <v/>
      </c>
      <c r="J101" s="28"/>
      <c r="K101" s="29" t="str">
        <f aca="false">IF(E101="Snowballing","n/a",IF(AND(G101="",H101=""),"",IF(OR(G101="",H101=""),"Waiting",IF(G101=H101,G101,IF(AND(G101&lt;&gt;"Exclude",H101&lt;&gt;"Exclude"),"Maybe",IF(J101&lt;&gt;"",J101,"Pending"))))))</f>
        <v/>
      </c>
      <c r="L101" s="28"/>
      <c r="M101" s="28"/>
      <c r="N101" s="28"/>
      <c r="O101" s="28"/>
      <c r="P101" s="28"/>
    </row>
    <row r="102" customFormat="false" ht="15" hidden="false" customHeight="false" outlineLevel="0" collapsed="false">
      <c r="A102" s="28"/>
      <c r="B102" s="28"/>
      <c r="C102" s="28"/>
      <c r="D102" s="28"/>
      <c r="E102" s="28"/>
      <c r="F102" s="28"/>
      <c r="G102" s="28"/>
      <c r="H102" s="28"/>
      <c r="I102" s="29" t="str">
        <f aca="false">IF(OR(G102="",H102=""),"",IF(G102=H102,"Yes","No"))</f>
        <v/>
      </c>
      <c r="J102" s="28"/>
      <c r="K102" s="29" t="str">
        <f aca="false">IF(E102="Snowballing","n/a",IF(AND(G102="",H102=""),"",IF(OR(G102="",H102=""),"Waiting",IF(G102=H102,G102,IF(AND(G102&lt;&gt;"Exclude",H102&lt;&gt;"Exclude"),"Maybe",IF(J102&lt;&gt;"",J102,"Pending"))))))</f>
        <v/>
      </c>
      <c r="L102" s="28"/>
      <c r="M102" s="28"/>
      <c r="N102" s="28"/>
      <c r="O102" s="28"/>
      <c r="P102" s="28"/>
    </row>
    <row r="103" customFormat="false" ht="15" hidden="false" customHeight="false" outlineLevel="0" collapsed="false">
      <c r="A103" s="28"/>
      <c r="B103" s="28"/>
      <c r="C103" s="28"/>
      <c r="D103" s="28"/>
      <c r="E103" s="28"/>
      <c r="F103" s="28"/>
      <c r="G103" s="28"/>
      <c r="H103" s="28"/>
      <c r="I103" s="29" t="str">
        <f aca="false">IF(OR(G103="",H103=""),"",IF(G103=H103,"Yes","No"))</f>
        <v/>
      </c>
      <c r="J103" s="28"/>
      <c r="K103" s="29" t="str">
        <f aca="false">IF(E103="Snowballing","n/a",IF(AND(G103="",H103=""),"",IF(OR(G103="",H103=""),"Waiting",IF(G103=H103,G103,IF(AND(G103&lt;&gt;"Exclude",H103&lt;&gt;"Exclude"),"Maybe",IF(J103&lt;&gt;"",J103,"Pending"))))))</f>
        <v/>
      </c>
      <c r="L103" s="28"/>
      <c r="M103" s="28"/>
      <c r="N103" s="28"/>
      <c r="O103" s="28"/>
      <c r="P103" s="28"/>
    </row>
    <row r="104" customFormat="false" ht="15" hidden="false" customHeight="false" outlineLevel="0" collapsed="false">
      <c r="A104" s="28"/>
      <c r="B104" s="28"/>
      <c r="C104" s="28"/>
      <c r="D104" s="28"/>
      <c r="E104" s="28"/>
      <c r="F104" s="28"/>
      <c r="G104" s="28"/>
      <c r="H104" s="28"/>
      <c r="I104" s="29" t="str">
        <f aca="false">IF(OR(G104="",H104=""),"",IF(G104=H104,"Yes","No"))</f>
        <v/>
      </c>
      <c r="J104" s="28"/>
      <c r="K104" s="29" t="str">
        <f aca="false">IF(E104="Snowballing","n/a",IF(AND(G104="",H104=""),"",IF(OR(G104="",H104=""),"Waiting",IF(G104=H104,G104,IF(AND(G104&lt;&gt;"Exclude",H104&lt;&gt;"Exclude"),"Maybe",IF(J104&lt;&gt;"",J104,"Pending"))))))</f>
        <v/>
      </c>
      <c r="L104" s="28"/>
      <c r="M104" s="28"/>
      <c r="N104" s="28"/>
      <c r="O104" s="28"/>
      <c r="P104" s="28"/>
    </row>
    <row r="105" customFormat="false" ht="15" hidden="false" customHeight="false" outlineLevel="0" collapsed="false">
      <c r="A105" s="28"/>
      <c r="B105" s="28"/>
      <c r="C105" s="28"/>
      <c r="D105" s="28"/>
      <c r="E105" s="28"/>
      <c r="F105" s="28"/>
      <c r="G105" s="28"/>
      <c r="H105" s="28"/>
      <c r="I105" s="29" t="str">
        <f aca="false">IF(OR(G105="",H105=""),"",IF(G105=H105,"Yes","No"))</f>
        <v/>
      </c>
      <c r="J105" s="28"/>
      <c r="K105" s="29" t="str">
        <f aca="false">IF(E105="Snowballing","n/a",IF(AND(G105="",H105=""),"",IF(OR(G105="",H105=""),"Waiting",IF(G105=H105,G105,IF(AND(G105&lt;&gt;"Exclude",H105&lt;&gt;"Exclude"),"Maybe",IF(J105&lt;&gt;"",J105,"Pending"))))))</f>
        <v/>
      </c>
      <c r="L105" s="28"/>
      <c r="M105" s="28"/>
      <c r="N105" s="28"/>
      <c r="O105" s="28"/>
      <c r="P105" s="28"/>
    </row>
    <row r="106" customFormat="false" ht="15" hidden="false" customHeight="false" outlineLevel="0" collapsed="false">
      <c r="A106" s="28"/>
      <c r="B106" s="28"/>
      <c r="C106" s="28"/>
      <c r="D106" s="28"/>
      <c r="E106" s="28"/>
      <c r="F106" s="28"/>
      <c r="G106" s="28"/>
      <c r="H106" s="28"/>
      <c r="I106" s="29" t="str">
        <f aca="false">IF(OR(G106="",H106=""),"",IF(G106=H106,"Yes","No"))</f>
        <v/>
      </c>
      <c r="J106" s="28"/>
      <c r="K106" s="29" t="str">
        <f aca="false">IF(E106="Snowballing","n/a",IF(AND(G106="",H106=""),"",IF(OR(G106="",H106=""),"Waiting",IF(G106=H106,G106,IF(AND(G106&lt;&gt;"Exclude",H106&lt;&gt;"Exclude"),"Maybe",IF(J106&lt;&gt;"",J106,"Pending"))))))</f>
        <v/>
      </c>
      <c r="L106" s="28"/>
      <c r="M106" s="28"/>
      <c r="N106" s="28"/>
      <c r="O106" s="28"/>
      <c r="P106" s="28"/>
    </row>
    <row r="107" customFormat="false" ht="15" hidden="false" customHeight="false" outlineLevel="0" collapsed="false">
      <c r="A107" s="28"/>
      <c r="B107" s="28"/>
      <c r="C107" s="28"/>
      <c r="D107" s="28"/>
      <c r="E107" s="28"/>
      <c r="F107" s="28"/>
      <c r="G107" s="28"/>
      <c r="H107" s="28"/>
      <c r="I107" s="29" t="str">
        <f aca="false">IF(OR(G107="",H107=""),"",IF(G107=H107,"Yes","No"))</f>
        <v/>
      </c>
      <c r="J107" s="28"/>
      <c r="K107" s="29" t="str">
        <f aca="false">IF(E107="Snowballing","n/a",IF(AND(G107="",H107=""),"",IF(OR(G107="",H107=""),"Waiting",IF(G107=H107,G107,IF(AND(G107&lt;&gt;"Exclude",H107&lt;&gt;"Exclude"),"Maybe",IF(J107&lt;&gt;"",J107,"Pending"))))))</f>
        <v/>
      </c>
      <c r="L107" s="28"/>
      <c r="M107" s="28"/>
      <c r="N107" s="28"/>
      <c r="O107" s="28"/>
      <c r="P107" s="28"/>
    </row>
    <row r="108" customFormat="false" ht="15" hidden="false" customHeight="false" outlineLevel="0" collapsed="false">
      <c r="A108" s="28"/>
      <c r="B108" s="28"/>
      <c r="C108" s="28"/>
      <c r="D108" s="28"/>
      <c r="E108" s="28"/>
      <c r="F108" s="28"/>
      <c r="G108" s="28"/>
      <c r="H108" s="28"/>
      <c r="I108" s="29" t="str">
        <f aca="false">IF(OR(G108="",H108=""),"",IF(G108=H108,"Yes","No"))</f>
        <v/>
      </c>
      <c r="J108" s="28"/>
      <c r="K108" s="29" t="str">
        <f aca="false">IF(E108="Snowballing","n/a",IF(AND(G108="",H108=""),"",IF(OR(G108="",H108=""),"Waiting",IF(G108=H108,G108,IF(AND(G108&lt;&gt;"Exclude",H108&lt;&gt;"Exclude"),"Maybe",IF(J108&lt;&gt;"",J108,"Pending"))))))</f>
        <v/>
      </c>
      <c r="L108" s="28"/>
      <c r="M108" s="28"/>
      <c r="N108" s="28"/>
      <c r="O108" s="28"/>
      <c r="P108" s="28"/>
    </row>
    <row r="109" customFormat="false" ht="15" hidden="false" customHeight="false" outlineLevel="0" collapsed="false">
      <c r="A109" s="28"/>
      <c r="B109" s="28"/>
      <c r="C109" s="28"/>
      <c r="D109" s="28"/>
      <c r="E109" s="28"/>
      <c r="F109" s="28"/>
      <c r="G109" s="28"/>
      <c r="H109" s="28"/>
      <c r="I109" s="29" t="str">
        <f aca="false">IF(OR(G109="",H109=""),"",IF(G109=H109,"Yes","No"))</f>
        <v/>
      </c>
      <c r="J109" s="28"/>
      <c r="K109" s="29" t="str">
        <f aca="false">IF(E109="Snowballing","n/a",IF(AND(G109="",H109=""),"",IF(OR(G109="",H109=""),"Waiting",IF(G109=H109,G109,IF(AND(G109&lt;&gt;"Exclude",H109&lt;&gt;"Exclude"),"Maybe",IF(J109&lt;&gt;"",J109,"Pending"))))))</f>
        <v/>
      </c>
      <c r="L109" s="28"/>
      <c r="M109" s="28"/>
      <c r="N109" s="28"/>
      <c r="O109" s="28"/>
      <c r="P109" s="28"/>
    </row>
    <row r="110" customFormat="false" ht="15" hidden="false" customHeight="false" outlineLevel="0" collapsed="false">
      <c r="A110" s="28"/>
      <c r="B110" s="28"/>
      <c r="C110" s="28"/>
      <c r="D110" s="28"/>
      <c r="E110" s="28"/>
      <c r="F110" s="28"/>
      <c r="G110" s="28"/>
      <c r="H110" s="28"/>
      <c r="I110" s="29" t="str">
        <f aca="false">IF(OR(G110="",H110=""),"",IF(G110=H110,"Yes","No"))</f>
        <v/>
      </c>
      <c r="J110" s="28"/>
      <c r="K110" s="29" t="str">
        <f aca="false">IF(E110="Snowballing","n/a",IF(AND(G110="",H110=""),"",IF(OR(G110="",H110=""),"Waiting",IF(G110=H110,G110,IF(AND(G110&lt;&gt;"Exclude",H110&lt;&gt;"Exclude"),"Maybe",IF(J110&lt;&gt;"",J110,"Pending"))))))</f>
        <v/>
      </c>
      <c r="L110" s="28"/>
      <c r="M110" s="28"/>
      <c r="N110" s="28"/>
      <c r="O110" s="28"/>
      <c r="P110" s="28"/>
    </row>
    <row r="111" customFormat="false" ht="15" hidden="false" customHeight="false" outlineLevel="0" collapsed="false">
      <c r="A111" s="28"/>
      <c r="B111" s="28"/>
      <c r="C111" s="28"/>
      <c r="D111" s="28"/>
      <c r="E111" s="28"/>
      <c r="F111" s="28"/>
      <c r="G111" s="28"/>
      <c r="H111" s="28"/>
      <c r="I111" s="29" t="str">
        <f aca="false">IF(OR(G111="",H111=""),"",IF(G111=H111,"Yes","No"))</f>
        <v/>
      </c>
      <c r="J111" s="28"/>
      <c r="K111" s="29" t="str">
        <f aca="false">IF(E111="Snowballing","n/a",IF(AND(G111="",H111=""),"",IF(OR(G111="",H111=""),"Waiting",IF(G111=H111,G111,IF(AND(G111&lt;&gt;"Exclude",H111&lt;&gt;"Exclude"),"Maybe",IF(J111&lt;&gt;"",J111,"Pending"))))))</f>
        <v/>
      </c>
      <c r="L111" s="28"/>
      <c r="M111" s="28"/>
      <c r="N111" s="28"/>
      <c r="O111" s="28"/>
      <c r="P111" s="28"/>
    </row>
    <row r="112" customFormat="false" ht="15" hidden="false" customHeight="false" outlineLevel="0" collapsed="false">
      <c r="A112" s="28"/>
      <c r="B112" s="28"/>
      <c r="C112" s="28"/>
      <c r="D112" s="28"/>
      <c r="E112" s="28"/>
      <c r="F112" s="28"/>
      <c r="G112" s="28"/>
      <c r="H112" s="28"/>
      <c r="I112" s="29" t="str">
        <f aca="false">IF(OR(G112="",H112=""),"",IF(G112=H112,"Yes","No"))</f>
        <v/>
      </c>
      <c r="J112" s="28"/>
      <c r="K112" s="29" t="str">
        <f aca="false">IF(E112="Snowballing","n/a",IF(AND(G112="",H112=""),"",IF(OR(G112="",H112=""),"Waiting",IF(G112=H112,G112,IF(AND(G112&lt;&gt;"Exclude",H112&lt;&gt;"Exclude"),"Maybe",IF(J112&lt;&gt;"",J112,"Pending"))))))</f>
        <v/>
      </c>
      <c r="L112" s="28"/>
      <c r="M112" s="28"/>
      <c r="N112" s="28"/>
      <c r="O112" s="28"/>
      <c r="P112" s="28"/>
    </row>
    <row r="113" customFormat="false" ht="15" hidden="false" customHeight="false" outlineLevel="0" collapsed="false">
      <c r="A113" s="28"/>
      <c r="B113" s="28"/>
      <c r="C113" s="28"/>
      <c r="D113" s="28"/>
      <c r="E113" s="28"/>
      <c r="F113" s="28"/>
      <c r="G113" s="28"/>
      <c r="H113" s="28"/>
      <c r="I113" s="29" t="str">
        <f aca="false">IF(OR(G113="",H113=""),"",IF(G113=H113,"Yes","No"))</f>
        <v/>
      </c>
      <c r="J113" s="28"/>
      <c r="K113" s="29" t="str">
        <f aca="false">IF(E113="Snowballing","n/a",IF(AND(G113="",H113=""),"",IF(OR(G113="",H113=""),"Waiting",IF(G113=H113,G113,IF(AND(G113&lt;&gt;"Exclude",H113&lt;&gt;"Exclude"),"Maybe",IF(J113&lt;&gt;"",J113,"Pending"))))))</f>
        <v/>
      </c>
      <c r="L113" s="28"/>
      <c r="M113" s="28"/>
      <c r="N113" s="28"/>
      <c r="O113" s="28"/>
      <c r="P113" s="28"/>
    </row>
    <row r="114" customFormat="false" ht="15" hidden="false" customHeight="false" outlineLevel="0" collapsed="false">
      <c r="A114" s="28"/>
      <c r="B114" s="28"/>
      <c r="C114" s="28"/>
      <c r="D114" s="28"/>
      <c r="E114" s="28"/>
      <c r="F114" s="28"/>
      <c r="G114" s="28"/>
      <c r="H114" s="28"/>
      <c r="I114" s="29" t="str">
        <f aca="false">IF(OR(G114="",H114=""),"",IF(G114=H114,"Yes","No"))</f>
        <v/>
      </c>
      <c r="J114" s="28"/>
      <c r="K114" s="29" t="str">
        <f aca="false">IF(E114="Snowballing","n/a",IF(AND(G114="",H114=""),"",IF(OR(G114="",H114=""),"Waiting",IF(G114=H114,G114,IF(AND(G114&lt;&gt;"Exclude",H114&lt;&gt;"Exclude"),"Maybe",IF(J114&lt;&gt;"",J114,"Pending"))))))</f>
        <v/>
      </c>
      <c r="L114" s="28"/>
      <c r="M114" s="28"/>
      <c r="N114" s="28"/>
      <c r="O114" s="28"/>
      <c r="P114" s="28"/>
    </row>
    <row r="115" customFormat="false" ht="15" hidden="false" customHeight="false" outlineLevel="0" collapsed="false">
      <c r="A115" s="28"/>
      <c r="B115" s="28"/>
      <c r="C115" s="28"/>
      <c r="D115" s="28"/>
      <c r="E115" s="28"/>
      <c r="F115" s="28"/>
      <c r="G115" s="28"/>
      <c r="H115" s="28"/>
      <c r="I115" s="29" t="str">
        <f aca="false">IF(OR(G115="",H115=""),"",IF(G115=H115,"Yes","No"))</f>
        <v/>
      </c>
      <c r="J115" s="28"/>
      <c r="K115" s="29" t="str">
        <f aca="false">IF(E115="Snowballing","n/a",IF(AND(G115="",H115=""),"",IF(OR(G115="",H115=""),"Waiting",IF(G115=H115,G115,IF(AND(G115&lt;&gt;"Exclude",H115&lt;&gt;"Exclude"),"Maybe",IF(J115&lt;&gt;"",J115,"Pending"))))))</f>
        <v/>
      </c>
      <c r="L115" s="28"/>
      <c r="M115" s="28"/>
      <c r="N115" s="28"/>
      <c r="O115" s="28"/>
      <c r="P115" s="28"/>
    </row>
    <row r="116" customFormat="false" ht="15" hidden="false" customHeight="false" outlineLevel="0" collapsed="false">
      <c r="A116" s="28"/>
      <c r="B116" s="28"/>
      <c r="C116" s="28"/>
      <c r="D116" s="28"/>
      <c r="E116" s="28"/>
      <c r="F116" s="28"/>
      <c r="G116" s="28"/>
      <c r="H116" s="28"/>
      <c r="I116" s="29" t="str">
        <f aca="false">IF(OR(G116="",H116=""),"",IF(G116=H116,"Yes","No"))</f>
        <v/>
      </c>
      <c r="J116" s="28"/>
      <c r="K116" s="29" t="str">
        <f aca="false">IF(E116="Snowballing","n/a",IF(AND(G116="",H116=""),"",IF(OR(G116="",H116=""),"Waiting",IF(G116=H116,G116,IF(AND(G116&lt;&gt;"Exclude",H116&lt;&gt;"Exclude"),"Maybe",IF(J116&lt;&gt;"",J116,"Pending"))))))</f>
        <v/>
      </c>
      <c r="L116" s="28"/>
      <c r="M116" s="28"/>
      <c r="N116" s="28"/>
      <c r="O116" s="28"/>
      <c r="P116" s="28"/>
    </row>
    <row r="117" customFormat="false" ht="15" hidden="false" customHeight="false" outlineLevel="0" collapsed="false">
      <c r="A117" s="28"/>
      <c r="B117" s="28"/>
      <c r="C117" s="28"/>
      <c r="D117" s="28"/>
      <c r="E117" s="28"/>
      <c r="F117" s="28"/>
      <c r="G117" s="28"/>
      <c r="H117" s="28"/>
      <c r="I117" s="29" t="str">
        <f aca="false">IF(OR(G117="",H117=""),"",IF(G117=H117,"Yes","No"))</f>
        <v/>
      </c>
      <c r="J117" s="28"/>
      <c r="K117" s="29" t="str">
        <f aca="false">IF(E117="Snowballing","n/a",IF(AND(G117="",H117=""),"",IF(OR(G117="",H117=""),"Waiting",IF(G117=H117,G117,IF(AND(G117&lt;&gt;"Exclude",H117&lt;&gt;"Exclude"),"Maybe",IF(J117&lt;&gt;"",J117,"Pending"))))))</f>
        <v/>
      </c>
      <c r="L117" s="28"/>
      <c r="M117" s="28"/>
      <c r="N117" s="28"/>
      <c r="O117" s="28"/>
      <c r="P117" s="28"/>
    </row>
    <row r="118" customFormat="false" ht="15" hidden="false" customHeight="false" outlineLevel="0" collapsed="false">
      <c r="A118" s="28"/>
      <c r="B118" s="28"/>
      <c r="C118" s="28"/>
      <c r="D118" s="28"/>
      <c r="E118" s="28"/>
      <c r="F118" s="28"/>
      <c r="G118" s="28"/>
      <c r="H118" s="28"/>
      <c r="I118" s="29" t="str">
        <f aca="false">IF(OR(G118="",H118=""),"",IF(G118=H118,"Yes","No"))</f>
        <v/>
      </c>
      <c r="J118" s="28"/>
      <c r="K118" s="29" t="str">
        <f aca="false">IF(E118="Snowballing","n/a",IF(AND(G118="",H118=""),"",IF(OR(G118="",H118=""),"Waiting",IF(G118=H118,G118,IF(AND(G118&lt;&gt;"Exclude",H118&lt;&gt;"Exclude"),"Maybe",IF(J118&lt;&gt;"",J118,"Pending"))))))</f>
        <v/>
      </c>
      <c r="L118" s="28"/>
      <c r="M118" s="28"/>
      <c r="N118" s="28"/>
      <c r="O118" s="28"/>
      <c r="P118" s="28"/>
    </row>
    <row r="119" customFormat="false" ht="15" hidden="false" customHeight="false" outlineLevel="0" collapsed="false">
      <c r="A119" s="28"/>
      <c r="B119" s="28"/>
      <c r="C119" s="28"/>
      <c r="D119" s="28"/>
      <c r="E119" s="28"/>
      <c r="F119" s="28"/>
      <c r="G119" s="28"/>
      <c r="H119" s="28"/>
      <c r="I119" s="29" t="str">
        <f aca="false">IF(OR(G119="",H119=""),"",IF(G119=H119,"Yes","No"))</f>
        <v/>
      </c>
      <c r="J119" s="28"/>
      <c r="K119" s="29" t="str">
        <f aca="false">IF(E119="Snowballing","n/a",IF(AND(G119="",H119=""),"",IF(OR(G119="",H119=""),"Waiting",IF(G119=H119,G119,IF(AND(G119&lt;&gt;"Exclude",H119&lt;&gt;"Exclude"),"Maybe",IF(J119&lt;&gt;"",J119,"Pending"))))))</f>
        <v/>
      </c>
      <c r="L119" s="28"/>
      <c r="M119" s="28"/>
      <c r="N119" s="28"/>
      <c r="O119" s="28"/>
      <c r="P119" s="28"/>
    </row>
    <row r="120" customFormat="false" ht="15" hidden="false" customHeight="false" outlineLevel="0" collapsed="false">
      <c r="A120" s="28"/>
      <c r="B120" s="28"/>
      <c r="C120" s="28"/>
      <c r="D120" s="28"/>
      <c r="E120" s="28"/>
      <c r="F120" s="28"/>
      <c r="G120" s="28"/>
      <c r="H120" s="28"/>
      <c r="I120" s="29" t="str">
        <f aca="false">IF(OR(G120="",H120=""),"",IF(G120=H120,"Yes","No"))</f>
        <v/>
      </c>
      <c r="J120" s="28"/>
      <c r="K120" s="29" t="str">
        <f aca="false">IF(E120="Snowballing","n/a",IF(AND(G120="",H120=""),"",IF(OR(G120="",H120=""),"Waiting",IF(G120=H120,G120,IF(AND(G120&lt;&gt;"Exclude",H120&lt;&gt;"Exclude"),"Maybe",IF(J120&lt;&gt;"",J120,"Pending"))))))</f>
        <v/>
      </c>
      <c r="L120" s="28"/>
      <c r="M120" s="28"/>
      <c r="N120" s="28"/>
      <c r="O120" s="28"/>
      <c r="P120" s="28"/>
    </row>
    <row r="121" customFormat="false" ht="15" hidden="false" customHeight="false" outlineLevel="0" collapsed="false">
      <c r="A121" s="28"/>
      <c r="B121" s="28"/>
      <c r="C121" s="28"/>
      <c r="D121" s="28"/>
      <c r="E121" s="28"/>
      <c r="F121" s="28"/>
      <c r="G121" s="28"/>
      <c r="H121" s="28"/>
      <c r="I121" s="29" t="str">
        <f aca="false">IF(OR(G121="",H121=""),"",IF(G121=H121,"Yes","No"))</f>
        <v/>
      </c>
      <c r="J121" s="28"/>
      <c r="K121" s="29" t="str">
        <f aca="false">IF(E121="Snowballing","n/a",IF(AND(G121="",H121=""),"",IF(OR(G121="",H121=""),"Waiting",IF(G121=H121,G121,IF(AND(G121&lt;&gt;"Exclude",H121&lt;&gt;"Exclude"),"Maybe",IF(J121&lt;&gt;"",J121,"Pending"))))))</f>
        <v/>
      </c>
      <c r="L121" s="28"/>
      <c r="M121" s="28"/>
      <c r="N121" s="28"/>
      <c r="O121" s="28"/>
      <c r="P121" s="28"/>
    </row>
    <row r="122" customFormat="false" ht="15" hidden="false" customHeight="false" outlineLevel="0" collapsed="false">
      <c r="A122" s="28"/>
      <c r="B122" s="28"/>
      <c r="C122" s="28"/>
      <c r="D122" s="28"/>
      <c r="E122" s="28"/>
      <c r="F122" s="28"/>
      <c r="G122" s="28"/>
      <c r="H122" s="28"/>
      <c r="I122" s="29" t="str">
        <f aca="false">IF(OR(G122="",H122=""),"",IF(G122=H122,"Yes","No"))</f>
        <v/>
      </c>
      <c r="J122" s="28"/>
      <c r="K122" s="29" t="str">
        <f aca="false">IF(E122="Snowballing","n/a",IF(AND(G122="",H122=""),"",IF(OR(G122="",H122=""),"Waiting",IF(G122=H122,G122,IF(AND(G122&lt;&gt;"Exclude",H122&lt;&gt;"Exclude"),"Maybe",IF(J122&lt;&gt;"",J122,"Pending"))))))</f>
        <v/>
      </c>
      <c r="L122" s="28"/>
      <c r="M122" s="28"/>
      <c r="N122" s="28"/>
      <c r="O122" s="28"/>
      <c r="P122" s="28"/>
    </row>
    <row r="123" customFormat="false" ht="15" hidden="false" customHeight="false" outlineLevel="0" collapsed="false">
      <c r="A123" s="28"/>
      <c r="B123" s="28"/>
      <c r="C123" s="28"/>
      <c r="D123" s="28"/>
      <c r="E123" s="28"/>
      <c r="F123" s="28"/>
      <c r="G123" s="28"/>
      <c r="H123" s="28"/>
      <c r="I123" s="29" t="str">
        <f aca="false">IF(OR(G123="",H123=""),"",IF(G123=H123,"Yes","No"))</f>
        <v/>
      </c>
      <c r="J123" s="28"/>
      <c r="K123" s="29" t="str">
        <f aca="false">IF(E123="Snowballing","n/a",IF(AND(G123="",H123=""),"",IF(OR(G123="",H123=""),"Waiting",IF(G123=H123,G123,IF(AND(G123&lt;&gt;"Exclude",H123&lt;&gt;"Exclude"),"Maybe",IF(J123&lt;&gt;"",J123,"Pending"))))))</f>
        <v/>
      </c>
      <c r="L123" s="28"/>
      <c r="M123" s="28"/>
      <c r="N123" s="28"/>
      <c r="O123" s="28"/>
      <c r="P123" s="28"/>
    </row>
    <row r="124" customFormat="false" ht="15" hidden="false" customHeight="false" outlineLevel="0" collapsed="false">
      <c r="A124" s="28"/>
      <c r="B124" s="28"/>
      <c r="C124" s="28"/>
      <c r="D124" s="28"/>
      <c r="E124" s="28"/>
      <c r="F124" s="28"/>
      <c r="G124" s="28"/>
      <c r="H124" s="28"/>
      <c r="I124" s="29" t="str">
        <f aca="false">IF(OR(G124="",H124=""),"",IF(G124=H124,"Yes","No"))</f>
        <v/>
      </c>
      <c r="J124" s="28"/>
      <c r="K124" s="29" t="str">
        <f aca="false">IF(E124="Snowballing","n/a",IF(AND(G124="",H124=""),"",IF(OR(G124="",H124=""),"Waiting",IF(G124=H124,G124,IF(AND(G124&lt;&gt;"Exclude",H124&lt;&gt;"Exclude"),"Maybe",IF(J124&lt;&gt;"",J124,"Pending"))))))</f>
        <v/>
      </c>
      <c r="L124" s="28"/>
      <c r="M124" s="28"/>
      <c r="N124" s="28"/>
      <c r="O124" s="28"/>
      <c r="P124" s="28"/>
    </row>
    <row r="125" customFormat="false" ht="15" hidden="false" customHeight="false" outlineLevel="0" collapsed="false">
      <c r="A125" s="28"/>
      <c r="B125" s="28"/>
      <c r="C125" s="28"/>
      <c r="D125" s="28"/>
      <c r="E125" s="28"/>
      <c r="F125" s="28"/>
      <c r="G125" s="28"/>
      <c r="H125" s="28"/>
      <c r="I125" s="29" t="str">
        <f aca="false">IF(OR(G125="",H125=""),"",IF(G125=H125,"Yes","No"))</f>
        <v/>
      </c>
      <c r="J125" s="28"/>
      <c r="K125" s="29" t="str">
        <f aca="false">IF(E125="Snowballing","n/a",IF(AND(G125="",H125=""),"",IF(OR(G125="",H125=""),"Waiting",IF(G125=H125,G125,IF(AND(G125&lt;&gt;"Exclude",H125&lt;&gt;"Exclude"),"Maybe",IF(J125&lt;&gt;"",J125,"Pending"))))))</f>
        <v/>
      </c>
      <c r="L125" s="28"/>
      <c r="M125" s="28"/>
      <c r="N125" s="28"/>
      <c r="O125" s="28"/>
      <c r="P125" s="28"/>
    </row>
    <row r="126" customFormat="false" ht="15" hidden="false" customHeight="false" outlineLevel="0" collapsed="false">
      <c r="A126" s="28"/>
      <c r="B126" s="28"/>
      <c r="C126" s="28"/>
      <c r="D126" s="28"/>
      <c r="E126" s="28"/>
      <c r="F126" s="28"/>
      <c r="G126" s="28"/>
      <c r="H126" s="28"/>
      <c r="I126" s="29" t="str">
        <f aca="false">IF(OR(G126="",H126=""),"",IF(G126=H126,"Yes","No"))</f>
        <v/>
      </c>
      <c r="J126" s="28"/>
      <c r="K126" s="29" t="str">
        <f aca="false">IF(E126="Snowballing","n/a",IF(AND(G126="",H126=""),"",IF(OR(G126="",H126=""),"Waiting",IF(G126=H126,G126,IF(AND(G126&lt;&gt;"Exclude",H126&lt;&gt;"Exclude"),"Maybe",IF(J126&lt;&gt;"",J126,"Pending"))))))</f>
        <v/>
      </c>
      <c r="L126" s="28"/>
      <c r="M126" s="28"/>
      <c r="N126" s="28"/>
      <c r="O126" s="28"/>
      <c r="P126" s="28"/>
    </row>
    <row r="127" customFormat="false" ht="15" hidden="false" customHeight="false" outlineLevel="0" collapsed="false">
      <c r="A127" s="28"/>
      <c r="B127" s="28"/>
      <c r="C127" s="28"/>
      <c r="D127" s="28"/>
      <c r="E127" s="28"/>
      <c r="F127" s="28"/>
      <c r="G127" s="28"/>
      <c r="H127" s="28"/>
      <c r="I127" s="29" t="str">
        <f aca="false">IF(OR(G127="",H127=""),"",IF(G127=H127,"Yes","No"))</f>
        <v/>
      </c>
      <c r="J127" s="28"/>
      <c r="K127" s="29" t="str">
        <f aca="false">IF(E127="Snowballing","n/a",IF(AND(G127="",H127=""),"",IF(OR(G127="",H127=""),"Waiting",IF(G127=H127,G127,IF(AND(G127&lt;&gt;"Exclude",H127&lt;&gt;"Exclude"),"Maybe",IF(J127&lt;&gt;"",J127,"Pending"))))))</f>
        <v/>
      </c>
      <c r="L127" s="28"/>
      <c r="M127" s="28"/>
      <c r="N127" s="28"/>
      <c r="O127" s="28"/>
      <c r="P127" s="28"/>
    </row>
    <row r="128" customFormat="false" ht="15" hidden="false" customHeight="false" outlineLevel="0" collapsed="false">
      <c r="A128" s="28"/>
      <c r="B128" s="28"/>
      <c r="C128" s="28"/>
      <c r="D128" s="28"/>
      <c r="E128" s="28"/>
      <c r="F128" s="28"/>
      <c r="G128" s="28"/>
      <c r="H128" s="28"/>
      <c r="I128" s="29" t="str">
        <f aca="false">IF(OR(G128="",H128=""),"",IF(G128=H128,"Yes","No"))</f>
        <v/>
      </c>
      <c r="J128" s="28"/>
      <c r="K128" s="29" t="str">
        <f aca="false">IF(E128="Snowballing","n/a",IF(AND(G128="",H128=""),"",IF(OR(G128="",H128=""),"Waiting",IF(G128=H128,G128,IF(AND(G128&lt;&gt;"Exclude",H128&lt;&gt;"Exclude"),"Maybe",IF(J128&lt;&gt;"",J128,"Pending"))))))</f>
        <v/>
      </c>
      <c r="L128" s="28"/>
      <c r="M128" s="28"/>
      <c r="N128" s="28"/>
      <c r="O128" s="28"/>
      <c r="P128" s="28"/>
    </row>
    <row r="129" customFormat="false" ht="15" hidden="false" customHeight="false" outlineLevel="0" collapsed="false">
      <c r="A129" s="28"/>
      <c r="B129" s="28"/>
      <c r="C129" s="28"/>
      <c r="D129" s="28"/>
      <c r="E129" s="28"/>
      <c r="F129" s="28"/>
      <c r="G129" s="28"/>
      <c r="H129" s="28"/>
      <c r="I129" s="29" t="str">
        <f aca="false">IF(OR(G129="",H129=""),"",IF(G129=H129,"Yes","No"))</f>
        <v/>
      </c>
      <c r="J129" s="28"/>
      <c r="K129" s="29" t="str">
        <f aca="false">IF(E129="Snowballing","n/a",IF(AND(G129="",H129=""),"",IF(OR(G129="",H129=""),"Waiting",IF(G129=H129,G129,IF(AND(G129&lt;&gt;"Exclude",H129&lt;&gt;"Exclude"),"Maybe",IF(J129&lt;&gt;"",J129,"Pending"))))))</f>
        <v/>
      </c>
      <c r="L129" s="28"/>
      <c r="M129" s="28"/>
      <c r="N129" s="28"/>
      <c r="O129" s="28"/>
      <c r="P129" s="28"/>
    </row>
    <row r="130" customFormat="false" ht="15" hidden="false" customHeight="false" outlineLevel="0" collapsed="false">
      <c r="A130" s="28"/>
      <c r="B130" s="28"/>
      <c r="C130" s="28"/>
      <c r="D130" s="28"/>
      <c r="E130" s="28"/>
      <c r="F130" s="28"/>
      <c r="G130" s="28"/>
      <c r="H130" s="28"/>
      <c r="I130" s="29" t="str">
        <f aca="false">IF(OR(G130="",H130=""),"",IF(G130=H130,"Yes","No"))</f>
        <v/>
      </c>
      <c r="J130" s="28"/>
      <c r="K130" s="29" t="str">
        <f aca="false">IF(E130="Snowballing","n/a",IF(AND(G130="",H130=""),"",IF(OR(G130="",H130=""),"Waiting",IF(G130=H130,G130,IF(AND(G130&lt;&gt;"Exclude",H130&lt;&gt;"Exclude"),"Maybe",IF(J130&lt;&gt;"",J130,"Pending"))))))</f>
        <v/>
      </c>
      <c r="L130" s="28"/>
      <c r="M130" s="28"/>
      <c r="N130" s="28"/>
      <c r="O130" s="28"/>
      <c r="P130" s="28"/>
    </row>
    <row r="131" customFormat="false" ht="15" hidden="false" customHeight="false" outlineLevel="0" collapsed="false">
      <c r="A131" s="28"/>
      <c r="B131" s="28"/>
      <c r="C131" s="28"/>
      <c r="D131" s="28"/>
      <c r="E131" s="28"/>
      <c r="F131" s="28"/>
      <c r="G131" s="28"/>
      <c r="H131" s="28"/>
      <c r="I131" s="29" t="str">
        <f aca="false">IF(OR(G131="",H131=""),"",IF(G131=H131,"Yes","No"))</f>
        <v/>
      </c>
      <c r="J131" s="28"/>
      <c r="K131" s="29" t="str">
        <f aca="false">IF(E131="Snowballing","n/a",IF(AND(G131="",H131=""),"",IF(OR(G131="",H131=""),"Waiting",IF(G131=H131,G131,IF(AND(G131&lt;&gt;"Exclude",H131&lt;&gt;"Exclude"),"Maybe",IF(J131&lt;&gt;"",J131,"Pending"))))))</f>
        <v/>
      </c>
      <c r="L131" s="28"/>
      <c r="M131" s="28"/>
      <c r="N131" s="28"/>
      <c r="O131" s="28"/>
      <c r="P131" s="28"/>
    </row>
    <row r="132" customFormat="false" ht="15" hidden="false" customHeight="false" outlineLevel="0" collapsed="false">
      <c r="A132" s="28"/>
      <c r="B132" s="28"/>
      <c r="C132" s="28"/>
      <c r="D132" s="28"/>
      <c r="E132" s="28"/>
      <c r="F132" s="28"/>
      <c r="G132" s="28"/>
      <c r="H132" s="28"/>
      <c r="I132" s="29" t="str">
        <f aca="false">IF(OR(G132="",H132=""),"",IF(G132=H132,"Yes","No"))</f>
        <v/>
      </c>
      <c r="J132" s="28"/>
      <c r="K132" s="29" t="str">
        <f aca="false">IF(E132="Snowballing","n/a",IF(AND(G132="",H132=""),"",IF(OR(G132="",H132=""),"Waiting",IF(G132=H132,G132,IF(AND(G132&lt;&gt;"Exclude",H132&lt;&gt;"Exclude"),"Maybe",IF(J132&lt;&gt;"",J132,"Pending"))))))</f>
        <v/>
      </c>
      <c r="L132" s="28"/>
      <c r="M132" s="28"/>
      <c r="N132" s="28"/>
      <c r="O132" s="28"/>
      <c r="P132" s="28"/>
    </row>
    <row r="133" customFormat="false" ht="15" hidden="false" customHeight="false" outlineLevel="0" collapsed="false">
      <c r="A133" s="28"/>
      <c r="B133" s="28"/>
      <c r="C133" s="28"/>
      <c r="D133" s="28"/>
      <c r="E133" s="28"/>
      <c r="F133" s="28"/>
      <c r="G133" s="28"/>
      <c r="H133" s="28"/>
      <c r="I133" s="29" t="str">
        <f aca="false">IF(OR(G133="",H133=""),"",IF(G133=H133,"Yes","No"))</f>
        <v/>
      </c>
      <c r="J133" s="28"/>
      <c r="K133" s="29" t="str">
        <f aca="false">IF(E133="Snowballing","n/a",IF(AND(G133="",H133=""),"",IF(OR(G133="",H133=""),"Waiting",IF(G133=H133,G133,IF(AND(G133&lt;&gt;"Exclude",H133&lt;&gt;"Exclude"),"Maybe",IF(J133&lt;&gt;"",J133,"Pending"))))))</f>
        <v/>
      </c>
      <c r="L133" s="28"/>
      <c r="M133" s="28"/>
      <c r="N133" s="28"/>
      <c r="O133" s="28"/>
      <c r="P133" s="28"/>
    </row>
    <row r="134" customFormat="false" ht="15" hidden="false" customHeight="false" outlineLevel="0" collapsed="false">
      <c r="A134" s="28"/>
      <c r="B134" s="28"/>
      <c r="C134" s="28"/>
      <c r="D134" s="28"/>
      <c r="E134" s="28"/>
      <c r="F134" s="28"/>
      <c r="G134" s="28"/>
      <c r="H134" s="28"/>
      <c r="I134" s="29" t="str">
        <f aca="false">IF(OR(G134="",H134=""),"",IF(G134=H134,"Yes","No"))</f>
        <v/>
      </c>
      <c r="J134" s="28"/>
      <c r="K134" s="29" t="str">
        <f aca="false">IF(E134="Snowballing","n/a",IF(AND(G134="",H134=""),"",IF(OR(G134="",H134=""),"Waiting",IF(G134=H134,G134,IF(AND(G134&lt;&gt;"Exclude",H134&lt;&gt;"Exclude"),"Maybe",IF(J134&lt;&gt;"",J134,"Pending"))))))</f>
        <v/>
      </c>
      <c r="L134" s="28"/>
      <c r="M134" s="28"/>
      <c r="N134" s="28"/>
      <c r="O134" s="28"/>
      <c r="P134" s="28"/>
    </row>
    <row r="135" customFormat="false" ht="15" hidden="false" customHeight="false" outlineLevel="0" collapsed="false">
      <c r="A135" s="28"/>
      <c r="B135" s="28"/>
      <c r="C135" s="28"/>
      <c r="D135" s="28"/>
      <c r="E135" s="28"/>
      <c r="F135" s="28"/>
      <c r="G135" s="28"/>
      <c r="H135" s="28"/>
      <c r="I135" s="29" t="str">
        <f aca="false">IF(OR(G135="",H135=""),"",IF(G135=H135,"Yes","No"))</f>
        <v/>
      </c>
      <c r="J135" s="28"/>
      <c r="K135" s="29" t="str">
        <f aca="false">IF(E135="Snowballing","n/a",IF(AND(G135="",H135=""),"",IF(OR(G135="",H135=""),"Waiting",IF(G135=H135,G135,IF(AND(G135&lt;&gt;"Exclude",H135&lt;&gt;"Exclude"),"Maybe",IF(J135&lt;&gt;"",J135,"Pending"))))))</f>
        <v/>
      </c>
      <c r="L135" s="28"/>
      <c r="M135" s="28"/>
      <c r="N135" s="28"/>
      <c r="O135" s="28"/>
      <c r="P135" s="28"/>
    </row>
    <row r="136" customFormat="false" ht="15" hidden="false" customHeight="false" outlineLevel="0" collapsed="false">
      <c r="A136" s="28"/>
      <c r="B136" s="28"/>
      <c r="C136" s="28"/>
      <c r="D136" s="28"/>
      <c r="E136" s="28"/>
      <c r="F136" s="28"/>
      <c r="G136" s="28"/>
      <c r="H136" s="28"/>
      <c r="I136" s="29" t="str">
        <f aca="false">IF(OR(G136="",H136=""),"",IF(G136=H136,"Yes","No"))</f>
        <v/>
      </c>
      <c r="J136" s="28"/>
      <c r="K136" s="29" t="str">
        <f aca="false">IF(E136="Snowballing","n/a",IF(AND(G136="",H136=""),"",IF(OR(G136="",H136=""),"Waiting",IF(G136=H136,G136,IF(AND(G136&lt;&gt;"Exclude",H136&lt;&gt;"Exclude"),"Maybe",IF(J136&lt;&gt;"",J136,"Pending"))))))</f>
        <v/>
      </c>
      <c r="L136" s="28"/>
      <c r="M136" s="28"/>
      <c r="N136" s="28"/>
      <c r="O136" s="28"/>
      <c r="P136" s="28"/>
    </row>
    <row r="137" customFormat="false" ht="15" hidden="false" customHeight="false" outlineLevel="0" collapsed="false">
      <c r="A137" s="28"/>
      <c r="B137" s="28"/>
      <c r="C137" s="28"/>
      <c r="D137" s="28"/>
      <c r="E137" s="28"/>
      <c r="F137" s="28"/>
      <c r="G137" s="28"/>
      <c r="H137" s="28"/>
      <c r="I137" s="29" t="str">
        <f aca="false">IF(OR(G137="",H137=""),"",IF(G137=H137,"Yes","No"))</f>
        <v/>
      </c>
      <c r="J137" s="28"/>
      <c r="K137" s="29" t="str">
        <f aca="false">IF(E137="Snowballing","n/a",IF(AND(G137="",H137=""),"",IF(OR(G137="",H137=""),"Waiting",IF(G137=H137,G137,IF(AND(G137&lt;&gt;"Exclude",H137&lt;&gt;"Exclude"),"Maybe",IF(J137&lt;&gt;"",J137,"Pending"))))))</f>
        <v/>
      </c>
      <c r="L137" s="28"/>
      <c r="M137" s="28"/>
      <c r="N137" s="28"/>
      <c r="O137" s="28"/>
      <c r="P137" s="28"/>
    </row>
    <row r="138" customFormat="false" ht="15" hidden="false" customHeight="false" outlineLevel="0" collapsed="false">
      <c r="A138" s="28"/>
      <c r="B138" s="28"/>
      <c r="C138" s="28"/>
      <c r="D138" s="28"/>
      <c r="E138" s="28"/>
      <c r="F138" s="28"/>
      <c r="G138" s="28"/>
      <c r="H138" s="28"/>
      <c r="I138" s="29" t="str">
        <f aca="false">IF(OR(G138="",H138=""),"",IF(G138=H138,"Yes","No"))</f>
        <v/>
      </c>
      <c r="J138" s="28"/>
      <c r="K138" s="29" t="str">
        <f aca="false">IF(E138="Snowballing","n/a",IF(AND(G138="",H138=""),"",IF(OR(G138="",H138=""),"Waiting",IF(G138=H138,G138,IF(AND(G138&lt;&gt;"Exclude",H138&lt;&gt;"Exclude"),"Maybe",IF(J138&lt;&gt;"",J138,"Pending"))))))</f>
        <v/>
      </c>
      <c r="L138" s="28"/>
      <c r="M138" s="28"/>
      <c r="N138" s="28"/>
      <c r="O138" s="28"/>
      <c r="P138" s="28"/>
    </row>
    <row r="139" customFormat="false" ht="15" hidden="false" customHeight="false" outlineLevel="0" collapsed="false">
      <c r="A139" s="28"/>
      <c r="B139" s="28"/>
      <c r="C139" s="28"/>
      <c r="D139" s="28"/>
      <c r="E139" s="28"/>
      <c r="F139" s="28"/>
      <c r="G139" s="28"/>
      <c r="H139" s="28"/>
      <c r="I139" s="29" t="str">
        <f aca="false">IF(OR(G139="",H139=""),"",IF(G139=H139,"Yes","No"))</f>
        <v/>
      </c>
      <c r="J139" s="28"/>
      <c r="K139" s="29" t="str">
        <f aca="false">IF(E139="Snowballing","n/a",IF(AND(G139="",H139=""),"",IF(OR(G139="",H139=""),"Waiting",IF(G139=H139,G139,IF(AND(G139&lt;&gt;"Exclude",H139&lt;&gt;"Exclude"),"Maybe",IF(J139&lt;&gt;"",J139,"Pending"))))))</f>
        <v/>
      </c>
      <c r="L139" s="28"/>
      <c r="M139" s="28"/>
      <c r="N139" s="28"/>
      <c r="O139" s="28"/>
      <c r="P139" s="28"/>
    </row>
    <row r="140" customFormat="false" ht="15" hidden="false" customHeight="false" outlineLevel="0" collapsed="false">
      <c r="A140" s="28"/>
      <c r="B140" s="28"/>
      <c r="C140" s="28"/>
      <c r="D140" s="28"/>
      <c r="E140" s="28"/>
      <c r="F140" s="28"/>
      <c r="G140" s="28"/>
      <c r="H140" s="28"/>
      <c r="I140" s="29" t="str">
        <f aca="false">IF(OR(G140="",H140=""),"",IF(G140=H140,"Yes","No"))</f>
        <v/>
      </c>
      <c r="J140" s="28"/>
      <c r="K140" s="29" t="str">
        <f aca="false">IF(E140="Snowballing","n/a",IF(AND(G140="",H140=""),"",IF(OR(G140="",H140=""),"Waiting",IF(G140=H140,G140,IF(AND(G140&lt;&gt;"Exclude",H140&lt;&gt;"Exclude"),"Maybe",IF(J140&lt;&gt;"",J140,"Pending"))))))</f>
        <v/>
      </c>
      <c r="L140" s="28"/>
      <c r="M140" s="28"/>
      <c r="N140" s="28"/>
      <c r="O140" s="28"/>
      <c r="P140" s="28"/>
    </row>
    <row r="141" customFormat="false" ht="15" hidden="false" customHeight="false" outlineLevel="0" collapsed="false">
      <c r="A141" s="28"/>
      <c r="B141" s="28"/>
      <c r="C141" s="28"/>
      <c r="D141" s="28"/>
      <c r="E141" s="28"/>
      <c r="F141" s="28"/>
      <c r="G141" s="28"/>
      <c r="H141" s="28"/>
      <c r="I141" s="29" t="str">
        <f aca="false">IF(OR(G141="",H141=""),"",IF(G141=H141,"Yes","No"))</f>
        <v/>
      </c>
      <c r="J141" s="28"/>
      <c r="K141" s="29" t="str">
        <f aca="false">IF(E141="Snowballing","n/a",IF(AND(G141="",H141=""),"",IF(OR(G141="",H141=""),"Waiting",IF(G141=H141,G141,IF(AND(G141&lt;&gt;"Exclude",H141&lt;&gt;"Exclude"),"Maybe",IF(J141&lt;&gt;"",J141,"Pending"))))))</f>
        <v/>
      </c>
      <c r="L141" s="28"/>
      <c r="M141" s="28"/>
      <c r="N141" s="28"/>
      <c r="O141" s="28"/>
      <c r="P141" s="28"/>
    </row>
    <row r="142" customFormat="false" ht="15" hidden="false" customHeight="false" outlineLevel="0" collapsed="false">
      <c r="A142" s="28"/>
      <c r="B142" s="28"/>
      <c r="C142" s="28"/>
      <c r="D142" s="28"/>
      <c r="E142" s="28"/>
      <c r="F142" s="28"/>
      <c r="G142" s="28"/>
      <c r="H142" s="28"/>
      <c r="I142" s="29" t="str">
        <f aca="false">IF(OR(G142="",H142=""),"",IF(G142=H142,"Yes","No"))</f>
        <v/>
      </c>
      <c r="J142" s="28"/>
      <c r="K142" s="29" t="str">
        <f aca="false">IF(E142="Snowballing","n/a",IF(AND(G142="",H142=""),"",IF(OR(G142="",H142=""),"Waiting",IF(G142=H142,G142,IF(AND(G142&lt;&gt;"Exclude",H142&lt;&gt;"Exclude"),"Maybe",IF(J142&lt;&gt;"",J142,"Pending"))))))</f>
        <v/>
      </c>
      <c r="L142" s="28"/>
      <c r="M142" s="28"/>
      <c r="N142" s="28"/>
      <c r="O142" s="28"/>
      <c r="P142" s="28"/>
    </row>
    <row r="143" customFormat="false" ht="15" hidden="false" customHeight="false" outlineLevel="0" collapsed="false">
      <c r="A143" s="28"/>
      <c r="B143" s="28"/>
      <c r="C143" s="28"/>
      <c r="D143" s="28"/>
      <c r="E143" s="28"/>
      <c r="F143" s="28"/>
      <c r="G143" s="28"/>
      <c r="H143" s="28"/>
      <c r="I143" s="29" t="str">
        <f aca="false">IF(OR(G143="",H143=""),"",IF(G143=H143,"Yes","No"))</f>
        <v/>
      </c>
      <c r="J143" s="28"/>
      <c r="K143" s="29" t="str">
        <f aca="false">IF(E143="Snowballing","n/a",IF(AND(G143="",H143=""),"",IF(OR(G143="",H143=""),"Waiting",IF(G143=H143,G143,IF(AND(G143&lt;&gt;"Exclude",H143&lt;&gt;"Exclude"),"Maybe",IF(J143&lt;&gt;"",J143,"Pending"))))))</f>
        <v/>
      </c>
      <c r="L143" s="28"/>
      <c r="M143" s="28"/>
      <c r="N143" s="28"/>
      <c r="O143" s="28"/>
      <c r="P143" s="28"/>
    </row>
    <row r="144" customFormat="false" ht="15" hidden="false" customHeight="false" outlineLevel="0" collapsed="false">
      <c r="A144" s="28"/>
      <c r="B144" s="28"/>
      <c r="C144" s="28"/>
      <c r="D144" s="28"/>
      <c r="E144" s="28"/>
      <c r="F144" s="28"/>
      <c r="G144" s="28"/>
      <c r="H144" s="28"/>
      <c r="I144" s="29" t="str">
        <f aca="false">IF(OR(G144="",H144=""),"",IF(G144=H144,"Yes","No"))</f>
        <v/>
      </c>
      <c r="J144" s="28"/>
      <c r="K144" s="29" t="str">
        <f aca="false">IF(E144="Snowballing","n/a",IF(AND(G144="",H144=""),"",IF(OR(G144="",H144=""),"Waiting",IF(G144=H144,G144,IF(AND(G144&lt;&gt;"Exclude",H144&lt;&gt;"Exclude"),"Maybe",IF(J144&lt;&gt;"",J144,"Pending"))))))</f>
        <v/>
      </c>
      <c r="L144" s="28"/>
      <c r="M144" s="28"/>
      <c r="N144" s="28"/>
      <c r="O144" s="28"/>
      <c r="P144" s="28"/>
    </row>
    <row r="145" customFormat="false" ht="15" hidden="false" customHeight="false" outlineLevel="0" collapsed="false">
      <c r="A145" s="28"/>
      <c r="B145" s="28"/>
      <c r="C145" s="28"/>
      <c r="D145" s="28"/>
      <c r="E145" s="28"/>
      <c r="F145" s="28"/>
      <c r="G145" s="28"/>
      <c r="H145" s="28"/>
      <c r="I145" s="29" t="str">
        <f aca="false">IF(OR(G145="",H145=""),"",IF(G145=H145,"Yes","No"))</f>
        <v/>
      </c>
      <c r="J145" s="28"/>
      <c r="K145" s="29" t="str">
        <f aca="false">IF(E145="Snowballing","n/a",IF(AND(G145="",H145=""),"",IF(OR(G145="",H145=""),"Waiting",IF(G145=H145,G145,IF(AND(G145&lt;&gt;"Exclude",H145&lt;&gt;"Exclude"),"Maybe",IF(J145&lt;&gt;"",J145,"Pending"))))))</f>
        <v/>
      </c>
      <c r="L145" s="28"/>
      <c r="M145" s="28"/>
      <c r="N145" s="28"/>
      <c r="O145" s="28"/>
      <c r="P145" s="28"/>
    </row>
    <row r="146" customFormat="false" ht="15" hidden="false" customHeight="false" outlineLevel="0" collapsed="false">
      <c r="A146" s="28"/>
      <c r="B146" s="28"/>
      <c r="C146" s="28"/>
      <c r="D146" s="28"/>
      <c r="E146" s="28"/>
      <c r="F146" s="28"/>
      <c r="G146" s="28"/>
      <c r="H146" s="28"/>
      <c r="I146" s="29" t="str">
        <f aca="false">IF(OR(G146="",H146=""),"",IF(G146=H146,"Yes","No"))</f>
        <v/>
      </c>
      <c r="J146" s="28"/>
      <c r="K146" s="29" t="str">
        <f aca="false">IF(E146="Snowballing","n/a",IF(AND(G146="",H146=""),"",IF(OR(G146="",H146=""),"Waiting",IF(G146=H146,G146,IF(AND(G146&lt;&gt;"Exclude",H146&lt;&gt;"Exclude"),"Maybe",IF(J146&lt;&gt;"",J146,"Pending"))))))</f>
        <v/>
      </c>
      <c r="L146" s="28"/>
      <c r="M146" s="28"/>
      <c r="N146" s="28"/>
      <c r="O146" s="28"/>
      <c r="P146" s="28"/>
    </row>
    <row r="147" customFormat="false" ht="15" hidden="false" customHeight="false" outlineLevel="0" collapsed="false">
      <c r="A147" s="28"/>
      <c r="B147" s="28"/>
      <c r="C147" s="28"/>
      <c r="D147" s="28"/>
      <c r="E147" s="28"/>
      <c r="F147" s="28"/>
      <c r="G147" s="28"/>
      <c r="H147" s="28"/>
      <c r="I147" s="29" t="str">
        <f aca="false">IF(OR(G147="",H147=""),"",IF(G147=H147,"Yes","No"))</f>
        <v/>
      </c>
      <c r="J147" s="28"/>
      <c r="K147" s="29" t="str">
        <f aca="false">IF(E147="Snowballing","n/a",IF(AND(G147="",H147=""),"",IF(OR(G147="",H147=""),"Waiting",IF(G147=H147,G147,IF(AND(G147&lt;&gt;"Exclude",H147&lt;&gt;"Exclude"),"Maybe",IF(J147&lt;&gt;"",J147,"Pending"))))))</f>
        <v/>
      </c>
      <c r="L147" s="28"/>
      <c r="M147" s="28"/>
      <c r="N147" s="28"/>
      <c r="O147" s="28"/>
      <c r="P147" s="28"/>
    </row>
    <row r="148" customFormat="false" ht="15" hidden="false" customHeight="false" outlineLevel="0" collapsed="false">
      <c r="A148" s="28"/>
      <c r="B148" s="28"/>
      <c r="C148" s="28"/>
      <c r="D148" s="28"/>
      <c r="E148" s="28"/>
      <c r="F148" s="28"/>
      <c r="G148" s="28"/>
      <c r="H148" s="28"/>
      <c r="I148" s="29" t="str">
        <f aca="false">IF(OR(G148="",H148=""),"",IF(G148=H148,"Yes","No"))</f>
        <v/>
      </c>
      <c r="J148" s="28"/>
      <c r="K148" s="29" t="str">
        <f aca="false">IF(E148="Snowballing","n/a",IF(AND(G148="",H148=""),"",IF(OR(G148="",H148=""),"Waiting",IF(G148=H148,G148,IF(AND(G148&lt;&gt;"Exclude",H148&lt;&gt;"Exclude"),"Maybe",IF(J148&lt;&gt;"",J148,"Pending"))))))</f>
        <v/>
      </c>
      <c r="L148" s="28"/>
      <c r="M148" s="28"/>
      <c r="N148" s="28"/>
      <c r="O148" s="28"/>
      <c r="P148" s="28"/>
    </row>
    <row r="149" customFormat="false" ht="15" hidden="false" customHeight="false" outlineLevel="0" collapsed="false">
      <c r="A149" s="28"/>
      <c r="B149" s="28"/>
      <c r="C149" s="28"/>
      <c r="D149" s="28"/>
      <c r="E149" s="28"/>
      <c r="F149" s="28"/>
      <c r="G149" s="28"/>
      <c r="H149" s="28"/>
      <c r="I149" s="29" t="str">
        <f aca="false">IF(OR(G149="",H149=""),"",IF(G149=H149,"Yes","No"))</f>
        <v/>
      </c>
      <c r="J149" s="28"/>
      <c r="K149" s="29" t="str">
        <f aca="false">IF(E149="Snowballing","n/a",IF(AND(G149="",H149=""),"",IF(OR(G149="",H149=""),"Waiting",IF(G149=H149,G149,IF(AND(G149&lt;&gt;"Exclude",H149&lt;&gt;"Exclude"),"Maybe",IF(J149&lt;&gt;"",J149,"Pending"))))))</f>
        <v/>
      </c>
      <c r="L149" s="28"/>
      <c r="M149" s="28"/>
      <c r="N149" s="28"/>
      <c r="O149" s="28"/>
      <c r="P149" s="28"/>
    </row>
    <row r="150" customFormat="false" ht="15" hidden="false" customHeight="false" outlineLevel="0" collapsed="false">
      <c r="A150" s="28"/>
      <c r="B150" s="28"/>
      <c r="C150" s="28"/>
      <c r="D150" s="28"/>
      <c r="E150" s="28"/>
      <c r="F150" s="28"/>
      <c r="G150" s="28"/>
      <c r="H150" s="28"/>
      <c r="I150" s="29" t="str">
        <f aca="false">IF(OR(G150="",H150=""),"",IF(G150=H150,"Yes","No"))</f>
        <v/>
      </c>
      <c r="J150" s="28"/>
      <c r="K150" s="29" t="str">
        <f aca="false">IF(E150="Snowballing","n/a",IF(AND(G150="",H150=""),"",IF(OR(G150="",H150=""),"Waiting",IF(G150=H150,G150,IF(AND(G150&lt;&gt;"Exclude",H150&lt;&gt;"Exclude"),"Maybe",IF(J150&lt;&gt;"",J150,"Pending"))))))</f>
        <v/>
      </c>
      <c r="L150" s="28"/>
      <c r="M150" s="28"/>
      <c r="N150" s="28"/>
      <c r="O150" s="28"/>
      <c r="P150" s="28"/>
    </row>
    <row r="151" customFormat="false" ht="15" hidden="false" customHeight="false" outlineLevel="0" collapsed="false">
      <c r="A151" s="28"/>
      <c r="B151" s="28"/>
      <c r="C151" s="28"/>
      <c r="D151" s="28"/>
      <c r="E151" s="28"/>
      <c r="F151" s="28"/>
      <c r="G151" s="28"/>
      <c r="H151" s="28"/>
      <c r="I151" s="29" t="str">
        <f aca="false">IF(OR(G151="",H151=""),"",IF(G151=H151,"Yes","No"))</f>
        <v/>
      </c>
      <c r="J151" s="28"/>
      <c r="K151" s="29" t="str">
        <f aca="false">IF(E151="Snowballing","n/a",IF(AND(G151="",H151=""),"",IF(OR(G151="",H151=""),"Waiting",IF(G151=H151,G151,IF(AND(G151&lt;&gt;"Exclude",H151&lt;&gt;"Exclude"),"Maybe",IF(J151&lt;&gt;"",J151,"Pending"))))))</f>
        <v/>
      </c>
      <c r="L151" s="28"/>
      <c r="M151" s="28"/>
      <c r="N151" s="28"/>
      <c r="O151" s="28"/>
      <c r="P151" s="28"/>
    </row>
    <row r="152" customFormat="false" ht="15" hidden="false" customHeight="false" outlineLevel="0" collapsed="false">
      <c r="A152" s="28"/>
      <c r="B152" s="28"/>
      <c r="C152" s="28"/>
      <c r="D152" s="28"/>
      <c r="E152" s="28"/>
      <c r="F152" s="28"/>
      <c r="G152" s="28"/>
      <c r="H152" s="28"/>
      <c r="I152" s="29" t="str">
        <f aca="false">IF(OR(G152="",H152=""),"",IF(G152=H152,"Yes","No"))</f>
        <v/>
      </c>
      <c r="J152" s="28"/>
      <c r="K152" s="29" t="str">
        <f aca="false">IF(E152="Snowballing","n/a",IF(AND(G152="",H152=""),"",IF(OR(G152="",H152=""),"Waiting",IF(G152=H152,G152,IF(AND(G152&lt;&gt;"Exclude",H152&lt;&gt;"Exclude"),"Maybe",IF(J152&lt;&gt;"",J152,"Pending"))))))</f>
        <v/>
      </c>
      <c r="L152" s="28"/>
      <c r="M152" s="28"/>
      <c r="N152" s="28"/>
      <c r="O152" s="28"/>
      <c r="P152" s="28"/>
    </row>
    <row r="153" customFormat="false" ht="15" hidden="false" customHeight="false" outlineLevel="0" collapsed="false">
      <c r="A153" s="28"/>
      <c r="B153" s="28"/>
      <c r="C153" s="28"/>
      <c r="D153" s="28"/>
      <c r="E153" s="28"/>
      <c r="F153" s="28"/>
      <c r="G153" s="28"/>
      <c r="H153" s="28"/>
      <c r="I153" s="29" t="str">
        <f aca="false">IF(OR(G153="",H153=""),"",IF(G153=H153,"Yes","No"))</f>
        <v/>
      </c>
      <c r="J153" s="28"/>
      <c r="K153" s="29" t="str">
        <f aca="false">IF(E153="Snowballing","n/a",IF(AND(G153="",H153=""),"",IF(OR(G153="",H153=""),"Waiting",IF(G153=H153,G153,IF(AND(G153&lt;&gt;"Exclude",H153&lt;&gt;"Exclude"),"Maybe",IF(J153&lt;&gt;"",J153,"Pending"))))))</f>
        <v/>
      </c>
      <c r="L153" s="28"/>
      <c r="M153" s="28"/>
      <c r="N153" s="28"/>
      <c r="O153" s="28"/>
      <c r="P153" s="28"/>
    </row>
    <row r="154" customFormat="false" ht="15" hidden="false" customHeight="false" outlineLevel="0" collapsed="false">
      <c r="A154" s="28"/>
      <c r="B154" s="28"/>
      <c r="C154" s="28"/>
      <c r="D154" s="28"/>
      <c r="E154" s="28"/>
      <c r="F154" s="28"/>
      <c r="G154" s="28"/>
      <c r="H154" s="28"/>
      <c r="I154" s="29" t="str">
        <f aca="false">IF(OR(G154="",H154=""),"",IF(G154=H154,"Yes","No"))</f>
        <v/>
      </c>
      <c r="J154" s="28"/>
      <c r="K154" s="29" t="str">
        <f aca="false">IF(E154="Snowballing","n/a",IF(AND(G154="",H154=""),"",IF(OR(G154="",H154=""),"Waiting",IF(G154=H154,G154,IF(AND(G154&lt;&gt;"Exclude",H154&lt;&gt;"Exclude"),"Maybe",IF(J154&lt;&gt;"",J154,"Pending"))))))</f>
        <v/>
      </c>
      <c r="L154" s="28"/>
      <c r="M154" s="28"/>
      <c r="N154" s="28"/>
      <c r="O154" s="28"/>
      <c r="P154" s="28"/>
    </row>
    <row r="155" customFormat="false" ht="15" hidden="false" customHeight="false" outlineLevel="0" collapsed="false">
      <c r="A155" s="28"/>
      <c r="B155" s="28"/>
      <c r="C155" s="28"/>
      <c r="D155" s="28"/>
      <c r="E155" s="28"/>
      <c r="F155" s="28"/>
      <c r="G155" s="28"/>
      <c r="H155" s="28"/>
      <c r="I155" s="29" t="str">
        <f aca="false">IF(OR(G155="",H155=""),"",IF(G155=H155,"Yes","No"))</f>
        <v/>
      </c>
      <c r="J155" s="28"/>
      <c r="K155" s="29" t="str">
        <f aca="false">IF(E155="Snowballing","n/a",IF(AND(G155="",H155=""),"",IF(OR(G155="",H155=""),"Waiting",IF(G155=H155,G155,IF(AND(G155&lt;&gt;"Exclude",H155&lt;&gt;"Exclude"),"Maybe",IF(J155&lt;&gt;"",J155,"Pending"))))))</f>
        <v/>
      </c>
      <c r="L155" s="28"/>
      <c r="M155" s="28"/>
      <c r="N155" s="28"/>
      <c r="O155" s="28"/>
      <c r="P155" s="28"/>
    </row>
    <row r="156" customFormat="false" ht="15" hidden="false" customHeight="false" outlineLevel="0" collapsed="false">
      <c r="A156" s="28"/>
      <c r="B156" s="28"/>
      <c r="C156" s="28"/>
      <c r="D156" s="28"/>
      <c r="E156" s="28"/>
      <c r="F156" s="28"/>
      <c r="G156" s="28"/>
      <c r="H156" s="28"/>
      <c r="I156" s="29" t="str">
        <f aca="false">IF(OR(G156="",H156=""),"",IF(G156=H156,"Yes","No"))</f>
        <v/>
      </c>
      <c r="J156" s="28"/>
      <c r="K156" s="29" t="str">
        <f aca="false">IF(E156="Snowballing","n/a",IF(AND(G156="",H156=""),"",IF(OR(G156="",H156=""),"Waiting",IF(G156=H156,G156,IF(AND(G156&lt;&gt;"Exclude",H156&lt;&gt;"Exclude"),"Maybe",IF(J156&lt;&gt;"",J156,"Pending"))))))</f>
        <v/>
      </c>
      <c r="L156" s="28"/>
      <c r="M156" s="28"/>
      <c r="N156" s="28"/>
      <c r="O156" s="28"/>
      <c r="P156" s="28"/>
    </row>
    <row r="157" customFormat="false" ht="15" hidden="false" customHeight="false" outlineLevel="0" collapsed="false">
      <c r="A157" s="28"/>
      <c r="B157" s="28"/>
      <c r="C157" s="28"/>
      <c r="D157" s="28"/>
      <c r="E157" s="28"/>
      <c r="F157" s="28"/>
      <c r="G157" s="28"/>
      <c r="H157" s="28"/>
      <c r="I157" s="29" t="str">
        <f aca="false">IF(OR(G157="",H157=""),"",IF(G157=H157,"Yes","No"))</f>
        <v/>
      </c>
      <c r="J157" s="28"/>
      <c r="K157" s="29" t="str">
        <f aca="false">IF(E157="Snowballing","n/a",IF(AND(G157="",H157=""),"",IF(OR(G157="",H157=""),"Waiting",IF(G157=H157,G157,IF(AND(G157&lt;&gt;"Exclude",H157&lt;&gt;"Exclude"),"Maybe",IF(J157&lt;&gt;"",J157,"Pending"))))))</f>
        <v/>
      </c>
      <c r="L157" s="28"/>
      <c r="M157" s="28"/>
      <c r="N157" s="28"/>
      <c r="O157" s="28"/>
      <c r="P157" s="28"/>
    </row>
    <row r="158" customFormat="false" ht="15" hidden="false" customHeight="false" outlineLevel="0" collapsed="false">
      <c r="A158" s="28"/>
      <c r="B158" s="28"/>
      <c r="C158" s="28"/>
      <c r="D158" s="28"/>
      <c r="E158" s="28"/>
      <c r="F158" s="28"/>
      <c r="G158" s="28"/>
      <c r="H158" s="28"/>
      <c r="I158" s="29" t="str">
        <f aca="false">IF(OR(G158="",H158=""),"",IF(G158=H158,"Yes","No"))</f>
        <v/>
      </c>
      <c r="J158" s="28"/>
      <c r="K158" s="29" t="str">
        <f aca="false">IF(E158="Snowballing","n/a",IF(AND(G158="",H158=""),"",IF(OR(G158="",H158=""),"Waiting",IF(G158=H158,G158,IF(AND(G158&lt;&gt;"Exclude",H158&lt;&gt;"Exclude"),"Maybe",IF(J158&lt;&gt;"",J158,"Pending"))))))</f>
        <v/>
      </c>
      <c r="L158" s="28"/>
      <c r="M158" s="28"/>
      <c r="N158" s="28"/>
      <c r="O158" s="28"/>
      <c r="P158" s="28"/>
    </row>
    <row r="159" customFormat="false" ht="15" hidden="false" customHeight="false" outlineLevel="0" collapsed="false">
      <c r="A159" s="28"/>
      <c r="B159" s="28"/>
      <c r="C159" s="28"/>
      <c r="D159" s="28"/>
      <c r="E159" s="28"/>
      <c r="F159" s="28"/>
      <c r="G159" s="28"/>
      <c r="H159" s="28"/>
      <c r="I159" s="29" t="str">
        <f aca="false">IF(OR(G159="",H159=""),"",IF(G159=H159,"Yes","No"))</f>
        <v/>
      </c>
      <c r="J159" s="28"/>
      <c r="K159" s="29" t="str">
        <f aca="false">IF(E159="Snowballing","n/a",IF(AND(G159="",H159=""),"",IF(OR(G159="",H159=""),"Waiting",IF(G159=H159,G159,IF(AND(G159&lt;&gt;"Exclude",H159&lt;&gt;"Exclude"),"Maybe",IF(J159&lt;&gt;"",J159,"Pending"))))))</f>
        <v/>
      </c>
      <c r="L159" s="28"/>
      <c r="M159" s="28"/>
      <c r="N159" s="28"/>
      <c r="O159" s="28"/>
      <c r="P159" s="28"/>
    </row>
    <row r="160" customFormat="false" ht="15" hidden="false" customHeight="false" outlineLevel="0" collapsed="false">
      <c r="A160" s="28"/>
      <c r="B160" s="28"/>
      <c r="C160" s="28"/>
      <c r="D160" s="28"/>
      <c r="E160" s="28"/>
      <c r="F160" s="28"/>
      <c r="G160" s="28"/>
      <c r="H160" s="28"/>
      <c r="I160" s="29" t="str">
        <f aca="false">IF(OR(G160="",H160=""),"",IF(G160=H160,"Yes","No"))</f>
        <v/>
      </c>
      <c r="J160" s="28"/>
      <c r="K160" s="29" t="str">
        <f aca="false">IF(E160="Snowballing","n/a",IF(AND(G160="",H160=""),"",IF(OR(G160="",H160=""),"Waiting",IF(G160=H160,G160,IF(AND(G160&lt;&gt;"Exclude",H160&lt;&gt;"Exclude"),"Maybe",IF(J160&lt;&gt;"",J160,"Pending"))))))</f>
        <v/>
      </c>
      <c r="L160" s="28"/>
      <c r="M160" s="28"/>
      <c r="N160" s="28"/>
      <c r="O160" s="28"/>
      <c r="P160" s="28"/>
    </row>
    <row r="161" customFormat="false" ht="15" hidden="false" customHeight="false" outlineLevel="0" collapsed="false">
      <c r="A161" s="28"/>
      <c r="B161" s="28"/>
      <c r="C161" s="28"/>
      <c r="D161" s="28"/>
      <c r="E161" s="28"/>
      <c r="F161" s="28"/>
      <c r="G161" s="28"/>
      <c r="H161" s="28"/>
      <c r="I161" s="29" t="str">
        <f aca="false">IF(OR(G161="",H161=""),"",IF(G161=H161,"Yes","No"))</f>
        <v/>
      </c>
      <c r="J161" s="28"/>
      <c r="K161" s="29" t="str">
        <f aca="false">IF(E161="Snowballing","n/a",IF(AND(G161="",H161=""),"",IF(OR(G161="",H161=""),"Waiting",IF(G161=H161,G161,IF(AND(G161&lt;&gt;"Exclude",H161&lt;&gt;"Exclude"),"Maybe",IF(J161&lt;&gt;"",J161,"Pending"))))))</f>
        <v/>
      </c>
      <c r="L161" s="28"/>
      <c r="M161" s="28"/>
      <c r="N161" s="28"/>
      <c r="O161" s="28"/>
      <c r="P161" s="28"/>
    </row>
    <row r="162" customFormat="false" ht="15" hidden="false" customHeight="false" outlineLevel="0" collapsed="false">
      <c r="A162" s="28"/>
      <c r="B162" s="28"/>
      <c r="C162" s="28"/>
      <c r="D162" s="28"/>
      <c r="E162" s="28"/>
      <c r="F162" s="28"/>
      <c r="G162" s="28"/>
      <c r="H162" s="28"/>
      <c r="I162" s="29" t="str">
        <f aca="false">IF(OR(G162="",H162=""),"",IF(G162=H162,"Yes","No"))</f>
        <v/>
      </c>
      <c r="J162" s="28"/>
      <c r="K162" s="29" t="str">
        <f aca="false">IF(E162="Snowballing","n/a",IF(AND(G162="",H162=""),"",IF(OR(G162="",H162=""),"Waiting",IF(G162=H162,G162,IF(AND(G162&lt;&gt;"Exclude",H162&lt;&gt;"Exclude"),"Maybe",IF(J162&lt;&gt;"",J162,"Pending"))))))</f>
        <v/>
      </c>
      <c r="L162" s="28"/>
      <c r="M162" s="28"/>
      <c r="N162" s="28"/>
      <c r="O162" s="28"/>
      <c r="P162" s="28"/>
    </row>
    <row r="163" customFormat="false" ht="15" hidden="false" customHeight="false" outlineLevel="0" collapsed="false">
      <c r="A163" s="28"/>
      <c r="B163" s="28"/>
      <c r="C163" s="28"/>
      <c r="D163" s="28"/>
      <c r="E163" s="28"/>
      <c r="F163" s="28"/>
      <c r="G163" s="28"/>
      <c r="H163" s="28"/>
      <c r="I163" s="29" t="str">
        <f aca="false">IF(OR(G163="",H163=""),"",IF(G163=H163,"Yes","No"))</f>
        <v/>
      </c>
      <c r="J163" s="28"/>
      <c r="K163" s="29" t="str">
        <f aca="false">IF(E163="Snowballing","n/a",IF(AND(G163="",H163=""),"",IF(OR(G163="",H163=""),"Waiting",IF(G163=H163,G163,IF(AND(G163&lt;&gt;"Exclude",H163&lt;&gt;"Exclude"),"Maybe",IF(J163&lt;&gt;"",J163,"Pending"))))))</f>
        <v/>
      </c>
      <c r="L163" s="28"/>
      <c r="M163" s="28"/>
      <c r="N163" s="28"/>
      <c r="O163" s="28"/>
      <c r="P163" s="28"/>
    </row>
    <row r="164" customFormat="false" ht="15" hidden="false" customHeight="false" outlineLevel="0" collapsed="false">
      <c r="A164" s="28"/>
      <c r="B164" s="28"/>
      <c r="C164" s="28"/>
      <c r="D164" s="28"/>
      <c r="E164" s="28"/>
      <c r="F164" s="28"/>
      <c r="G164" s="28"/>
      <c r="H164" s="28"/>
      <c r="I164" s="29" t="str">
        <f aca="false">IF(OR(G164="",H164=""),"",IF(G164=H164,"Yes","No"))</f>
        <v/>
      </c>
      <c r="J164" s="28"/>
      <c r="K164" s="29" t="str">
        <f aca="false">IF(E164="Snowballing","n/a",IF(AND(G164="",H164=""),"",IF(OR(G164="",H164=""),"Waiting",IF(G164=H164,G164,IF(AND(G164&lt;&gt;"Exclude",H164&lt;&gt;"Exclude"),"Maybe",IF(J164&lt;&gt;"",J164,"Pending"))))))</f>
        <v/>
      </c>
      <c r="L164" s="28"/>
      <c r="M164" s="28"/>
      <c r="N164" s="28"/>
      <c r="O164" s="28"/>
      <c r="P164" s="28"/>
    </row>
    <row r="165" customFormat="false" ht="15" hidden="false" customHeight="false" outlineLevel="0" collapsed="false">
      <c r="A165" s="28"/>
      <c r="B165" s="28"/>
      <c r="C165" s="28"/>
      <c r="D165" s="28"/>
      <c r="E165" s="28"/>
      <c r="F165" s="28"/>
      <c r="G165" s="28"/>
      <c r="H165" s="28"/>
      <c r="I165" s="29" t="str">
        <f aca="false">IF(OR(G165="",H165=""),"",IF(G165=H165,"Yes","No"))</f>
        <v/>
      </c>
      <c r="J165" s="28"/>
      <c r="K165" s="29" t="str">
        <f aca="false">IF(E165="Snowballing","n/a",IF(AND(G165="",H165=""),"",IF(OR(G165="",H165=""),"Waiting",IF(G165=H165,G165,IF(AND(G165&lt;&gt;"Exclude",H165&lt;&gt;"Exclude"),"Maybe",IF(J165&lt;&gt;"",J165,"Pending"))))))</f>
        <v/>
      </c>
      <c r="L165" s="28"/>
      <c r="M165" s="28"/>
      <c r="N165" s="28"/>
      <c r="O165" s="28"/>
      <c r="P165" s="28"/>
    </row>
    <row r="166" customFormat="false" ht="15" hidden="false" customHeight="false" outlineLevel="0" collapsed="false">
      <c r="A166" s="28"/>
      <c r="B166" s="28"/>
      <c r="C166" s="28"/>
      <c r="D166" s="28"/>
      <c r="E166" s="28"/>
      <c r="F166" s="28"/>
      <c r="G166" s="28"/>
      <c r="H166" s="28"/>
      <c r="I166" s="29" t="str">
        <f aca="false">IF(OR(G166="",H166=""),"",IF(G166=H166,"Yes","No"))</f>
        <v/>
      </c>
      <c r="J166" s="28"/>
      <c r="K166" s="29" t="str">
        <f aca="false">IF(E166="Snowballing","n/a",IF(AND(G166="",H166=""),"",IF(OR(G166="",H166=""),"Waiting",IF(G166=H166,G166,IF(AND(G166&lt;&gt;"Exclude",H166&lt;&gt;"Exclude"),"Maybe",IF(J166&lt;&gt;"",J166,"Pending"))))))</f>
        <v/>
      </c>
      <c r="L166" s="28"/>
      <c r="M166" s="28"/>
      <c r="N166" s="28"/>
      <c r="O166" s="28"/>
      <c r="P166" s="28"/>
    </row>
    <row r="167" customFormat="false" ht="15" hidden="false" customHeight="false" outlineLevel="0" collapsed="false">
      <c r="A167" s="28"/>
      <c r="B167" s="28"/>
      <c r="C167" s="28"/>
      <c r="D167" s="28"/>
      <c r="E167" s="28"/>
      <c r="F167" s="28"/>
      <c r="G167" s="28"/>
      <c r="H167" s="28"/>
      <c r="I167" s="29" t="str">
        <f aca="false">IF(OR(G167="",H167=""),"",IF(G167=H167,"Yes","No"))</f>
        <v/>
      </c>
      <c r="J167" s="28"/>
      <c r="K167" s="29" t="str">
        <f aca="false">IF(E167="Snowballing","n/a",IF(AND(G167="",H167=""),"",IF(OR(G167="",H167=""),"Waiting",IF(G167=H167,G167,IF(AND(G167&lt;&gt;"Exclude",H167&lt;&gt;"Exclude"),"Maybe",IF(J167&lt;&gt;"",J167,"Pending"))))))</f>
        <v/>
      </c>
      <c r="L167" s="28"/>
      <c r="M167" s="28"/>
      <c r="N167" s="28"/>
      <c r="O167" s="28"/>
      <c r="P167" s="28"/>
    </row>
    <row r="168" customFormat="false" ht="15" hidden="false" customHeight="false" outlineLevel="0" collapsed="false">
      <c r="A168" s="28"/>
      <c r="B168" s="28"/>
      <c r="C168" s="28"/>
      <c r="D168" s="28"/>
      <c r="E168" s="28"/>
      <c r="F168" s="28"/>
      <c r="G168" s="28"/>
      <c r="H168" s="28"/>
      <c r="I168" s="29" t="str">
        <f aca="false">IF(OR(G168="",H168=""),"",IF(G168=H168,"Yes","No"))</f>
        <v/>
      </c>
      <c r="J168" s="28"/>
      <c r="K168" s="29" t="str">
        <f aca="false">IF(E168="Snowballing","n/a",IF(AND(G168="",H168=""),"",IF(OR(G168="",H168=""),"Waiting",IF(G168=H168,G168,IF(AND(G168&lt;&gt;"Exclude",H168&lt;&gt;"Exclude"),"Maybe",IF(J168&lt;&gt;"",J168,"Pending"))))))</f>
        <v/>
      </c>
      <c r="L168" s="28"/>
      <c r="M168" s="28"/>
      <c r="N168" s="28"/>
      <c r="O168" s="28"/>
      <c r="P168" s="28"/>
    </row>
    <row r="169" customFormat="false" ht="15" hidden="false" customHeight="false" outlineLevel="0" collapsed="false">
      <c r="A169" s="28"/>
      <c r="B169" s="28"/>
      <c r="C169" s="28"/>
      <c r="D169" s="28"/>
      <c r="E169" s="28"/>
      <c r="F169" s="28"/>
      <c r="G169" s="28"/>
      <c r="H169" s="28"/>
      <c r="I169" s="29" t="str">
        <f aca="false">IF(OR(G169="",H169=""),"",IF(G169=H169,"Yes","No"))</f>
        <v/>
      </c>
      <c r="J169" s="28"/>
      <c r="K169" s="29" t="str">
        <f aca="false">IF(E169="Snowballing","n/a",IF(AND(G169="",H169=""),"",IF(OR(G169="",H169=""),"Waiting",IF(G169=H169,G169,IF(AND(G169&lt;&gt;"Exclude",H169&lt;&gt;"Exclude"),"Maybe",IF(J169&lt;&gt;"",J169,"Pending"))))))</f>
        <v/>
      </c>
      <c r="L169" s="28"/>
      <c r="M169" s="28"/>
      <c r="N169" s="28"/>
      <c r="O169" s="28"/>
      <c r="P169" s="28"/>
    </row>
    <row r="170" customFormat="false" ht="15" hidden="false" customHeight="false" outlineLevel="0" collapsed="false">
      <c r="A170" s="28"/>
      <c r="B170" s="28"/>
      <c r="C170" s="28"/>
      <c r="D170" s="28"/>
      <c r="E170" s="28"/>
      <c r="F170" s="28"/>
      <c r="G170" s="28"/>
      <c r="H170" s="28"/>
      <c r="I170" s="29" t="str">
        <f aca="false">IF(OR(G170="",H170=""),"",IF(G170=H170,"Yes","No"))</f>
        <v/>
      </c>
      <c r="J170" s="28"/>
      <c r="K170" s="29" t="str">
        <f aca="false">IF(E170="Snowballing","n/a",IF(AND(G170="",H170=""),"",IF(OR(G170="",H170=""),"Waiting",IF(G170=H170,G170,IF(AND(G170&lt;&gt;"Exclude",H170&lt;&gt;"Exclude"),"Maybe",IF(J170&lt;&gt;"",J170,"Pending"))))))</f>
        <v/>
      </c>
      <c r="L170" s="28"/>
      <c r="M170" s="28"/>
      <c r="N170" s="28"/>
      <c r="O170" s="28"/>
      <c r="P170" s="28"/>
    </row>
    <row r="171" customFormat="false" ht="15" hidden="false" customHeight="false" outlineLevel="0" collapsed="false">
      <c r="A171" s="28"/>
      <c r="B171" s="28"/>
      <c r="C171" s="28"/>
      <c r="D171" s="28"/>
      <c r="E171" s="28"/>
      <c r="F171" s="28"/>
      <c r="G171" s="28"/>
      <c r="H171" s="28"/>
      <c r="I171" s="29" t="str">
        <f aca="false">IF(OR(G171="",H171=""),"",IF(G171=H171,"Yes","No"))</f>
        <v/>
      </c>
      <c r="J171" s="28"/>
      <c r="K171" s="29" t="str">
        <f aca="false">IF(E171="Snowballing","n/a",IF(AND(G171="",H171=""),"",IF(OR(G171="",H171=""),"Waiting",IF(G171=H171,G171,IF(AND(G171&lt;&gt;"Exclude",H171&lt;&gt;"Exclude"),"Maybe",IF(J171&lt;&gt;"",J171,"Pending"))))))</f>
        <v/>
      </c>
      <c r="L171" s="28"/>
      <c r="M171" s="28"/>
      <c r="N171" s="28"/>
      <c r="O171" s="28"/>
      <c r="P171" s="28"/>
    </row>
    <row r="172" customFormat="false" ht="15" hidden="false" customHeight="false" outlineLevel="0" collapsed="false">
      <c r="A172" s="28"/>
      <c r="B172" s="28"/>
      <c r="C172" s="28"/>
      <c r="D172" s="28"/>
      <c r="E172" s="28"/>
      <c r="F172" s="28"/>
      <c r="G172" s="28"/>
      <c r="H172" s="28"/>
      <c r="I172" s="29" t="str">
        <f aca="false">IF(OR(G172="",H172=""),"",IF(G172=H172,"Yes","No"))</f>
        <v/>
      </c>
      <c r="J172" s="28"/>
      <c r="K172" s="29" t="str">
        <f aca="false">IF(E172="Snowballing","n/a",IF(AND(G172="",H172=""),"",IF(OR(G172="",H172=""),"Waiting",IF(G172=H172,G172,IF(AND(G172&lt;&gt;"Exclude",H172&lt;&gt;"Exclude"),"Maybe",IF(J172&lt;&gt;"",J172,"Pending"))))))</f>
        <v/>
      </c>
      <c r="L172" s="28"/>
      <c r="M172" s="28"/>
      <c r="N172" s="28"/>
      <c r="O172" s="28"/>
      <c r="P172" s="28"/>
    </row>
    <row r="173" customFormat="false" ht="15" hidden="false" customHeight="false" outlineLevel="0" collapsed="false">
      <c r="A173" s="28"/>
      <c r="B173" s="28"/>
      <c r="C173" s="28"/>
      <c r="D173" s="28"/>
      <c r="E173" s="28"/>
      <c r="F173" s="28"/>
      <c r="G173" s="28"/>
      <c r="H173" s="28"/>
      <c r="I173" s="29" t="str">
        <f aca="false">IF(OR(G173="",H173=""),"",IF(G173=H173,"Yes","No"))</f>
        <v/>
      </c>
      <c r="J173" s="28"/>
      <c r="K173" s="29" t="str">
        <f aca="false">IF(E173="Snowballing","n/a",IF(AND(G173="",H173=""),"",IF(OR(G173="",H173=""),"Waiting",IF(G173=H173,G173,IF(AND(G173&lt;&gt;"Exclude",H173&lt;&gt;"Exclude"),"Maybe",IF(J173&lt;&gt;"",J173,"Pending"))))))</f>
        <v/>
      </c>
      <c r="L173" s="28"/>
      <c r="M173" s="28"/>
      <c r="N173" s="28"/>
      <c r="O173" s="28"/>
      <c r="P173" s="28"/>
    </row>
    <row r="174" customFormat="false" ht="15" hidden="false" customHeight="false" outlineLevel="0" collapsed="false">
      <c r="A174" s="28"/>
      <c r="B174" s="28"/>
      <c r="C174" s="28"/>
      <c r="D174" s="28"/>
      <c r="E174" s="28"/>
      <c r="F174" s="28"/>
      <c r="G174" s="28"/>
      <c r="H174" s="28"/>
      <c r="I174" s="29" t="str">
        <f aca="false">IF(OR(G174="",H174=""),"",IF(G174=H174,"Yes","No"))</f>
        <v/>
      </c>
      <c r="J174" s="28"/>
      <c r="K174" s="29" t="str">
        <f aca="false">IF(E174="Snowballing","n/a",IF(AND(G174="",H174=""),"",IF(OR(G174="",H174=""),"Waiting",IF(G174=H174,G174,IF(AND(G174&lt;&gt;"Exclude",H174&lt;&gt;"Exclude"),"Maybe",IF(J174&lt;&gt;"",J174,"Pending"))))))</f>
        <v/>
      </c>
      <c r="L174" s="28"/>
      <c r="M174" s="28"/>
      <c r="N174" s="28"/>
      <c r="O174" s="28"/>
      <c r="P174" s="28"/>
    </row>
    <row r="175" customFormat="false" ht="15" hidden="false" customHeight="false" outlineLevel="0" collapsed="false">
      <c r="A175" s="28"/>
      <c r="B175" s="28"/>
      <c r="C175" s="28"/>
      <c r="D175" s="28"/>
      <c r="E175" s="28"/>
      <c r="F175" s="28"/>
      <c r="G175" s="28"/>
      <c r="H175" s="28"/>
      <c r="I175" s="29" t="str">
        <f aca="false">IF(OR(G175="",H175=""),"",IF(G175=H175,"Yes","No"))</f>
        <v/>
      </c>
      <c r="J175" s="28"/>
      <c r="K175" s="29" t="str">
        <f aca="false">IF(E175="Snowballing","n/a",IF(AND(G175="",H175=""),"",IF(OR(G175="",H175=""),"Waiting",IF(G175=H175,G175,IF(AND(G175&lt;&gt;"Exclude",H175&lt;&gt;"Exclude"),"Maybe",IF(J175&lt;&gt;"",J175,"Pending"))))))</f>
        <v/>
      </c>
      <c r="L175" s="28"/>
      <c r="M175" s="28"/>
      <c r="N175" s="28"/>
      <c r="O175" s="28"/>
      <c r="P175" s="28"/>
    </row>
    <row r="176" customFormat="false" ht="15" hidden="false" customHeight="false" outlineLevel="0" collapsed="false">
      <c r="A176" s="28"/>
      <c r="B176" s="28"/>
      <c r="C176" s="28"/>
      <c r="D176" s="28"/>
      <c r="E176" s="28"/>
      <c r="F176" s="28"/>
      <c r="G176" s="28"/>
      <c r="H176" s="28"/>
      <c r="I176" s="29" t="str">
        <f aca="false">IF(OR(G176="",H176=""),"",IF(G176=H176,"Yes","No"))</f>
        <v/>
      </c>
      <c r="J176" s="28"/>
      <c r="K176" s="29" t="str">
        <f aca="false">IF(E176="Snowballing","n/a",IF(AND(G176="",H176=""),"",IF(OR(G176="",H176=""),"Waiting",IF(G176=H176,G176,IF(AND(G176&lt;&gt;"Exclude",H176&lt;&gt;"Exclude"),"Maybe",IF(J176&lt;&gt;"",J176,"Pending"))))))</f>
        <v/>
      </c>
      <c r="L176" s="28"/>
      <c r="M176" s="28"/>
      <c r="N176" s="28"/>
      <c r="O176" s="28"/>
      <c r="P176" s="28"/>
    </row>
    <row r="177" customFormat="false" ht="15" hidden="false" customHeight="false" outlineLevel="0" collapsed="false">
      <c r="A177" s="28"/>
      <c r="B177" s="28"/>
      <c r="C177" s="28"/>
      <c r="D177" s="28"/>
      <c r="E177" s="28"/>
      <c r="F177" s="28"/>
      <c r="G177" s="28"/>
      <c r="H177" s="28"/>
      <c r="I177" s="29" t="str">
        <f aca="false">IF(OR(G177="",H177=""),"",IF(G177=H177,"Yes","No"))</f>
        <v/>
      </c>
      <c r="J177" s="28"/>
      <c r="K177" s="29" t="str">
        <f aca="false">IF(E177="Snowballing","n/a",IF(AND(G177="",H177=""),"",IF(OR(G177="",H177=""),"Waiting",IF(G177=H177,G177,IF(AND(G177&lt;&gt;"Exclude",H177&lt;&gt;"Exclude"),"Maybe",IF(J177&lt;&gt;"",J177,"Pending"))))))</f>
        <v/>
      </c>
      <c r="L177" s="28"/>
      <c r="M177" s="28"/>
      <c r="N177" s="28"/>
      <c r="O177" s="28"/>
      <c r="P177" s="28"/>
    </row>
    <row r="178" customFormat="false" ht="15" hidden="false" customHeight="false" outlineLevel="0" collapsed="false">
      <c r="A178" s="28"/>
      <c r="B178" s="28"/>
      <c r="C178" s="28"/>
      <c r="D178" s="28"/>
      <c r="E178" s="28"/>
      <c r="F178" s="28"/>
      <c r="G178" s="28"/>
      <c r="H178" s="28"/>
      <c r="I178" s="29" t="str">
        <f aca="false">IF(OR(G178="",H178=""),"",IF(G178=H178,"Yes","No"))</f>
        <v/>
      </c>
      <c r="J178" s="28"/>
      <c r="K178" s="29" t="str">
        <f aca="false">IF(E178="Snowballing","n/a",IF(AND(G178="",H178=""),"",IF(OR(G178="",H178=""),"Waiting",IF(G178=H178,G178,IF(AND(G178&lt;&gt;"Exclude",H178&lt;&gt;"Exclude"),"Maybe",IF(J178&lt;&gt;"",J178,"Pending"))))))</f>
        <v/>
      </c>
      <c r="L178" s="28"/>
      <c r="M178" s="28"/>
      <c r="N178" s="28"/>
      <c r="O178" s="28"/>
      <c r="P178" s="28"/>
    </row>
    <row r="179" customFormat="false" ht="15" hidden="false" customHeight="false" outlineLevel="0" collapsed="false">
      <c r="A179" s="28"/>
      <c r="B179" s="28"/>
      <c r="C179" s="28"/>
      <c r="D179" s="28"/>
      <c r="E179" s="28"/>
      <c r="F179" s="28"/>
      <c r="G179" s="28"/>
      <c r="H179" s="28"/>
      <c r="I179" s="29" t="str">
        <f aca="false">IF(OR(G179="",H179=""),"",IF(G179=H179,"Yes","No"))</f>
        <v/>
      </c>
      <c r="J179" s="28"/>
      <c r="K179" s="29" t="str">
        <f aca="false">IF(E179="Snowballing","n/a",IF(AND(G179="",H179=""),"",IF(OR(G179="",H179=""),"Waiting",IF(G179=H179,G179,IF(AND(G179&lt;&gt;"Exclude",H179&lt;&gt;"Exclude"),"Maybe",IF(J179&lt;&gt;"",J179,"Pending"))))))</f>
        <v/>
      </c>
      <c r="L179" s="28"/>
      <c r="M179" s="28"/>
      <c r="N179" s="28"/>
      <c r="O179" s="28"/>
      <c r="P179" s="28"/>
    </row>
    <row r="180" customFormat="false" ht="15" hidden="false" customHeight="false" outlineLevel="0" collapsed="false">
      <c r="A180" s="28"/>
      <c r="B180" s="28"/>
      <c r="C180" s="28"/>
      <c r="D180" s="28"/>
      <c r="E180" s="28"/>
      <c r="F180" s="28"/>
      <c r="G180" s="28"/>
      <c r="H180" s="28"/>
      <c r="I180" s="29" t="str">
        <f aca="false">IF(OR(G180="",H180=""),"",IF(G180=H180,"Yes","No"))</f>
        <v/>
      </c>
      <c r="J180" s="28"/>
      <c r="K180" s="29" t="str">
        <f aca="false">IF(E180="Snowballing","n/a",IF(AND(G180="",H180=""),"",IF(OR(G180="",H180=""),"Waiting",IF(G180=H180,G180,IF(AND(G180&lt;&gt;"Exclude",H180&lt;&gt;"Exclude"),"Maybe",IF(J180&lt;&gt;"",J180,"Pending"))))))</f>
        <v/>
      </c>
      <c r="L180" s="28"/>
      <c r="M180" s="28"/>
      <c r="N180" s="28"/>
      <c r="O180" s="28"/>
      <c r="P180" s="28"/>
    </row>
    <row r="181" customFormat="false" ht="15" hidden="false" customHeight="false" outlineLevel="0" collapsed="false">
      <c r="A181" s="28"/>
      <c r="B181" s="28"/>
      <c r="C181" s="28"/>
      <c r="D181" s="28"/>
      <c r="E181" s="28"/>
      <c r="F181" s="28"/>
      <c r="G181" s="28"/>
      <c r="H181" s="28"/>
      <c r="I181" s="29" t="str">
        <f aca="false">IF(OR(G181="",H181=""),"",IF(G181=H181,"Yes","No"))</f>
        <v/>
      </c>
      <c r="J181" s="28"/>
      <c r="K181" s="29" t="str">
        <f aca="false">IF(E181="Snowballing","n/a",IF(AND(G181="",H181=""),"",IF(OR(G181="",H181=""),"Waiting",IF(G181=H181,G181,IF(AND(G181&lt;&gt;"Exclude",H181&lt;&gt;"Exclude"),"Maybe",IF(J181&lt;&gt;"",J181,"Pending"))))))</f>
        <v/>
      </c>
      <c r="L181" s="28"/>
      <c r="M181" s="28"/>
      <c r="N181" s="28"/>
      <c r="O181" s="28"/>
      <c r="P181" s="28"/>
    </row>
    <row r="182" customFormat="false" ht="15" hidden="false" customHeight="false" outlineLevel="0" collapsed="false">
      <c r="A182" s="28"/>
      <c r="B182" s="28"/>
      <c r="C182" s="28"/>
      <c r="D182" s="28"/>
      <c r="E182" s="28"/>
      <c r="F182" s="28"/>
      <c r="G182" s="28"/>
      <c r="H182" s="28"/>
      <c r="I182" s="29" t="str">
        <f aca="false">IF(OR(G182="",H182=""),"",IF(G182=H182,"Yes","No"))</f>
        <v/>
      </c>
      <c r="J182" s="28"/>
      <c r="K182" s="29" t="str">
        <f aca="false">IF(E182="Snowballing","n/a",IF(AND(G182="",H182=""),"",IF(OR(G182="",H182=""),"Waiting",IF(G182=H182,G182,IF(AND(G182&lt;&gt;"Exclude",H182&lt;&gt;"Exclude"),"Maybe",IF(J182&lt;&gt;"",J182,"Pending"))))))</f>
        <v/>
      </c>
      <c r="L182" s="28"/>
      <c r="M182" s="28"/>
      <c r="N182" s="28"/>
      <c r="O182" s="28"/>
      <c r="P182" s="28"/>
    </row>
    <row r="183" customFormat="false" ht="15" hidden="false" customHeight="false" outlineLevel="0" collapsed="false">
      <c r="A183" s="28"/>
      <c r="B183" s="28"/>
      <c r="C183" s="28"/>
      <c r="D183" s="28"/>
      <c r="E183" s="28"/>
      <c r="F183" s="28"/>
      <c r="G183" s="28"/>
      <c r="H183" s="28"/>
      <c r="I183" s="29" t="str">
        <f aca="false">IF(OR(G183="",H183=""),"",IF(G183=H183,"Yes","No"))</f>
        <v/>
      </c>
      <c r="J183" s="28"/>
      <c r="K183" s="29" t="str">
        <f aca="false">IF(E183="Snowballing","n/a",IF(AND(G183="",H183=""),"",IF(OR(G183="",H183=""),"Waiting",IF(G183=H183,G183,IF(AND(G183&lt;&gt;"Exclude",H183&lt;&gt;"Exclude"),"Maybe",IF(J183&lt;&gt;"",J183,"Pending"))))))</f>
        <v/>
      </c>
      <c r="L183" s="28"/>
      <c r="M183" s="28"/>
      <c r="N183" s="28"/>
      <c r="O183" s="28"/>
      <c r="P183" s="28"/>
    </row>
    <row r="184" customFormat="false" ht="15" hidden="false" customHeight="false" outlineLevel="0" collapsed="false">
      <c r="A184" s="28"/>
      <c r="B184" s="28"/>
      <c r="C184" s="28"/>
      <c r="D184" s="28"/>
      <c r="E184" s="28"/>
      <c r="F184" s="28"/>
      <c r="G184" s="28"/>
      <c r="H184" s="28"/>
      <c r="I184" s="29" t="str">
        <f aca="false">IF(OR(G184="",H184=""),"",IF(G184=H184,"Yes","No"))</f>
        <v/>
      </c>
      <c r="J184" s="28"/>
      <c r="K184" s="29" t="str">
        <f aca="false">IF(E184="Snowballing","n/a",IF(AND(G184="",H184=""),"",IF(OR(G184="",H184=""),"Waiting",IF(G184=H184,G184,IF(AND(G184&lt;&gt;"Exclude",H184&lt;&gt;"Exclude"),"Maybe",IF(J184&lt;&gt;"",J184,"Pending"))))))</f>
        <v/>
      </c>
      <c r="L184" s="28"/>
      <c r="M184" s="28"/>
      <c r="N184" s="28"/>
      <c r="O184" s="28"/>
      <c r="P184" s="28"/>
    </row>
    <row r="185" customFormat="false" ht="15" hidden="false" customHeight="false" outlineLevel="0" collapsed="false">
      <c r="A185" s="28"/>
      <c r="B185" s="28"/>
      <c r="C185" s="28"/>
      <c r="D185" s="28"/>
      <c r="E185" s="28"/>
      <c r="F185" s="28"/>
      <c r="G185" s="28"/>
      <c r="H185" s="28"/>
      <c r="I185" s="29" t="str">
        <f aca="false">IF(OR(G185="",H185=""),"",IF(G185=H185,"Yes","No"))</f>
        <v/>
      </c>
      <c r="J185" s="28"/>
      <c r="K185" s="29" t="str">
        <f aca="false">IF(E185="Snowballing","n/a",IF(AND(G185="",H185=""),"",IF(OR(G185="",H185=""),"Waiting",IF(G185=H185,G185,IF(AND(G185&lt;&gt;"Exclude",H185&lt;&gt;"Exclude"),"Maybe",IF(J185&lt;&gt;"",J185,"Pending"))))))</f>
        <v/>
      </c>
      <c r="L185" s="28"/>
      <c r="M185" s="28"/>
      <c r="N185" s="28"/>
      <c r="O185" s="28"/>
      <c r="P185" s="28"/>
    </row>
    <row r="186" customFormat="false" ht="15" hidden="false" customHeight="false" outlineLevel="0" collapsed="false">
      <c r="A186" s="28"/>
      <c r="B186" s="28"/>
      <c r="C186" s="28"/>
      <c r="D186" s="28"/>
      <c r="E186" s="28"/>
      <c r="F186" s="28"/>
      <c r="G186" s="28"/>
      <c r="H186" s="28"/>
      <c r="I186" s="29" t="str">
        <f aca="false">IF(OR(G186="",H186=""),"",IF(G186=H186,"Yes","No"))</f>
        <v/>
      </c>
      <c r="J186" s="28"/>
      <c r="K186" s="29" t="str">
        <f aca="false">IF(E186="Snowballing","n/a",IF(AND(G186="",H186=""),"",IF(OR(G186="",H186=""),"Waiting",IF(G186=H186,G186,IF(AND(G186&lt;&gt;"Exclude",H186&lt;&gt;"Exclude"),"Maybe",IF(J186&lt;&gt;"",J186,"Pending"))))))</f>
        <v/>
      </c>
      <c r="L186" s="28"/>
      <c r="M186" s="28"/>
      <c r="N186" s="28"/>
      <c r="O186" s="28"/>
      <c r="P186" s="28"/>
    </row>
    <row r="187" customFormat="false" ht="15" hidden="false" customHeight="false" outlineLevel="0" collapsed="false">
      <c r="A187" s="28"/>
      <c r="B187" s="28"/>
      <c r="C187" s="28"/>
      <c r="D187" s="28"/>
      <c r="E187" s="28"/>
      <c r="F187" s="28"/>
      <c r="G187" s="28"/>
      <c r="H187" s="28"/>
      <c r="I187" s="29" t="str">
        <f aca="false">IF(OR(G187="",H187=""),"",IF(G187=H187,"Yes","No"))</f>
        <v/>
      </c>
      <c r="J187" s="28"/>
      <c r="K187" s="29" t="str">
        <f aca="false">IF(E187="Snowballing","n/a",IF(AND(G187="",H187=""),"",IF(OR(G187="",H187=""),"Waiting",IF(G187=H187,G187,IF(AND(G187&lt;&gt;"Exclude",H187&lt;&gt;"Exclude"),"Maybe",IF(J187&lt;&gt;"",J187,"Pending"))))))</f>
        <v/>
      </c>
      <c r="L187" s="28"/>
      <c r="M187" s="28"/>
      <c r="N187" s="28"/>
      <c r="O187" s="28"/>
      <c r="P187" s="28"/>
    </row>
    <row r="188" customFormat="false" ht="15" hidden="false" customHeight="false" outlineLevel="0" collapsed="false">
      <c r="A188" s="28"/>
      <c r="B188" s="28"/>
      <c r="C188" s="28"/>
      <c r="D188" s="28"/>
      <c r="E188" s="28"/>
      <c r="F188" s="28"/>
      <c r="G188" s="28"/>
      <c r="H188" s="28"/>
      <c r="I188" s="29" t="str">
        <f aca="false">IF(OR(G188="",H188=""),"",IF(G188=H188,"Yes","No"))</f>
        <v/>
      </c>
      <c r="J188" s="28"/>
      <c r="K188" s="29" t="str">
        <f aca="false">IF(E188="Snowballing","n/a",IF(AND(G188="",H188=""),"",IF(OR(G188="",H188=""),"Waiting",IF(G188=H188,G188,IF(AND(G188&lt;&gt;"Exclude",H188&lt;&gt;"Exclude"),"Maybe",IF(J188&lt;&gt;"",J188,"Pending"))))))</f>
        <v/>
      </c>
      <c r="L188" s="28"/>
      <c r="M188" s="28"/>
      <c r="N188" s="28"/>
      <c r="O188" s="28"/>
      <c r="P188" s="28"/>
    </row>
    <row r="189" customFormat="false" ht="15" hidden="false" customHeight="false" outlineLevel="0" collapsed="false">
      <c r="A189" s="28"/>
      <c r="B189" s="28"/>
      <c r="C189" s="28"/>
      <c r="D189" s="28"/>
      <c r="E189" s="28"/>
      <c r="F189" s="28"/>
      <c r="G189" s="28"/>
      <c r="H189" s="28"/>
      <c r="I189" s="29" t="str">
        <f aca="false">IF(OR(G189="",H189=""),"",IF(G189=H189,"Yes","No"))</f>
        <v/>
      </c>
      <c r="J189" s="28"/>
      <c r="K189" s="29" t="str">
        <f aca="false">IF(E189="Snowballing","n/a",IF(AND(G189="",H189=""),"",IF(OR(G189="",H189=""),"Waiting",IF(G189=H189,G189,IF(AND(G189&lt;&gt;"Exclude",H189&lt;&gt;"Exclude"),"Maybe",IF(J189&lt;&gt;"",J189,"Pending"))))))</f>
        <v/>
      </c>
      <c r="L189" s="28"/>
      <c r="M189" s="28"/>
      <c r="N189" s="28"/>
      <c r="O189" s="28"/>
      <c r="P189" s="28"/>
    </row>
    <row r="190" customFormat="false" ht="15" hidden="false" customHeight="false" outlineLevel="0" collapsed="false">
      <c r="A190" s="28"/>
      <c r="B190" s="28"/>
      <c r="C190" s="28"/>
      <c r="D190" s="28"/>
      <c r="E190" s="28"/>
      <c r="F190" s="28"/>
      <c r="G190" s="28"/>
      <c r="H190" s="28"/>
      <c r="I190" s="29" t="str">
        <f aca="false">IF(OR(G190="",H190=""),"",IF(G190=H190,"Yes","No"))</f>
        <v/>
      </c>
      <c r="J190" s="28"/>
      <c r="K190" s="29" t="str">
        <f aca="false">IF(E190="Snowballing","n/a",IF(AND(G190="",H190=""),"",IF(OR(G190="",H190=""),"Waiting",IF(G190=H190,G190,IF(AND(G190&lt;&gt;"Exclude",H190&lt;&gt;"Exclude"),"Maybe",IF(J190&lt;&gt;"",J190,"Pending"))))))</f>
        <v/>
      </c>
      <c r="L190" s="28"/>
      <c r="M190" s="28"/>
      <c r="N190" s="28"/>
      <c r="O190" s="28"/>
      <c r="P190" s="28"/>
    </row>
    <row r="191" customFormat="false" ht="15" hidden="false" customHeight="false" outlineLevel="0" collapsed="false">
      <c r="A191" s="28"/>
      <c r="B191" s="28"/>
      <c r="C191" s="28"/>
      <c r="D191" s="28"/>
      <c r="E191" s="28"/>
      <c r="F191" s="28"/>
      <c r="G191" s="28"/>
      <c r="H191" s="28"/>
      <c r="I191" s="29" t="str">
        <f aca="false">IF(OR(G191="",H191=""),"",IF(G191=H191,"Yes","No"))</f>
        <v/>
      </c>
      <c r="J191" s="28"/>
      <c r="K191" s="29" t="str">
        <f aca="false">IF(E191="Snowballing","n/a",IF(AND(G191="",H191=""),"",IF(OR(G191="",H191=""),"Waiting",IF(G191=H191,G191,IF(AND(G191&lt;&gt;"Exclude",H191&lt;&gt;"Exclude"),"Maybe",IF(J191&lt;&gt;"",J191,"Pending"))))))</f>
        <v/>
      </c>
      <c r="L191" s="28"/>
      <c r="M191" s="28"/>
      <c r="N191" s="28"/>
      <c r="O191" s="28"/>
      <c r="P191" s="28"/>
    </row>
    <row r="192" customFormat="false" ht="15" hidden="false" customHeight="false" outlineLevel="0" collapsed="false">
      <c r="A192" s="28"/>
      <c r="B192" s="28"/>
      <c r="C192" s="28"/>
      <c r="D192" s="28"/>
      <c r="E192" s="28"/>
      <c r="F192" s="28"/>
      <c r="G192" s="28"/>
      <c r="H192" s="28"/>
      <c r="I192" s="29" t="str">
        <f aca="false">IF(OR(G192="",H192=""),"",IF(G192=H192,"Yes","No"))</f>
        <v/>
      </c>
      <c r="J192" s="28"/>
      <c r="K192" s="29" t="str">
        <f aca="false">IF(E192="Snowballing","n/a",IF(AND(G192="",H192=""),"",IF(OR(G192="",H192=""),"Waiting",IF(G192=H192,G192,IF(AND(G192&lt;&gt;"Exclude",H192&lt;&gt;"Exclude"),"Maybe",IF(J192&lt;&gt;"",J192,"Pending"))))))</f>
        <v/>
      </c>
      <c r="L192" s="28"/>
      <c r="M192" s="28"/>
      <c r="N192" s="28"/>
      <c r="O192" s="28"/>
      <c r="P192" s="28"/>
    </row>
    <row r="193" customFormat="false" ht="15" hidden="false" customHeight="false" outlineLevel="0" collapsed="false">
      <c r="A193" s="28"/>
      <c r="B193" s="28"/>
      <c r="C193" s="28"/>
      <c r="D193" s="28"/>
      <c r="E193" s="28"/>
      <c r="F193" s="28"/>
      <c r="G193" s="28"/>
      <c r="H193" s="28"/>
      <c r="I193" s="29" t="str">
        <f aca="false">IF(OR(G193="",H193=""),"",IF(G193=H193,"Yes","No"))</f>
        <v/>
      </c>
      <c r="J193" s="28"/>
      <c r="K193" s="29" t="str">
        <f aca="false">IF(E193="Snowballing","n/a",IF(AND(G193="",H193=""),"",IF(OR(G193="",H193=""),"Waiting",IF(G193=H193,G193,IF(AND(G193&lt;&gt;"Exclude",H193&lt;&gt;"Exclude"),"Maybe",IF(J193&lt;&gt;"",J193,"Pending"))))))</f>
        <v/>
      </c>
      <c r="L193" s="28"/>
      <c r="M193" s="28"/>
      <c r="N193" s="28"/>
      <c r="O193" s="28"/>
      <c r="P193" s="28"/>
    </row>
    <row r="194" customFormat="false" ht="15" hidden="false" customHeight="false" outlineLevel="0" collapsed="false">
      <c r="A194" s="28"/>
      <c r="B194" s="28"/>
      <c r="C194" s="28"/>
      <c r="D194" s="28"/>
      <c r="E194" s="28"/>
      <c r="F194" s="28"/>
      <c r="G194" s="28"/>
      <c r="H194" s="28"/>
      <c r="I194" s="29" t="str">
        <f aca="false">IF(OR(G194="",H194=""),"",IF(G194=H194,"Yes","No"))</f>
        <v/>
      </c>
      <c r="J194" s="28"/>
      <c r="K194" s="29" t="str">
        <f aca="false">IF(E194="Snowballing","n/a",IF(AND(G194="",H194=""),"",IF(OR(G194="",H194=""),"Waiting",IF(G194=H194,G194,IF(AND(G194&lt;&gt;"Exclude",H194&lt;&gt;"Exclude"),"Maybe",IF(J194&lt;&gt;"",J194,"Pending"))))))</f>
        <v/>
      </c>
      <c r="L194" s="28"/>
      <c r="M194" s="28"/>
      <c r="N194" s="28"/>
      <c r="O194" s="28"/>
      <c r="P194" s="28"/>
    </row>
    <row r="195" customFormat="false" ht="15" hidden="false" customHeight="false" outlineLevel="0" collapsed="false">
      <c r="A195" s="28"/>
      <c r="B195" s="28"/>
      <c r="C195" s="28"/>
      <c r="D195" s="28"/>
      <c r="E195" s="28"/>
      <c r="F195" s="28"/>
      <c r="G195" s="28"/>
      <c r="H195" s="28"/>
      <c r="I195" s="29" t="str">
        <f aca="false">IF(OR(G195="",H195=""),"",IF(G195=H195,"Yes","No"))</f>
        <v/>
      </c>
      <c r="J195" s="28"/>
      <c r="K195" s="29" t="str">
        <f aca="false">IF(E195="Snowballing","n/a",IF(AND(G195="",H195=""),"",IF(OR(G195="",H195=""),"Waiting",IF(G195=H195,G195,IF(AND(G195&lt;&gt;"Exclude",H195&lt;&gt;"Exclude"),"Maybe",IF(J195&lt;&gt;"",J195,"Pending"))))))</f>
        <v/>
      </c>
      <c r="L195" s="28"/>
      <c r="M195" s="28"/>
      <c r="N195" s="28"/>
      <c r="O195" s="28"/>
      <c r="P195" s="28"/>
    </row>
    <row r="196" customFormat="false" ht="15" hidden="false" customHeight="false" outlineLevel="0" collapsed="false">
      <c r="A196" s="28"/>
      <c r="B196" s="28"/>
      <c r="C196" s="28"/>
      <c r="D196" s="28"/>
      <c r="E196" s="28"/>
      <c r="F196" s="28"/>
      <c r="G196" s="28"/>
      <c r="H196" s="28"/>
      <c r="I196" s="29" t="str">
        <f aca="false">IF(OR(G196="",H196=""),"",IF(G196=H196,"Yes","No"))</f>
        <v/>
      </c>
      <c r="J196" s="28"/>
      <c r="K196" s="29" t="str">
        <f aca="false">IF(E196="Snowballing","n/a",IF(AND(G196="",H196=""),"",IF(OR(G196="",H196=""),"Waiting",IF(G196=H196,G196,IF(AND(G196&lt;&gt;"Exclude",H196&lt;&gt;"Exclude"),"Maybe",IF(J196&lt;&gt;"",J196,"Pending"))))))</f>
        <v/>
      </c>
      <c r="L196" s="28"/>
      <c r="M196" s="28"/>
      <c r="N196" s="28"/>
      <c r="O196" s="28"/>
      <c r="P196" s="28"/>
    </row>
    <row r="197" customFormat="false" ht="15" hidden="false" customHeight="false" outlineLevel="0" collapsed="false">
      <c r="A197" s="28"/>
      <c r="B197" s="28"/>
      <c r="C197" s="28"/>
      <c r="D197" s="28"/>
      <c r="E197" s="28"/>
      <c r="F197" s="28"/>
      <c r="G197" s="28"/>
      <c r="H197" s="28"/>
      <c r="I197" s="29" t="str">
        <f aca="false">IF(OR(G197="",H197=""),"",IF(G197=H197,"Yes","No"))</f>
        <v/>
      </c>
      <c r="J197" s="28"/>
      <c r="K197" s="29" t="str">
        <f aca="false">IF(E197="Snowballing","n/a",IF(AND(G197="",H197=""),"",IF(OR(G197="",H197=""),"Waiting",IF(G197=H197,G197,IF(AND(G197&lt;&gt;"Exclude",H197&lt;&gt;"Exclude"),"Maybe",IF(J197&lt;&gt;"",J197,"Pending"))))))</f>
        <v/>
      </c>
      <c r="L197" s="28"/>
      <c r="M197" s="28"/>
      <c r="N197" s="28"/>
      <c r="O197" s="28"/>
      <c r="P197" s="28"/>
    </row>
    <row r="198" customFormat="false" ht="15" hidden="false" customHeight="false" outlineLevel="0" collapsed="false">
      <c r="A198" s="28"/>
      <c r="B198" s="28"/>
      <c r="C198" s="28"/>
      <c r="D198" s="28"/>
      <c r="E198" s="28"/>
      <c r="F198" s="28"/>
      <c r="G198" s="28"/>
      <c r="H198" s="28"/>
      <c r="I198" s="29" t="str">
        <f aca="false">IF(OR(G198="",H198=""),"",IF(G198=H198,"Yes","No"))</f>
        <v/>
      </c>
      <c r="J198" s="28"/>
      <c r="K198" s="29" t="str">
        <f aca="false">IF(E198="Snowballing","n/a",IF(AND(G198="",H198=""),"",IF(OR(G198="",H198=""),"Waiting",IF(G198=H198,G198,IF(AND(G198&lt;&gt;"Exclude",H198&lt;&gt;"Exclude"),"Maybe",IF(J198&lt;&gt;"",J198,"Pending"))))))</f>
        <v/>
      </c>
      <c r="L198" s="28"/>
      <c r="M198" s="28"/>
      <c r="N198" s="28"/>
      <c r="O198" s="28"/>
      <c r="P198" s="28"/>
    </row>
    <row r="199" customFormat="false" ht="15" hidden="false" customHeight="false" outlineLevel="0" collapsed="false">
      <c r="A199" s="28"/>
      <c r="B199" s="28"/>
      <c r="C199" s="28"/>
      <c r="D199" s="28"/>
      <c r="E199" s="28"/>
      <c r="F199" s="28"/>
      <c r="G199" s="28"/>
      <c r="H199" s="28"/>
      <c r="I199" s="29" t="str">
        <f aca="false">IF(OR(G199="",H199=""),"",IF(G199=H199,"Yes","No"))</f>
        <v/>
      </c>
      <c r="J199" s="28"/>
      <c r="K199" s="29" t="str">
        <f aca="false">IF(E199="Snowballing","n/a",IF(AND(G199="",H199=""),"",IF(OR(G199="",H199=""),"Waiting",IF(G199=H199,G199,IF(AND(G199&lt;&gt;"Exclude",H199&lt;&gt;"Exclude"),"Maybe",IF(J199&lt;&gt;"",J199,"Pending"))))))</f>
        <v/>
      </c>
      <c r="L199" s="28"/>
      <c r="M199" s="28"/>
      <c r="N199" s="28"/>
      <c r="O199" s="28"/>
      <c r="P199" s="28"/>
    </row>
    <row r="200" customFormat="false" ht="15" hidden="false" customHeight="false" outlineLevel="0" collapsed="false">
      <c r="A200" s="28"/>
      <c r="B200" s="28"/>
      <c r="C200" s="28"/>
      <c r="D200" s="28"/>
      <c r="E200" s="28"/>
      <c r="F200" s="28"/>
      <c r="G200" s="28"/>
      <c r="H200" s="28"/>
      <c r="I200" s="29" t="str">
        <f aca="false">IF(OR(G200="",H200=""),"",IF(G200=H200,"Yes","No"))</f>
        <v/>
      </c>
      <c r="J200" s="28"/>
      <c r="K200" s="29" t="str">
        <f aca="false">IF(E200="Snowballing","n/a",IF(AND(G200="",H200=""),"",IF(OR(G200="",H200=""),"Waiting",IF(G200=H200,G200,IF(AND(G200&lt;&gt;"Exclude",H200&lt;&gt;"Exclude"),"Maybe",IF(J200&lt;&gt;"",J200,"Pending"))))))</f>
        <v/>
      </c>
      <c r="L200" s="28"/>
      <c r="M200" s="28"/>
      <c r="N200" s="28"/>
      <c r="O200" s="28"/>
      <c r="P200" s="28"/>
    </row>
    <row r="201" customFormat="false" ht="15" hidden="false" customHeight="false" outlineLevel="0" collapsed="false">
      <c r="A201" s="28"/>
      <c r="B201" s="28"/>
      <c r="C201" s="28"/>
      <c r="D201" s="28"/>
      <c r="E201" s="28"/>
      <c r="F201" s="28"/>
      <c r="G201" s="28"/>
      <c r="H201" s="28"/>
      <c r="I201" s="29" t="str">
        <f aca="false">IF(OR(G201="",H201=""),"",IF(G201=H201,"Yes","No"))</f>
        <v/>
      </c>
      <c r="J201" s="28"/>
      <c r="K201" s="29" t="str">
        <f aca="false">IF(E201="Snowballing","n/a",IF(AND(G201="",H201=""),"",IF(OR(G201="",H201=""),"Waiting",IF(G201=H201,G201,IF(AND(G201&lt;&gt;"Exclude",H201&lt;&gt;"Exclude"),"Maybe",IF(J201&lt;&gt;"",J201,"Pending"))))))</f>
        <v/>
      </c>
      <c r="L201" s="28"/>
      <c r="M201" s="28"/>
      <c r="N201" s="28"/>
      <c r="O201" s="28"/>
      <c r="P201" s="28"/>
    </row>
    <row r="202" customFormat="false" ht="15" hidden="false" customHeight="false" outlineLevel="0" collapsed="false">
      <c r="A202" s="28"/>
      <c r="B202" s="28"/>
      <c r="C202" s="28"/>
      <c r="D202" s="28"/>
      <c r="E202" s="28"/>
      <c r="F202" s="28"/>
      <c r="G202" s="28"/>
      <c r="H202" s="28"/>
      <c r="I202" s="29" t="str">
        <f aca="false">IF(OR(G202="",H202=""),"",IF(G202=H202,"Yes","No"))</f>
        <v/>
      </c>
      <c r="J202" s="28"/>
      <c r="K202" s="29" t="str">
        <f aca="false">IF(E202="Snowballing","n/a",IF(AND(G202="",H202=""),"",IF(OR(G202="",H202=""),"Waiting",IF(G202=H202,G202,IF(AND(G202&lt;&gt;"Exclude",H202&lt;&gt;"Exclude"),"Maybe",IF(J202&lt;&gt;"",J202,"Pending"))))))</f>
        <v/>
      </c>
      <c r="L202" s="28"/>
      <c r="M202" s="28"/>
      <c r="N202" s="28"/>
      <c r="O202" s="28"/>
      <c r="P202" s="28"/>
    </row>
    <row r="203" customFormat="false" ht="15" hidden="false" customHeight="false" outlineLevel="0" collapsed="false">
      <c r="A203" s="28"/>
      <c r="B203" s="28"/>
      <c r="C203" s="28"/>
      <c r="D203" s="28"/>
      <c r="E203" s="28"/>
      <c r="F203" s="28"/>
      <c r="G203" s="28"/>
      <c r="H203" s="28"/>
      <c r="I203" s="29" t="str">
        <f aca="false">IF(OR(G203="",H203=""),"",IF(G203=H203,"Yes","No"))</f>
        <v/>
      </c>
      <c r="J203" s="28"/>
      <c r="K203" s="29" t="str">
        <f aca="false">IF(E203="Snowballing","n/a",IF(AND(G203="",H203=""),"",IF(OR(G203="",H203=""),"Waiting",IF(G203=H203,G203,IF(AND(G203&lt;&gt;"Exclude",H203&lt;&gt;"Exclude"),"Maybe",IF(J203&lt;&gt;"",J203,"Pending"))))))</f>
        <v/>
      </c>
      <c r="L203" s="28"/>
      <c r="M203" s="28"/>
      <c r="N203" s="28"/>
      <c r="O203" s="28"/>
      <c r="P203" s="28"/>
    </row>
    <row r="204" customFormat="false" ht="15" hidden="false" customHeight="false" outlineLevel="0" collapsed="false">
      <c r="A204" s="28"/>
      <c r="B204" s="28"/>
      <c r="C204" s="28"/>
      <c r="D204" s="28"/>
      <c r="E204" s="28"/>
      <c r="F204" s="28"/>
      <c r="G204" s="28"/>
      <c r="H204" s="28"/>
      <c r="I204" s="29" t="str">
        <f aca="false">IF(OR(G204="",H204=""),"",IF(G204=H204,"Yes","No"))</f>
        <v/>
      </c>
      <c r="J204" s="28"/>
      <c r="K204" s="29" t="str">
        <f aca="false">IF(E204="Snowballing","n/a",IF(AND(G204="",H204=""),"",IF(OR(G204="",H204=""),"Waiting",IF(G204=H204,G204,IF(AND(G204&lt;&gt;"Exclude",H204&lt;&gt;"Exclude"),"Maybe",IF(J204&lt;&gt;"",J204,"Pending"))))))</f>
        <v/>
      </c>
      <c r="L204" s="28"/>
      <c r="M204" s="28"/>
      <c r="N204" s="28"/>
      <c r="O204" s="28"/>
      <c r="P204" s="28"/>
    </row>
    <row r="205" customFormat="false" ht="15" hidden="false" customHeight="false" outlineLevel="0" collapsed="false">
      <c r="A205" s="28"/>
      <c r="B205" s="28"/>
      <c r="C205" s="28"/>
      <c r="D205" s="28"/>
      <c r="E205" s="28"/>
      <c r="F205" s="28"/>
      <c r="G205" s="28"/>
      <c r="H205" s="28"/>
      <c r="I205" s="29" t="str">
        <f aca="false">IF(OR(G205="",H205=""),"",IF(G205=H205,"Yes","No"))</f>
        <v/>
      </c>
      <c r="J205" s="28"/>
      <c r="K205" s="29" t="str">
        <f aca="false">IF(E205="Snowballing","n/a",IF(AND(G205="",H205=""),"",IF(OR(G205="",H205=""),"Waiting",IF(G205=H205,G205,IF(AND(G205&lt;&gt;"Exclude",H205&lt;&gt;"Exclude"),"Maybe",IF(J205&lt;&gt;"",J205,"Pending"))))))</f>
        <v/>
      </c>
      <c r="L205" s="28"/>
      <c r="M205" s="28"/>
      <c r="N205" s="28"/>
      <c r="O205" s="28"/>
      <c r="P205" s="28"/>
    </row>
    <row r="206" customFormat="false" ht="15" hidden="false" customHeight="false" outlineLevel="0" collapsed="false">
      <c r="A206" s="28"/>
      <c r="B206" s="28"/>
      <c r="C206" s="28"/>
      <c r="D206" s="28"/>
      <c r="E206" s="28"/>
      <c r="F206" s="28"/>
      <c r="G206" s="28"/>
      <c r="H206" s="28"/>
      <c r="I206" s="29" t="str">
        <f aca="false">IF(OR(G206="",H206=""),"",IF(G206=H206,"Yes","No"))</f>
        <v/>
      </c>
      <c r="J206" s="28"/>
      <c r="K206" s="29" t="str">
        <f aca="false">IF(E206="Snowballing","n/a",IF(AND(G206="",H206=""),"",IF(OR(G206="",H206=""),"Waiting",IF(G206=H206,G206,IF(AND(G206&lt;&gt;"Exclude",H206&lt;&gt;"Exclude"),"Maybe",IF(J206&lt;&gt;"",J206,"Pending"))))))</f>
        <v/>
      </c>
      <c r="L206" s="28"/>
      <c r="M206" s="28"/>
      <c r="N206" s="28"/>
      <c r="O206" s="28"/>
      <c r="P206" s="28"/>
    </row>
    <row r="207" customFormat="false" ht="15" hidden="false" customHeight="false" outlineLevel="0" collapsed="false">
      <c r="A207" s="28"/>
      <c r="B207" s="28"/>
      <c r="C207" s="28"/>
      <c r="D207" s="28"/>
      <c r="E207" s="28"/>
      <c r="F207" s="28"/>
      <c r="G207" s="28"/>
      <c r="H207" s="28"/>
      <c r="I207" s="29" t="str">
        <f aca="false">IF(OR(G207="",H207=""),"",IF(G207=H207,"Yes","No"))</f>
        <v/>
      </c>
      <c r="J207" s="28"/>
      <c r="K207" s="29" t="str">
        <f aca="false">IF(E207="Snowballing","n/a",IF(AND(G207="",H207=""),"",IF(OR(G207="",H207=""),"Waiting",IF(G207=H207,G207,IF(AND(G207&lt;&gt;"Exclude",H207&lt;&gt;"Exclude"),"Maybe",IF(J207&lt;&gt;"",J207,"Pending"))))))</f>
        <v/>
      </c>
      <c r="L207" s="28"/>
      <c r="M207" s="28"/>
      <c r="N207" s="28"/>
      <c r="O207" s="28"/>
      <c r="P207" s="28"/>
    </row>
    <row r="208" customFormat="false" ht="15" hidden="false" customHeight="false" outlineLevel="0" collapsed="false">
      <c r="A208" s="28"/>
      <c r="B208" s="28"/>
      <c r="C208" s="28"/>
      <c r="D208" s="28"/>
      <c r="E208" s="28"/>
      <c r="F208" s="28"/>
      <c r="G208" s="28"/>
      <c r="H208" s="28"/>
      <c r="I208" s="29" t="str">
        <f aca="false">IF(OR(G208="",H208=""),"",IF(G208=H208,"Yes","No"))</f>
        <v/>
      </c>
      <c r="J208" s="28"/>
      <c r="K208" s="29" t="str">
        <f aca="false">IF(E208="Snowballing","n/a",IF(AND(G208="",H208=""),"",IF(OR(G208="",H208=""),"Waiting",IF(G208=H208,G208,IF(AND(G208&lt;&gt;"Exclude",H208&lt;&gt;"Exclude"),"Maybe",IF(J208&lt;&gt;"",J208,"Pending"))))))</f>
        <v/>
      </c>
      <c r="L208" s="28"/>
      <c r="M208" s="28"/>
      <c r="N208" s="28"/>
      <c r="O208" s="28"/>
      <c r="P208" s="28"/>
    </row>
    <row r="209" customFormat="false" ht="15" hidden="false" customHeight="false" outlineLevel="0" collapsed="false">
      <c r="A209" s="28"/>
      <c r="B209" s="28"/>
      <c r="C209" s="28"/>
      <c r="D209" s="28"/>
      <c r="E209" s="28"/>
      <c r="F209" s="28"/>
      <c r="G209" s="28"/>
      <c r="H209" s="28"/>
      <c r="I209" s="29" t="str">
        <f aca="false">IF(OR(G209="",H209=""),"",IF(G209=H209,"Yes","No"))</f>
        <v/>
      </c>
      <c r="J209" s="28"/>
      <c r="K209" s="29" t="str">
        <f aca="false">IF(E209="Snowballing","n/a",IF(AND(G209="",H209=""),"",IF(OR(G209="",H209=""),"Waiting",IF(G209=H209,G209,IF(AND(G209&lt;&gt;"Exclude",H209&lt;&gt;"Exclude"),"Maybe",IF(J209&lt;&gt;"",J209,"Pending"))))))</f>
        <v/>
      </c>
      <c r="L209" s="28"/>
      <c r="M209" s="28"/>
      <c r="N209" s="28"/>
      <c r="O209" s="28"/>
      <c r="P209" s="28"/>
    </row>
    <row r="210" customFormat="false" ht="15" hidden="false" customHeight="false" outlineLevel="0" collapsed="false">
      <c r="A210" s="28"/>
      <c r="B210" s="28"/>
      <c r="C210" s="28"/>
      <c r="D210" s="28"/>
      <c r="E210" s="28"/>
      <c r="F210" s="28"/>
      <c r="G210" s="28"/>
      <c r="H210" s="28"/>
      <c r="I210" s="29" t="str">
        <f aca="false">IF(OR(G210="",H210=""),"",IF(G210=H210,"Yes","No"))</f>
        <v/>
      </c>
      <c r="J210" s="28"/>
      <c r="K210" s="29" t="str">
        <f aca="false">IF(E210="Snowballing","n/a",IF(AND(G210="",H210=""),"",IF(OR(G210="",H210=""),"Waiting",IF(G210=H210,G210,IF(AND(G210&lt;&gt;"Exclude",H210&lt;&gt;"Exclude"),"Maybe",IF(J210&lt;&gt;"",J210,"Pending"))))))</f>
        <v/>
      </c>
      <c r="L210" s="28"/>
      <c r="M210" s="28"/>
      <c r="N210" s="28"/>
      <c r="O210" s="28"/>
      <c r="P210" s="28"/>
    </row>
    <row r="211" customFormat="false" ht="15" hidden="false" customHeight="false" outlineLevel="0" collapsed="false">
      <c r="A211" s="28"/>
      <c r="B211" s="28"/>
      <c r="C211" s="28"/>
      <c r="D211" s="28"/>
      <c r="E211" s="28"/>
      <c r="F211" s="28"/>
      <c r="G211" s="28"/>
      <c r="H211" s="28"/>
      <c r="I211" s="29" t="str">
        <f aca="false">IF(OR(G211="",H211=""),"",IF(G211=H211,"Yes","No"))</f>
        <v/>
      </c>
      <c r="J211" s="28"/>
      <c r="K211" s="29" t="str">
        <f aca="false">IF(E211="Snowballing","n/a",IF(AND(G211="",H211=""),"",IF(OR(G211="",H211=""),"Waiting",IF(G211=H211,G211,IF(AND(G211&lt;&gt;"Exclude",H211&lt;&gt;"Exclude"),"Maybe",IF(J211&lt;&gt;"",J211,"Pending"))))))</f>
        <v/>
      </c>
      <c r="L211" s="28"/>
      <c r="M211" s="28"/>
      <c r="N211" s="28"/>
      <c r="O211" s="28"/>
      <c r="P211" s="28"/>
    </row>
    <row r="212" customFormat="false" ht="15" hidden="false" customHeight="false" outlineLevel="0" collapsed="false">
      <c r="A212" s="28"/>
      <c r="B212" s="28"/>
      <c r="C212" s="28"/>
      <c r="D212" s="28"/>
      <c r="E212" s="28"/>
      <c r="F212" s="28"/>
      <c r="G212" s="28"/>
      <c r="H212" s="28"/>
      <c r="I212" s="29" t="str">
        <f aca="false">IF(OR(G212="",H212=""),"",IF(G212=H212,"Yes","No"))</f>
        <v/>
      </c>
      <c r="J212" s="28"/>
      <c r="K212" s="29" t="str">
        <f aca="false">IF(E212="Snowballing","n/a",IF(AND(G212="",H212=""),"",IF(OR(G212="",H212=""),"Waiting",IF(G212=H212,G212,IF(AND(G212&lt;&gt;"Exclude",H212&lt;&gt;"Exclude"),"Maybe",IF(J212&lt;&gt;"",J212,"Pending"))))))</f>
        <v/>
      </c>
      <c r="L212" s="28"/>
      <c r="M212" s="28"/>
      <c r="N212" s="28"/>
      <c r="O212" s="28"/>
      <c r="P212" s="28"/>
    </row>
    <row r="213" customFormat="false" ht="15" hidden="false" customHeight="false" outlineLevel="0" collapsed="false">
      <c r="A213" s="28"/>
      <c r="B213" s="28"/>
      <c r="C213" s="28"/>
      <c r="D213" s="28"/>
      <c r="E213" s="28"/>
      <c r="F213" s="28"/>
      <c r="G213" s="28"/>
      <c r="H213" s="28"/>
      <c r="I213" s="29" t="str">
        <f aca="false">IF(OR(G213="",H213=""),"",IF(G213=H213,"Yes","No"))</f>
        <v/>
      </c>
      <c r="J213" s="28"/>
      <c r="K213" s="29" t="str">
        <f aca="false">IF(E213="Snowballing","n/a",IF(AND(G213="",H213=""),"",IF(OR(G213="",H213=""),"Waiting",IF(G213=H213,G213,IF(AND(G213&lt;&gt;"Exclude",H213&lt;&gt;"Exclude"),"Maybe",IF(J213&lt;&gt;"",J213,"Pending"))))))</f>
        <v/>
      </c>
      <c r="L213" s="28"/>
      <c r="M213" s="28"/>
      <c r="N213" s="28"/>
      <c r="O213" s="28"/>
      <c r="P213" s="28"/>
    </row>
    <row r="214" customFormat="false" ht="15" hidden="false" customHeight="false" outlineLevel="0" collapsed="false">
      <c r="A214" s="28"/>
      <c r="B214" s="28"/>
      <c r="C214" s="28"/>
      <c r="D214" s="28"/>
      <c r="E214" s="28"/>
      <c r="F214" s="28"/>
      <c r="G214" s="28"/>
      <c r="H214" s="28"/>
      <c r="I214" s="29" t="str">
        <f aca="false">IF(OR(G214="",H214=""),"",IF(G214=H214,"Yes","No"))</f>
        <v/>
      </c>
      <c r="J214" s="28"/>
      <c r="K214" s="29" t="str">
        <f aca="false">IF(E214="Snowballing","n/a",IF(AND(G214="",H214=""),"",IF(OR(G214="",H214=""),"Waiting",IF(G214=H214,G214,IF(AND(G214&lt;&gt;"Exclude",H214&lt;&gt;"Exclude"),"Maybe",IF(J214&lt;&gt;"",J214,"Pending"))))))</f>
        <v/>
      </c>
      <c r="L214" s="28"/>
      <c r="M214" s="28"/>
      <c r="N214" s="28"/>
      <c r="O214" s="28"/>
      <c r="P214" s="28"/>
    </row>
    <row r="215" customFormat="false" ht="15" hidden="false" customHeight="false" outlineLevel="0" collapsed="false">
      <c r="A215" s="28"/>
      <c r="B215" s="28"/>
      <c r="C215" s="28"/>
      <c r="D215" s="28"/>
      <c r="E215" s="28"/>
      <c r="F215" s="28"/>
      <c r="G215" s="28"/>
      <c r="H215" s="28"/>
      <c r="I215" s="29" t="str">
        <f aca="false">IF(OR(G215="",H215=""),"",IF(G215=H215,"Yes","No"))</f>
        <v/>
      </c>
      <c r="J215" s="28"/>
      <c r="K215" s="29" t="str">
        <f aca="false">IF(E215="Snowballing","n/a",IF(AND(G215="",H215=""),"",IF(OR(G215="",H215=""),"Waiting",IF(G215=H215,G215,IF(AND(G215&lt;&gt;"Exclude",H215&lt;&gt;"Exclude"),"Maybe",IF(J215&lt;&gt;"",J215,"Pending"))))))</f>
        <v/>
      </c>
      <c r="L215" s="28"/>
      <c r="M215" s="28"/>
      <c r="N215" s="28"/>
      <c r="O215" s="28"/>
      <c r="P215" s="28"/>
    </row>
    <row r="216" customFormat="false" ht="15" hidden="false" customHeight="false" outlineLevel="0" collapsed="false">
      <c r="A216" s="28"/>
      <c r="B216" s="28"/>
      <c r="C216" s="28"/>
      <c r="D216" s="28"/>
      <c r="E216" s="28"/>
      <c r="F216" s="28"/>
      <c r="G216" s="28"/>
      <c r="H216" s="28"/>
      <c r="I216" s="29" t="str">
        <f aca="false">IF(OR(G216="",H216=""),"",IF(G216=H216,"Yes","No"))</f>
        <v/>
      </c>
      <c r="J216" s="28"/>
      <c r="K216" s="29" t="str">
        <f aca="false">IF(E216="Snowballing","n/a",IF(AND(G216="",H216=""),"",IF(OR(G216="",H216=""),"Waiting",IF(G216=H216,G216,IF(AND(G216&lt;&gt;"Exclude",H216&lt;&gt;"Exclude"),"Maybe",IF(J216&lt;&gt;"",J216,"Pending"))))))</f>
        <v/>
      </c>
      <c r="L216" s="28"/>
      <c r="M216" s="28"/>
      <c r="N216" s="28"/>
      <c r="O216" s="28"/>
      <c r="P216" s="28"/>
    </row>
    <row r="217" customFormat="false" ht="15" hidden="false" customHeight="false" outlineLevel="0" collapsed="false">
      <c r="A217" s="28"/>
      <c r="B217" s="28"/>
      <c r="C217" s="28"/>
      <c r="D217" s="28"/>
      <c r="E217" s="28"/>
      <c r="F217" s="28"/>
      <c r="G217" s="28"/>
      <c r="H217" s="28"/>
      <c r="I217" s="29" t="str">
        <f aca="false">IF(OR(G217="",H217=""),"",IF(G217=H217,"Yes","No"))</f>
        <v/>
      </c>
      <c r="J217" s="28"/>
      <c r="K217" s="29" t="str">
        <f aca="false">IF(E217="Snowballing","n/a",IF(AND(G217="",H217=""),"",IF(OR(G217="",H217=""),"Waiting",IF(G217=H217,G217,IF(AND(G217&lt;&gt;"Exclude",H217&lt;&gt;"Exclude"),"Maybe",IF(J217&lt;&gt;"",J217,"Pending"))))))</f>
        <v/>
      </c>
      <c r="L217" s="28"/>
      <c r="M217" s="28"/>
      <c r="N217" s="28"/>
      <c r="O217" s="28"/>
      <c r="P217" s="28"/>
    </row>
    <row r="218" customFormat="false" ht="15" hidden="false" customHeight="false" outlineLevel="0" collapsed="false">
      <c r="A218" s="28"/>
      <c r="B218" s="28"/>
      <c r="C218" s="28"/>
      <c r="D218" s="28"/>
      <c r="E218" s="28"/>
      <c r="F218" s="28"/>
      <c r="G218" s="28"/>
      <c r="H218" s="28"/>
      <c r="I218" s="29" t="str">
        <f aca="false">IF(OR(G218="",H218=""),"",IF(G218=H218,"Yes","No"))</f>
        <v/>
      </c>
      <c r="J218" s="28"/>
      <c r="K218" s="29" t="str">
        <f aca="false">IF(E218="Snowballing","n/a",IF(AND(G218="",H218=""),"",IF(OR(G218="",H218=""),"Waiting",IF(G218=H218,G218,IF(AND(G218&lt;&gt;"Exclude",H218&lt;&gt;"Exclude"),"Maybe",IF(J218&lt;&gt;"",J218,"Pending"))))))</f>
        <v/>
      </c>
      <c r="L218" s="28"/>
      <c r="M218" s="28"/>
      <c r="N218" s="28"/>
      <c r="O218" s="28"/>
      <c r="P218" s="28"/>
    </row>
    <row r="219" customFormat="false" ht="15" hidden="false" customHeight="false" outlineLevel="0" collapsed="false">
      <c r="A219" s="28"/>
      <c r="B219" s="28"/>
      <c r="C219" s="28"/>
      <c r="D219" s="28"/>
      <c r="E219" s="28"/>
      <c r="F219" s="28"/>
      <c r="G219" s="28"/>
      <c r="H219" s="28"/>
      <c r="I219" s="29" t="str">
        <f aca="false">IF(OR(G219="",H219=""),"",IF(G219=H219,"Yes","No"))</f>
        <v/>
      </c>
      <c r="J219" s="28"/>
      <c r="K219" s="29" t="str">
        <f aca="false">IF(E219="Snowballing","n/a",IF(AND(G219="",H219=""),"",IF(OR(G219="",H219=""),"Waiting",IF(G219=H219,G219,IF(AND(G219&lt;&gt;"Exclude",H219&lt;&gt;"Exclude"),"Maybe",IF(J219&lt;&gt;"",J219,"Pending"))))))</f>
        <v/>
      </c>
      <c r="L219" s="28"/>
      <c r="M219" s="28"/>
      <c r="N219" s="28"/>
      <c r="O219" s="28"/>
      <c r="P219" s="28"/>
    </row>
    <row r="220" customFormat="false" ht="15" hidden="false" customHeight="false" outlineLevel="0" collapsed="false">
      <c r="A220" s="28"/>
      <c r="B220" s="28"/>
      <c r="C220" s="28"/>
      <c r="D220" s="28"/>
      <c r="E220" s="28"/>
      <c r="F220" s="28"/>
      <c r="G220" s="28"/>
      <c r="H220" s="28"/>
      <c r="I220" s="29" t="str">
        <f aca="false">IF(OR(G220="",H220=""),"",IF(G220=H220,"Yes","No"))</f>
        <v/>
      </c>
      <c r="J220" s="28"/>
      <c r="K220" s="29" t="str">
        <f aca="false">IF(E220="Snowballing","n/a",IF(AND(G220="",H220=""),"",IF(OR(G220="",H220=""),"Waiting",IF(G220=H220,G220,IF(AND(G220&lt;&gt;"Exclude",H220&lt;&gt;"Exclude"),"Maybe",IF(J220&lt;&gt;"",J220,"Pending"))))))</f>
        <v/>
      </c>
      <c r="L220" s="28"/>
      <c r="M220" s="28"/>
      <c r="N220" s="28"/>
      <c r="O220" s="28"/>
      <c r="P220" s="28"/>
    </row>
    <row r="221" customFormat="false" ht="15" hidden="false" customHeight="false" outlineLevel="0" collapsed="false">
      <c r="A221" s="28"/>
      <c r="B221" s="28"/>
      <c r="C221" s="28"/>
      <c r="D221" s="28"/>
      <c r="E221" s="28"/>
      <c r="F221" s="28"/>
      <c r="G221" s="28"/>
      <c r="H221" s="28"/>
      <c r="I221" s="29" t="str">
        <f aca="false">IF(OR(G221="",H221=""),"",IF(G221=H221,"Yes","No"))</f>
        <v/>
      </c>
      <c r="J221" s="28"/>
      <c r="K221" s="29" t="str">
        <f aca="false">IF(E221="Snowballing","n/a",IF(AND(G221="",H221=""),"",IF(OR(G221="",H221=""),"Waiting",IF(G221=H221,G221,IF(AND(G221&lt;&gt;"Exclude",H221&lt;&gt;"Exclude"),"Maybe",IF(J221&lt;&gt;"",J221,"Pending"))))))</f>
        <v/>
      </c>
      <c r="L221" s="28"/>
      <c r="M221" s="28"/>
      <c r="N221" s="28"/>
      <c r="O221" s="28"/>
      <c r="P221" s="28"/>
    </row>
    <row r="222" customFormat="false" ht="15" hidden="false" customHeight="false" outlineLevel="0" collapsed="false">
      <c r="A222" s="28"/>
      <c r="B222" s="28"/>
      <c r="C222" s="28"/>
      <c r="D222" s="28"/>
      <c r="E222" s="28"/>
      <c r="F222" s="28"/>
      <c r="G222" s="28"/>
      <c r="H222" s="28"/>
      <c r="I222" s="29" t="str">
        <f aca="false">IF(OR(G222="",H222=""),"",IF(G222=H222,"Yes","No"))</f>
        <v/>
      </c>
      <c r="J222" s="28"/>
      <c r="K222" s="29" t="str">
        <f aca="false">IF(E222="Snowballing","n/a",IF(AND(G222="",H222=""),"",IF(OR(G222="",H222=""),"Waiting",IF(G222=H222,G222,IF(AND(G222&lt;&gt;"Exclude",H222&lt;&gt;"Exclude"),"Maybe",IF(J222&lt;&gt;"",J222,"Pending"))))))</f>
        <v/>
      </c>
      <c r="L222" s="28"/>
      <c r="M222" s="28"/>
      <c r="N222" s="28"/>
      <c r="O222" s="28"/>
      <c r="P222" s="28"/>
    </row>
    <row r="223" customFormat="false" ht="15" hidden="false" customHeight="false" outlineLevel="0" collapsed="false">
      <c r="A223" s="28"/>
      <c r="B223" s="28"/>
      <c r="C223" s="28"/>
      <c r="D223" s="28"/>
      <c r="E223" s="28"/>
      <c r="F223" s="28"/>
      <c r="G223" s="28"/>
      <c r="H223" s="28"/>
      <c r="I223" s="29" t="str">
        <f aca="false">IF(OR(G223="",H223=""),"",IF(G223=H223,"Yes","No"))</f>
        <v/>
      </c>
      <c r="J223" s="28"/>
      <c r="K223" s="29" t="str">
        <f aca="false">IF(E223="Snowballing","n/a",IF(AND(G223="",H223=""),"",IF(OR(G223="",H223=""),"Waiting",IF(G223=H223,G223,IF(AND(G223&lt;&gt;"Exclude",H223&lt;&gt;"Exclude"),"Maybe",IF(J223&lt;&gt;"",J223,"Pending"))))))</f>
        <v/>
      </c>
      <c r="L223" s="28"/>
      <c r="M223" s="28"/>
      <c r="N223" s="28"/>
      <c r="O223" s="28"/>
      <c r="P223" s="28"/>
    </row>
    <row r="224" customFormat="false" ht="15" hidden="false" customHeight="false" outlineLevel="0" collapsed="false">
      <c r="A224" s="28"/>
      <c r="B224" s="28"/>
      <c r="C224" s="28"/>
      <c r="D224" s="28"/>
      <c r="E224" s="28"/>
      <c r="F224" s="28"/>
      <c r="G224" s="28"/>
      <c r="H224" s="28"/>
      <c r="I224" s="29" t="str">
        <f aca="false">IF(OR(G224="",H224=""),"",IF(G224=H224,"Yes","No"))</f>
        <v/>
      </c>
      <c r="J224" s="28"/>
      <c r="K224" s="29" t="str">
        <f aca="false">IF(E224="Snowballing","n/a",IF(AND(G224="",H224=""),"",IF(OR(G224="",H224=""),"Waiting",IF(G224=H224,G224,IF(AND(G224&lt;&gt;"Exclude",H224&lt;&gt;"Exclude"),"Maybe",IF(J224&lt;&gt;"",J224,"Pending"))))))</f>
        <v/>
      </c>
      <c r="L224" s="28"/>
      <c r="M224" s="28"/>
      <c r="N224" s="28"/>
      <c r="O224" s="28"/>
      <c r="P224" s="28"/>
    </row>
    <row r="225" customFormat="false" ht="15" hidden="false" customHeight="false" outlineLevel="0" collapsed="false">
      <c r="A225" s="28"/>
      <c r="B225" s="28"/>
      <c r="C225" s="28"/>
      <c r="D225" s="28"/>
      <c r="E225" s="28"/>
      <c r="F225" s="28"/>
      <c r="G225" s="28"/>
      <c r="H225" s="28"/>
      <c r="I225" s="29" t="str">
        <f aca="false">IF(OR(G225="",H225=""),"",IF(G225=H225,"Yes","No"))</f>
        <v/>
      </c>
      <c r="J225" s="28"/>
      <c r="K225" s="29" t="str">
        <f aca="false">IF(E225="Snowballing","n/a",IF(AND(G225="",H225=""),"",IF(OR(G225="",H225=""),"Waiting",IF(G225=H225,G225,IF(AND(G225&lt;&gt;"Exclude",H225&lt;&gt;"Exclude"),"Maybe",IF(J225&lt;&gt;"",J225,"Pending"))))))</f>
        <v/>
      </c>
      <c r="L225" s="28"/>
      <c r="M225" s="28"/>
      <c r="N225" s="28"/>
      <c r="O225" s="28"/>
      <c r="P225" s="28"/>
    </row>
    <row r="226" customFormat="false" ht="15" hidden="false" customHeight="false" outlineLevel="0" collapsed="false">
      <c r="A226" s="28"/>
      <c r="B226" s="28"/>
      <c r="C226" s="28"/>
      <c r="D226" s="28"/>
      <c r="E226" s="28"/>
      <c r="F226" s="28"/>
      <c r="G226" s="28"/>
      <c r="H226" s="28"/>
      <c r="I226" s="29" t="str">
        <f aca="false">IF(OR(G226="",H226=""),"",IF(G226=H226,"Yes","No"))</f>
        <v/>
      </c>
      <c r="J226" s="28"/>
      <c r="K226" s="29" t="str">
        <f aca="false">IF(E226="Snowballing","n/a",IF(AND(G226="",H226=""),"",IF(OR(G226="",H226=""),"Waiting",IF(G226=H226,G226,IF(AND(G226&lt;&gt;"Exclude",H226&lt;&gt;"Exclude"),"Maybe",IF(J226&lt;&gt;"",J226,"Pending"))))))</f>
        <v/>
      </c>
      <c r="L226" s="28"/>
      <c r="M226" s="28"/>
      <c r="N226" s="28"/>
      <c r="O226" s="28"/>
      <c r="P226" s="28"/>
    </row>
    <row r="227" customFormat="false" ht="15" hidden="false" customHeight="false" outlineLevel="0" collapsed="false">
      <c r="A227" s="28"/>
      <c r="B227" s="28"/>
      <c r="C227" s="28"/>
      <c r="D227" s="28"/>
      <c r="E227" s="28"/>
      <c r="F227" s="28"/>
      <c r="G227" s="28"/>
      <c r="H227" s="28"/>
      <c r="I227" s="29" t="str">
        <f aca="false">IF(OR(G227="",H227=""),"",IF(G227=H227,"Yes","No"))</f>
        <v/>
      </c>
      <c r="J227" s="28"/>
      <c r="K227" s="29" t="str">
        <f aca="false">IF(E227="Snowballing","n/a",IF(AND(G227="",H227=""),"",IF(OR(G227="",H227=""),"Waiting",IF(G227=H227,G227,IF(AND(G227&lt;&gt;"Exclude",H227&lt;&gt;"Exclude"),"Maybe",IF(J227&lt;&gt;"",J227,"Pending"))))))</f>
        <v/>
      </c>
      <c r="L227" s="28"/>
      <c r="M227" s="28"/>
      <c r="N227" s="28"/>
      <c r="O227" s="28"/>
      <c r="P227" s="28"/>
    </row>
    <row r="228" customFormat="false" ht="15" hidden="false" customHeight="false" outlineLevel="0" collapsed="false">
      <c r="A228" s="28"/>
      <c r="B228" s="28"/>
      <c r="C228" s="28"/>
      <c r="D228" s="28"/>
      <c r="E228" s="28"/>
      <c r="F228" s="28"/>
      <c r="G228" s="28"/>
      <c r="H228" s="28"/>
      <c r="I228" s="29" t="str">
        <f aca="false">IF(OR(G228="",H228=""),"",IF(G228=H228,"Yes","No"))</f>
        <v/>
      </c>
      <c r="J228" s="28"/>
      <c r="K228" s="29" t="str">
        <f aca="false">IF(E228="Snowballing","n/a",IF(AND(G228="",H228=""),"",IF(OR(G228="",H228=""),"Waiting",IF(G228=H228,G228,IF(AND(G228&lt;&gt;"Exclude",H228&lt;&gt;"Exclude"),"Maybe",IF(J228&lt;&gt;"",J228,"Pending"))))))</f>
        <v/>
      </c>
      <c r="L228" s="28"/>
      <c r="M228" s="28"/>
      <c r="N228" s="28"/>
      <c r="O228" s="28"/>
      <c r="P228" s="28"/>
    </row>
    <row r="229" customFormat="false" ht="15" hidden="false" customHeight="false" outlineLevel="0" collapsed="false">
      <c r="A229" s="28"/>
      <c r="B229" s="28"/>
      <c r="C229" s="28"/>
      <c r="D229" s="28"/>
      <c r="E229" s="28"/>
      <c r="F229" s="28"/>
      <c r="G229" s="28"/>
      <c r="H229" s="28"/>
      <c r="I229" s="29" t="str">
        <f aca="false">IF(OR(G229="",H229=""),"",IF(G229=H229,"Yes","No"))</f>
        <v/>
      </c>
      <c r="J229" s="28"/>
      <c r="K229" s="29" t="str">
        <f aca="false">IF(E229="Snowballing","n/a",IF(AND(G229="",H229=""),"",IF(OR(G229="",H229=""),"Waiting",IF(G229=H229,G229,IF(AND(G229&lt;&gt;"Exclude",H229&lt;&gt;"Exclude"),"Maybe",IF(J229&lt;&gt;"",J229,"Pending"))))))</f>
        <v/>
      </c>
      <c r="L229" s="28"/>
      <c r="M229" s="28"/>
      <c r="N229" s="28"/>
      <c r="O229" s="28"/>
      <c r="P229" s="28"/>
    </row>
    <row r="230" customFormat="false" ht="15" hidden="false" customHeight="false" outlineLevel="0" collapsed="false">
      <c r="A230" s="28"/>
      <c r="B230" s="28"/>
      <c r="C230" s="28"/>
      <c r="D230" s="28"/>
      <c r="E230" s="28"/>
      <c r="F230" s="28"/>
      <c r="G230" s="28"/>
      <c r="H230" s="28"/>
      <c r="I230" s="29" t="str">
        <f aca="false">IF(OR(G230="",H230=""),"",IF(G230=H230,"Yes","No"))</f>
        <v/>
      </c>
      <c r="J230" s="28"/>
      <c r="K230" s="29" t="str">
        <f aca="false">IF(E230="Snowballing","n/a",IF(AND(G230="",H230=""),"",IF(OR(G230="",H230=""),"Waiting",IF(G230=H230,G230,IF(AND(G230&lt;&gt;"Exclude",H230&lt;&gt;"Exclude"),"Maybe",IF(J230&lt;&gt;"",J230,"Pending"))))))</f>
        <v/>
      </c>
      <c r="L230" s="28"/>
      <c r="M230" s="28"/>
      <c r="N230" s="28"/>
      <c r="O230" s="28"/>
      <c r="P230" s="28"/>
    </row>
    <row r="231" customFormat="false" ht="15" hidden="false" customHeight="false" outlineLevel="0" collapsed="false">
      <c r="A231" s="28"/>
      <c r="B231" s="28"/>
      <c r="C231" s="28"/>
      <c r="D231" s="28"/>
      <c r="E231" s="28"/>
      <c r="F231" s="28"/>
      <c r="G231" s="28"/>
      <c r="H231" s="28"/>
      <c r="I231" s="29" t="str">
        <f aca="false">IF(OR(G231="",H231=""),"",IF(G231=H231,"Yes","No"))</f>
        <v/>
      </c>
      <c r="J231" s="28"/>
      <c r="K231" s="29" t="str">
        <f aca="false">IF(E231="Snowballing","n/a",IF(AND(G231="",H231=""),"",IF(OR(G231="",H231=""),"Waiting",IF(G231=H231,G231,IF(AND(G231&lt;&gt;"Exclude",H231&lt;&gt;"Exclude"),"Maybe",IF(J231&lt;&gt;"",J231,"Pending"))))))</f>
        <v/>
      </c>
      <c r="L231" s="28"/>
      <c r="M231" s="28"/>
      <c r="N231" s="28"/>
      <c r="O231" s="28"/>
      <c r="P231" s="28"/>
    </row>
    <row r="232" customFormat="false" ht="15" hidden="false" customHeight="false" outlineLevel="0" collapsed="false">
      <c r="A232" s="28"/>
      <c r="B232" s="28"/>
      <c r="C232" s="28"/>
      <c r="D232" s="28"/>
      <c r="E232" s="28"/>
      <c r="F232" s="28"/>
      <c r="G232" s="28"/>
      <c r="H232" s="28"/>
      <c r="I232" s="29" t="str">
        <f aca="false">IF(OR(G232="",H232=""),"",IF(G232=H232,"Yes","No"))</f>
        <v/>
      </c>
      <c r="J232" s="28"/>
      <c r="K232" s="29" t="str">
        <f aca="false">IF(E232="Snowballing","n/a",IF(AND(G232="",H232=""),"",IF(OR(G232="",H232=""),"Waiting",IF(G232=H232,G232,IF(AND(G232&lt;&gt;"Exclude",H232&lt;&gt;"Exclude"),"Maybe",IF(J232&lt;&gt;"",J232,"Pending"))))))</f>
        <v/>
      </c>
      <c r="L232" s="28"/>
      <c r="M232" s="28"/>
      <c r="N232" s="28"/>
      <c r="O232" s="28"/>
      <c r="P232" s="28"/>
    </row>
    <row r="233" customFormat="false" ht="15" hidden="false" customHeight="false" outlineLevel="0" collapsed="false">
      <c r="A233" s="28"/>
      <c r="B233" s="28"/>
      <c r="C233" s="28"/>
      <c r="D233" s="28"/>
      <c r="E233" s="28"/>
      <c r="F233" s="28"/>
      <c r="G233" s="28"/>
      <c r="H233" s="28"/>
      <c r="I233" s="29" t="str">
        <f aca="false">IF(OR(G233="",H233=""),"",IF(G233=H233,"Yes","No"))</f>
        <v/>
      </c>
      <c r="J233" s="28"/>
      <c r="K233" s="29" t="str">
        <f aca="false">IF(E233="Snowballing","n/a",IF(AND(G233="",H233=""),"",IF(OR(G233="",H233=""),"Waiting",IF(G233=H233,G233,IF(AND(G233&lt;&gt;"Exclude",H233&lt;&gt;"Exclude"),"Maybe",IF(J233&lt;&gt;"",J233,"Pending"))))))</f>
        <v/>
      </c>
      <c r="L233" s="28"/>
      <c r="M233" s="28"/>
      <c r="N233" s="28"/>
      <c r="O233" s="28"/>
      <c r="P233" s="28"/>
    </row>
    <row r="234" customFormat="false" ht="15" hidden="false" customHeight="false" outlineLevel="0" collapsed="false">
      <c r="A234" s="28"/>
      <c r="B234" s="28"/>
      <c r="C234" s="28"/>
      <c r="D234" s="28"/>
      <c r="E234" s="28"/>
      <c r="F234" s="28"/>
      <c r="G234" s="28"/>
      <c r="H234" s="28"/>
      <c r="I234" s="29" t="str">
        <f aca="false">IF(OR(G234="",H234=""),"",IF(G234=H234,"Yes","No"))</f>
        <v/>
      </c>
      <c r="J234" s="28"/>
      <c r="K234" s="29" t="str">
        <f aca="false">IF(E234="Snowballing","n/a",IF(AND(G234="",H234=""),"",IF(OR(G234="",H234=""),"Waiting",IF(G234=H234,G234,IF(AND(G234&lt;&gt;"Exclude",H234&lt;&gt;"Exclude"),"Maybe",IF(J234&lt;&gt;"",J234,"Pending"))))))</f>
        <v/>
      </c>
      <c r="L234" s="28"/>
      <c r="M234" s="28"/>
      <c r="N234" s="28"/>
      <c r="O234" s="28"/>
      <c r="P234" s="28"/>
    </row>
    <row r="235" customFormat="false" ht="15" hidden="false" customHeight="false" outlineLevel="0" collapsed="false">
      <c r="A235" s="28"/>
      <c r="B235" s="28"/>
      <c r="C235" s="28"/>
      <c r="D235" s="28"/>
      <c r="E235" s="28"/>
      <c r="F235" s="28"/>
      <c r="G235" s="28"/>
      <c r="H235" s="28"/>
      <c r="I235" s="29" t="str">
        <f aca="false">IF(OR(G235="",H235=""),"",IF(G235=H235,"Yes","No"))</f>
        <v/>
      </c>
      <c r="J235" s="28"/>
      <c r="K235" s="29" t="str">
        <f aca="false">IF(E235="Snowballing","n/a",IF(AND(G235="",H235=""),"",IF(OR(G235="",H235=""),"Waiting",IF(G235=H235,G235,IF(AND(G235&lt;&gt;"Exclude",H235&lt;&gt;"Exclude"),"Maybe",IF(J235&lt;&gt;"",J235,"Pending"))))))</f>
        <v/>
      </c>
      <c r="L235" s="28"/>
      <c r="M235" s="28"/>
      <c r="N235" s="28"/>
      <c r="O235" s="28"/>
      <c r="P235" s="28"/>
    </row>
    <row r="236" customFormat="false" ht="15" hidden="false" customHeight="false" outlineLevel="0" collapsed="false">
      <c r="A236" s="28"/>
      <c r="B236" s="28"/>
      <c r="C236" s="28"/>
      <c r="D236" s="28"/>
      <c r="E236" s="28"/>
      <c r="F236" s="28"/>
      <c r="G236" s="28"/>
      <c r="H236" s="28"/>
      <c r="I236" s="29" t="str">
        <f aca="false">IF(OR(G236="",H236=""),"",IF(G236=H236,"Yes","No"))</f>
        <v/>
      </c>
      <c r="J236" s="28"/>
      <c r="K236" s="29" t="str">
        <f aca="false">IF(E236="Snowballing","n/a",IF(AND(G236="",H236=""),"",IF(OR(G236="",H236=""),"Waiting",IF(G236=H236,G236,IF(AND(G236&lt;&gt;"Exclude",H236&lt;&gt;"Exclude"),"Maybe",IF(J236&lt;&gt;"",J236,"Pending"))))))</f>
        <v/>
      </c>
      <c r="L236" s="28"/>
      <c r="M236" s="28"/>
      <c r="N236" s="28"/>
      <c r="O236" s="28"/>
      <c r="P236" s="28"/>
    </row>
    <row r="237" customFormat="false" ht="15" hidden="false" customHeight="false" outlineLevel="0" collapsed="false">
      <c r="A237" s="28"/>
      <c r="B237" s="28"/>
      <c r="C237" s="28"/>
      <c r="D237" s="28"/>
      <c r="E237" s="28"/>
      <c r="F237" s="28"/>
      <c r="G237" s="28"/>
      <c r="H237" s="28"/>
      <c r="I237" s="29" t="str">
        <f aca="false">IF(OR(G237="",H237=""),"",IF(G237=H237,"Yes","No"))</f>
        <v/>
      </c>
      <c r="J237" s="28"/>
      <c r="K237" s="29" t="str">
        <f aca="false">IF(E237="Snowballing","n/a",IF(AND(G237="",H237=""),"",IF(OR(G237="",H237=""),"Waiting",IF(G237=H237,G237,IF(AND(G237&lt;&gt;"Exclude",H237&lt;&gt;"Exclude"),"Maybe",IF(J237&lt;&gt;"",J237,"Pending"))))))</f>
        <v/>
      </c>
      <c r="L237" s="28"/>
      <c r="M237" s="28"/>
      <c r="N237" s="28"/>
      <c r="O237" s="28"/>
      <c r="P237" s="28"/>
    </row>
    <row r="238" customFormat="false" ht="15" hidden="false" customHeight="false" outlineLevel="0" collapsed="false">
      <c r="A238" s="28"/>
      <c r="B238" s="28"/>
      <c r="C238" s="28"/>
      <c r="D238" s="28"/>
      <c r="E238" s="28"/>
      <c r="F238" s="28"/>
      <c r="G238" s="28"/>
      <c r="H238" s="28"/>
      <c r="I238" s="29" t="str">
        <f aca="false">IF(OR(G238="",H238=""),"",IF(G238=H238,"Yes","No"))</f>
        <v/>
      </c>
      <c r="J238" s="28"/>
      <c r="K238" s="29" t="str">
        <f aca="false">IF(E238="Snowballing","n/a",IF(AND(G238="",H238=""),"",IF(OR(G238="",H238=""),"Waiting",IF(G238=H238,G238,IF(AND(G238&lt;&gt;"Exclude",H238&lt;&gt;"Exclude"),"Maybe",IF(J238&lt;&gt;"",J238,"Pending"))))))</f>
        <v/>
      </c>
      <c r="L238" s="28"/>
      <c r="M238" s="28"/>
      <c r="N238" s="28"/>
      <c r="O238" s="28"/>
      <c r="P238" s="28"/>
    </row>
    <row r="239" customFormat="false" ht="15" hidden="false" customHeight="false" outlineLevel="0" collapsed="false">
      <c r="A239" s="28"/>
      <c r="B239" s="28"/>
      <c r="C239" s="28"/>
      <c r="D239" s="28"/>
      <c r="E239" s="28"/>
      <c r="F239" s="28"/>
      <c r="G239" s="28"/>
      <c r="H239" s="28"/>
      <c r="I239" s="29" t="str">
        <f aca="false">IF(OR(G239="",H239=""),"",IF(G239=H239,"Yes","No"))</f>
        <v/>
      </c>
      <c r="J239" s="28"/>
      <c r="K239" s="29" t="str">
        <f aca="false">IF(E239="Snowballing","n/a",IF(AND(G239="",H239=""),"",IF(OR(G239="",H239=""),"Waiting",IF(G239=H239,G239,IF(AND(G239&lt;&gt;"Exclude",H239&lt;&gt;"Exclude"),"Maybe",IF(J239&lt;&gt;"",J239,"Pending"))))))</f>
        <v/>
      </c>
      <c r="L239" s="28"/>
      <c r="M239" s="28"/>
      <c r="N239" s="28"/>
      <c r="O239" s="28"/>
      <c r="P239" s="28"/>
    </row>
    <row r="240" customFormat="false" ht="15" hidden="false" customHeight="false" outlineLevel="0" collapsed="false">
      <c r="A240" s="28"/>
      <c r="B240" s="28"/>
      <c r="C240" s="28"/>
      <c r="D240" s="28"/>
      <c r="E240" s="28"/>
      <c r="F240" s="28"/>
      <c r="G240" s="28"/>
      <c r="H240" s="28"/>
      <c r="I240" s="29" t="str">
        <f aca="false">IF(OR(G240="",H240=""),"",IF(G240=H240,"Yes","No"))</f>
        <v/>
      </c>
      <c r="J240" s="28"/>
      <c r="K240" s="29" t="str">
        <f aca="false">IF(E240="Snowballing","n/a",IF(AND(G240="",H240=""),"",IF(OR(G240="",H240=""),"Waiting",IF(G240=H240,G240,IF(AND(G240&lt;&gt;"Exclude",H240&lt;&gt;"Exclude"),"Maybe",IF(J240&lt;&gt;"",J240,"Pending"))))))</f>
        <v/>
      </c>
      <c r="L240" s="28"/>
      <c r="M240" s="28"/>
      <c r="N240" s="28"/>
      <c r="O240" s="28"/>
      <c r="P240" s="28"/>
    </row>
    <row r="241" customFormat="false" ht="15" hidden="false" customHeight="false" outlineLevel="0" collapsed="false">
      <c r="A241" s="28"/>
      <c r="B241" s="28"/>
      <c r="C241" s="28"/>
      <c r="D241" s="28"/>
      <c r="E241" s="28"/>
      <c r="F241" s="28"/>
      <c r="G241" s="28"/>
      <c r="H241" s="28"/>
      <c r="I241" s="29" t="str">
        <f aca="false">IF(OR(G241="",H241=""),"",IF(G241=H241,"Yes","No"))</f>
        <v/>
      </c>
      <c r="J241" s="28"/>
      <c r="K241" s="29" t="str">
        <f aca="false">IF(E241="Snowballing","n/a",IF(AND(G241="",H241=""),"",IF(OR(G241="",H241=""),"Waiting",IF(G241=H241,G241,IF(AND(G241&lt;&gt;"Exclude",H241&lt;&gt;"Exclude"),"Maybe",IF(J241&lt;&gt;"",J241,"Pending"))))))</f>
        <v/>
      </c>
      <c r="L241" s="28"/>
      <c r="M241" s="28"/>
      <c r="N241" s="28"/>
      <c r="O241" s="28"/>
      <c r="P241" s="28"/>
    </row>
    <row r="242" customFormat="false" ht="15" hidden="false" customHeight="false" outlineLevel="0" collapsed="false">
      <c r="A242" s="28"/>
      <c r="B242" s="28"/>
      <c r="C242" s="28"/>
      <c r="D242" s="28"/>
      <c r="E242" s="28"/>
      <c r="F242" s="28"/>
      <c r="G242" s="28"/>
      <c r="H242" s="28"/>
      <c r="I242" s="29" t="str">
        <f aca="false">IF(OR(G242="",H242=""),"",IF(G242=H242,"Yes","No"))</f>
        <v/>
      </c>
      <c r="J242" s="28"/>
      <c r="K242" s="29" t="str">
        <f aca="false">IF(E242="Snowballing","n/a",IF(AND(G242="",H242=""),"",IF(OR(G242="",H242=""),"Waiting",IF(G242=H242,G242,IF(AND(G242&lt;&gt;"Exclude",H242&lt;&gt;"Exclude"),"Maybe",IF(J242&lt;&gt;"",J242,"Pending"))))))</f>
        <v/>
      </c>
      <c r="L242" s="28"/>
      <c r="M242" s="28"/>
      <c r="N242" s="28"/>
      <c r="O242" s="28"/>
      <c r="P242" s="28"/>
    </row>
    <row r="243" customFormat="false" ht="15" hidden="false" customHeight="false" outlineLevel="0" collapsed="false">
      <c r="A243" s="28"/>
      <c r="B243" s="28"/>
      <c r="C243" s="28"/>
      <c r="D243" s="28"/>
      <c r="E243" s="28"/>
      <c r="F243" s="28"/>
      <c r="G243" s="28"/>
      <c r="H243" s="28"/>
      <c r="I243" s="29" t="str">
        <f aca="false">IF(OR(G243="",H243=""),"",IF(G243=H243,"Yes","No"))</f>
        <v/>
      </c>
      <c r="J243" s="28"/>
      <c r="K243" s="29" t="str">
        <f aca="false">IF(E243="Snowballing","n/a",IF(AND(G243="",H243=""),"",IF(OR(G243="",H243=""),"Waiting",IF(G243=H243,G243,IF(AND(G243&lt;&gt;"Exclude",H243&lt;&gt;"Exclude"),"Maybe",IF(J243&lt;&gt;"",J243,"Pending"))))))</f>
        <v/>
      </c>
      <c r="L243" s="28"/>
      <c r="M243" s="28"/>
      <c r="N243" s="28"/>
      <c r="O243" s="28"/>
      <c r="P243" s="28"/>
    </row>
    <row r="244" customFormat="false" ht="15" hidden="false" customHeight="false" outlineLevel="0" collapsed="false">
      <c r="A244" s="28"/>
      <c r="B244" s="28"/>
      <c r="C244" s="28"/>
      <c r="D244" s="28"/>
      <c r="E244" s="28"/>
      <c r="F244" s="28"/>
      <c r="G244" s="28"/>
      <c r="H244" s="28"/>
      <c r="I244" s="29" t="str">
        <f aca="false">IF(OR(G244="",H244=""),"",IF(G244=H244,"Yes","No"))</f>
        <v/>
      </c>
      <c r="J244" s="28"/>
      <c r="K244" s="29" t="str">
        <f aca="false">IF(E244="Snowballing","n/a",IF(AND(G244="",H244=""),"",IF(OR(G244="",H244=""),"Waiting",IF(G244=H244,G244,IF(AND(G244&lt;&gt;"Exclude",H244&lt;&gt;"Exclude"),"Maybe",IF(J244&lt;&gt;"",J244,"Pending"))))))</f>
        <v/>
      </c>
      <c r="L244" s="28"/>
      <c r="M244" s="28"/>
      <c r="N244" s="28"/>
      <c r="O244" s="28"/>
      <c r="P244" s="28"/>
    </row>
    <row r="245" customFormat="false" ht="15" hidden="false" customHeight="false" outlineLevel="0" collapsed="false">
      <c r="A245" s="28"/>
      <c r="B245" s="28"/>
      <c r="C245" s="28"/>
      <c r="D245" s="28"/>
      <c r="E245" s="28"/>
      <c r="F245" s="28"/>
      <c r="G245" s="28"/>
      <c r="H245" s="28"/>
      <c r="I245" s="29" t="str">
        <f aca="false">IF(OR(G245="",H245=""),"",IF(G245=H245,"Yes","No"))</f>
        <v/>
      </c>
      <c r="J245" s="28"/>
      <c r="K245" s="29" t="str">
        <f aca="false">IF(E245="Snowballing","n/a",IF(AND(G245="",H245=""),"",IF(OR(G245="",H245=""),"Waiting",IF(G245=H245,G245,IF(AND(G245&lt;&gt;"Exclude",H245&lt;&gt;"Exclude"),"Maybe",IF(J245&lt;&gt;"",J245,"Pending"))))))</f>
        <v/>
      </c>
      <c r="L245" s="28"/>
      <c r="M245" s="28"/>
      <c r="N245" s="28"/>
      <c r="O245" s="28"/>
      <c r="P245" s="28"/>
    </row>
    <row r="246" customFormat="false" ht="15" hidden="false" customHeight="false" outlineLevel="0" collapsed="false">
      <c r="A246" s="28"/>
      <c r="B246" s="28"/>
      <c r="C246" s="28"/>
      <c r="D246" s="28"/>
      <c r="E246" s="28"/>
      <c r="F246" s="28"/>
      <c r="G246" s="28"/>
      <c r="H246" s="28"/>
      <c r="I246" s="29" t="str">
        <f aca="false">IF(OR(G246="",H246=""),"",IF(G246=H246,"Yes","No"))</f>
        <v/>
      </c>
      <c r="J246" s="28"/>
      <c r="K246" s="29" t="str">
        <f aca="false">IF(E246="Snowballing","n/a",IF(AND(G246="",H246=""),"",IF(OR(G246="",H246=""),"Waiting",IF(G246=H246,G246,IF(AND(G246&lt;&gt;"Exclude",H246&lt;&gt;"Exclude"),"Maybe",IF(J246&lt;&gt;"",J246,"Pending"))))))</f>
        <v/>
      </c>
      <c r="L246" s="28"/>
      <c r="M246" s="28"/>
      <c r="N246" s="28"/>
      <c r="O246" s="28"/>
      <c r="P246" s="28"/>
    </row>
    <row r="247" customFormat="false" ht="15" hidden="false" customHeight="false" outlineLevel="0" collapsed="false">
      <c r="A247" s="28"/>
      <c r="B247" s="28"/>
      <c r="C247" s="28"/>
      <c r="D247" s="28"/>
      <c r="E247" s="28"/>
      <c r="F247" s="28"/>
      <c r="G247" s="28"/>
      <c r="H247" s="28"/>
      <c r="I247" s="29" t="str">
        <f aca="false">IF(OR(G247="",H247=""),"",IF(G247=H247,"Yes","No"))</f>
        <v/>
      </c>
      <c r="J247" s="28"/>
      <c r="K247" s="29" t="str">
        <f aca="false">IF(E247="Snowballing","n/a",IF(AND(G247="",H247=""),"",IF(OR(G247="",H247=""),"Waiting",IF(G247=H247,G247,IF(AND(G247&lt;&gt;"Exclude",H247&lt;&gt;"Exclude"),"Maybe",IF(J247&lt;&gt;"",J247,"Pending"))))))</f>
        <v/>
      </c>
      <c r="L247" s="28"/>
      <c r="M247" s="28"/>
      <c r="N247" s="28"/>
      <c r="O247" s="28"/>
      <c r="P247" s="28"/>
    </row>
    <row r="248" customFormat="false" ht="15" hidden="false" customHeight="false" outlineLevel="0" collapsed="false">
      <c r="A248" s="28"/>
      <c r="B248" s="28"/>
      <c r="C248" s="28"/>
      <c r="D248" s="28"/>
      <c r="E248" s="28"/>
      <c r="F248" s="28"/>
      <c r="G248" s="28"/>
      <c r="H248" s="28"/>
      <c r="I248" s="29" t="str">
        <f aca="false">IF(OR(G248="",H248=""),"",IF(G248=H248,"Yes","No"))</f>
        <v/>
      </c>
      <c r="J248" s="28"/>
      <c r="K248" s="29" t="str">
        <f aca="false">IF(E248="Snowballing","n/a",IF(AND(G248="",H248=""),"",IF(OR(G248="",H248=""),"Waiting",IF(G248=H248,G248,IF(AND(G248&lt;&gt;"Exclude",H248&lt;&gt;"Exclude"),"Maybe",IF(J248&lt;&gt;"",J248,"Pending"))))))</f>
        <v/>
      </c>
      <c r="L248" s="28"/>
      <c r="M248" s="28"/>
      <c r="N248" s="28"/>
      <c r="O248" s="28"/>
      <c r="P248" s="28"/>
    </row>
    <row r="249" customFormat="false" ht="15" hidden="false" customHeight="false" outlineLevel="0" collapsed="false">
      <c r="A249" s="28"/>
      <c r="B249" s="28"/>
      <c r="C249" s="28"/>
      <c r="D249" s="28"/>
      <c r="E249" s="28"/>
      <c r="F249" s="28"/>
      <c r="G249" s="28"/>
      <c r="H249" s="28"/>
      <c r="I249" s="29" t="str">
        <f aca="false">IF(OR(G249="",H249=""),"",IF(G249=H249,"Yes","No"))</f>
        <v/>
      </c>
      <c r="J249" s="28"/>
      <c r="K249" s="29" t="str">
        <f aca="false">IF(E249="Snowballing","n/a",IF(AND(G249="",H249=""),"",IF(OR(G249="",H249=""),"Waiting",IF(G249=H249,G249,IF(AND(G249&lt;&gt;"Exclude",H249&lt;&gt;"Exclude"),"Maybe",IF(J249&lt;&gt;"",J249,"Pending"))))))</f>
        <v/>
      </c>
      <c r="L249" s="28"/>
      <c r="M249" s="28"/>
      <c r="N249" s="28"/>
      <c r="O249" s="28"/>
      <c r="P249" s="28"/>
    </row>
    <row r="250" customFormat="false" ht="15" hidden="false" customHeight="false" outlineLevel="0" collapsed="false">
      <c r="A250" s="28"/>
      <c r="B250" s="28"/>
      <c r="C250" s="28"/>
      <c r="D250" s="28"/>
      <c r="E250" s="28"/>
      <c r="F250" s="28"/>
      <c r="G250" s="28"/>
      <c r="H250" s="28"/>
      <c r="I250" s="29" t="str">
        <f aca="false">IF(OR(G250="",H250=""),"",IF(G250=H250,"Yes","No"))</f>
        <v/>
      </c>
      <c r="J250" s="28"/>
      <c r="K250" s="29" t="str">
        <f aca="false">IF(E250="Snowballing","n/a",IF(AND(G250="",H250=""),"",IF(OR(G250="",H250=""),"Waiting",IF(G250=H250,G250,IF(AND(G250&lt;&gt;"Exclude",H250&lt;&gt;"Exclude"),"Maybe",IF(J250&lt;&gt;"",J250,"Pending"))))))</f>
        <v/>
      </c>
      <c r="L250" s="28"/>
      <c r="M250" s="28"/>
      <c r="N250" s="28"/>
      <c r="O250" s="28"/>
      <c r="P250" s="28"/>
    </row>
    <row r="251" customFormat="false" ht="15" hidden="false" customHeight="false" outlineLevel="0" collapsed="false">
      <c r="A251" s="28"/>
      <c r="B251" s="28"/>
      <c r="C251" s="28"/>
      <c r="D251" s="28"/>
      <c r="E251" s="28"/>
      <c r="F251" s="28"/>
      <c r="G251" s="28"/>
      <c r="H251" s="28"/>
      <c r="I251" s="29" t="str">
        <f aca="false">IF(OR(G251="",H251=""),"",IF(G251=H251,"Yes","No"))</f>
        <v/>
      </c>
      <c r="J251" s="28"/>
      <c r="K251" s="29" t="str">
        <f aca="false">IF(E251="Snowballing","n/a",IF(AND(G251="",H251=""),"",IF(OR(G251="",H251=""),"Waiting",IF(G251=H251,G251,IF(AND(G251&lt;&gt;"Exclude",H251&lt;&gt;"Exclude"),"Maybe",IF(J251&lt;&gt;"",J251,"Pending"))))))</f>
        <v/>
      </c>
      <c r="L251" s="28"/>
      <c r="M251" s="28"/>
      <c r="N251" s="28"/>
      <c r="O251" s="28"/>
      <c r="P251" s="28"/>
    </row>
    <row r="252" customFormat="false" ht="15" hidden="false" customHeight="false" outlineLevel="0" collapsed="false">
      <c r="A252" s="28"/>
      <c r="B252" s="28"/>
      <c r="C252" s="28"/>
      <c r="D252" s="28"/>
      <c r="E252" s="28"/>
      <c r="F252" s="28"/>
      <c r="G252" s="28"/>
      <c r="H252" s="28"/>
      <c r="I252" s="29" t="str">
        <f aca="false">IF(OR(G252="",H252=""),"",IF(G252=H252,"Yes","No"))</f>
        <v/>
      </c>
      <c r="J252" s="28"/>
      <c r="K252" s="29" t="str">
        <f aca="false">IF(E252="Snowballing","n/a",IF(AND(G252="",H252=""),"",IF(OR(G252="",H252=""),"Waiting",IF(G252=H252,G252,IF(AND(G252&lt;&gt;"Exclude",H252&lt;&gt;"Exclude"),"Maybe",IF(J252&lt;&gt;"",J252,"Pending"))))))</f>
        <v/>
      </c>
      <c r="L252" s="28"/>
      <c r="M252" s="28"/>
      <c r="N252" s="28"/>
      <c r="O252" s="28"/>
      <c r="P252" s="28"/>
    </row>
    <row r="253" customFormat="false" ht="15" hidden="false" customHeight="false" outlineLevel="0" collapsed="false">
      <c r="A253" s="28"/>
      <c r="B253" s="28"/>
      <c r="C253" s="28"/>
      <c r="D253" s="28"/>
      <c r="E253" s="28"/>
      <c r="F253" s="28"/>
      <c r="G253" s="28"/>
      <c r="H253" s="28"/>
      <c r="I253" s="29" t="str">
        <f aca="false">IF(OR(G253="",H253=""),"",IF(G253=H253,"Yes","No"))</f>
        <v/>
      </c>
      <c r="J253" s="28"/>
      <c r="K253" s="29" t="str">
        <f aca="false">IF(E253="Snowballing","n/a",IF(AND(G253="",H253=""),"",IF(OR(G253="",H253=""),"Waiting",IF(G253=H253,G253,IF(AND(G253&lt;&gt;"Exclude",H253&lt;&gt;"Exclude"),"Maybe",IF(J253&lt;&gt;"",J253,"Pending"))))))</f>
        <v/>
      </c>
      <c r="L253" s="28"/>
      <c r="M253" s="28"/>
      <c r="N253" s="28"/>
      <c r="O253" s="28"/>
      <c r="P253" s="28"/>
    </row>
    <row r="254" customFormat="false" ht="15" hidden="false" customHeight="false" outlineLevel="0" collapsed="false">
      <c r="A254" s="28"/>
      <c r="B254" s="28"/>
      <c r="C254" s="28"/>
      <c r="D254" s="28"/>
      <c r="E254" s="28"/>
      <c r="F254" s="28"/>
      <c r="G254" s="28"/>
      <c r="H254" s="28"/>
      <c r="I254" s="29" t="str">
        <f aca="false">IF(OR(G254="",H254=""),"",IF(G254=H254,"Yes","No"))</f>
        <v/>
      </c>
      <c r="J254" s="28"/>
      <c r="K254" s="29" t="str">
        <f aca="false">IF(E254="Snowballing","n/a",IF(AND(G254="",H254=""),"",IF(OR(G254="",H254=""),"Waiting",IF(G254=H254,G254,IF(AND(G254&lt;&gt;"Exclude",H254&lt;&gt;"Exclude"),"Maybe",IF(J254&lt;&gt;"",J254,"Pending"))))))</f>
        <v/>
      </c>
      <c r="L254" s="28"/>
      <c r="M254" s="28"/>
      <c r="N254" s="28"/>
      <c r="O254" s="28"/>
      <c r="P254" s="28"/>
    </row>
    <row r="255" customFormat="false" ht="15" hidden="false" customHeight="false" outlineLevel="0" collapsed="false">
      <c r="A255" s="28"/>
      <c r="B255" s="28"/>
      <c r="C255" s="28"/>
      <c r="D255" s="28"/>
      <c r="E255" s="28"/>
      <c r="F255" s="28"/>
      <c r="G255" s="28"/>
      <c r="H255" s="28"/>
      <c r="I255" s="29" t="str">
        <f aca="false">IF(OR(G255="",H255=""),"",IF(G255=H255,"Yes","No"))</f>
        <v/>
      </c>
      <c r="J255" s="28"/>
      <c r="K255" s="29" t="str">
        <f aca="false">IF(E255="Snowballing","n/a",IF(AND(G255="",H255=""),"",IF(OR(G255="",H255=""),"Waiting",IF(G255=H255,G255,IF(AND(G255&lt;&gt;"Exclude",H255&lt;&gt;"Exclude"),"Maybe",IF(J255&lt;&gt;"",J255,"Pending"))))))</f>
        <v/>
      </c>
      <c r="L255" s="28"/>
      <c r="M255" s="28"/>
      <c r="N255" s="28"/>
      <c r="O255" s="28"/>
      <c r="P255" s="28"/>
    </row>
    <row r="256" customFormat="false" ht="15" hidden="false" customHeight="false" outlineLevel="0" collapsed="false">
      <c r="A256" s="28"/>
      <c r="B256" s="28"/>
      <c r="C256" s="28"/>
      <c r="D256" s="28"/>
      <c r="E256" s="28"/>
      <c r="F256" s="28"/>
      <c r="G256" s="28"/>
      <c r="H256" s="28"/>
      <c r="I256" s="29" t="str">
        <f aca="false">IF(OR(G256="",H256=""),"",IF(G256=H256,"Yes","No"))</f>
        <v/>
      </c>
      <c r="J256" s="28"/>
      <c r="K256" s="29" t="str">
        <f aca="false">IF(E256="Snowballing","n/a",IF(AND(G256="",H256=""),"",IF(OR(G256="",H256=""),"Waiting",IF(G256=H256,G256,IF(AND(G256&lt;&gt;"Exclude",H256&lt;&gt;"Exclude"),"Maybe",IF(J256&lt;&gt;"",J256,"Pending"))))))</f>
        <v/>
      </c>
      <c r="L256" s="28"/>
      <c r="M256" s="28"/>
      <c r="N256" s="28"/>
      <c r="O256" s="28"/>
      <c r="P256" s="28"/>
    </row>
    <row r="257" customFormat="false" ht="15" hidden="false" customHeight="false" outlineLevel="0" collapsed="false">
      <c r="A257" s="28"/>
      <c r="B257" s="28"/>
      <c r="C257" s="28"/>
      <c r="D257" s="28"/>
      <c r="E257" s="28"/>
      <c r="F257" s="28"/>
      <c r="G257" s="28"/>
      <c r="H257" s="28"/>
      <c r="I257" s="29" t="str">
        <f aca="false">IF(OR(G257="",H257=""),"",IF(G257=H257,"Yes","No"))</f>
        <v/>
      </c>
      <c r="J257" s="28"/>
      <c r="K257" s="29" t="str">
        <f aca="false">IF(E257="Snowballing","n/a",IF(AND(G257="",H257=""),"",IF(OR(G257="",H257=""),"Waiting",IF(G257=H257,G257,IF(AND(G257&lt;&gt;"Exclude",H257&lt;&gt;"Exclude"),"Maybe",IF(J257&lt;&gt;"",J257,"Pending"))))))</f>
        <v/>
      </c>
      <c r="L257" s="28"/>
      <c r="M257" s="28"/>
      <c r="N257" s="28"/>
      <c r="O257" s="28"/>
      <c r="P257" s="28"/>
    </row>
    <row r="258" customFormat="false" ht="15" hidden="false" customHeight="false" outlineLevel="0" collapsed="false">
      <c r="A258" s="28"/>
      <c r="B258" s="28"/>
      <c r="C258" s="28"/>
      <c r="D258" s="28"/>
      <c r="E258" s="28"/>
      <c r="F258" s="28"/>
      <c r="G258" s="28"/>
      <c r="H258" s="28"/>
      <c r="I258" s="29" t="str">
        <f aca="false">IF(OR(G258="",H258=""),"",IF(G258=H258,"Yes","No"))</f>
        <v/>
      </c>
      <c r="J258" s="28"/>
      <c r="K258" s="29" t="str">
        <f aca="false">IF(E258="Snowballing","n/a",IF(AND(G258="",H258=""),"",IF(OR(G258="",H258=""),"Waiting",IF(G258=H258,G258,IF(AND(G258&lt;&gt;"Exclude",H258&lt;&gt;"Exclude"),"Maybe",IF(J258&lt;&gt;"",J258,"Pending"))))))</f>
        <v/>
      </c>
      <c r="L258" s="28"/>
      <c r="M258" s="28"/>
      <c r="N258" s="28"/>
      <c r="O258" s="28"/>
      <c r="P258" s="28"/>
    </row>
    <row r="259" customFormat="false" ht="15" hidden="false" customHeight="false" outlineLevel="0" collapsed="false">
      <c r="A259" s="28"/>
      <c r="B259" s="28"/>
      <c r="C259" s="28"/>
      <c r="D259" s="28"/>
      <c r="E259" s="28"/>
      <c r="F259" s="28"/>
      <c r="G259" s="28"/>
      <c r="H259" s="28"/>
      <c r="I259" s="29" t="str">
        <f aca="false">IF(OR(G259="",H259=""),"",IF(G259=H259,"Yes","No"))</f>
        <v/>
      </c>
      <c r="J259" s="28"/>
      <c r="K259" s="29" t="str">
        <f aca="false">IF(E259="Snowballing","n/a",IF(AND(G259="",H259=""),"",IF(OR(G259="",H259=""),"Waiting",IF(G259=H259,G259,IF(AND(G259&lt;&gt;"Exclude",H259&lt;&gt;"Exclude"),"Maybe",IF(J259&lt;&gt;"",J259,"Pending"))))))</f>
        <v/>
      </c>
      <c r="L259" s="28"/>
      <c r="M259" s="28"/>
      <c r="N259" s="28"/>
      <c r="O259" s="28"/>
      <c r="P259" s="28"/>
    </row>
    <row r="260" customFormat="false" ht="15" hidden="false" customHeight="false" outlineLevel="0" collapsed="false">
      <c r="A260" s="28"/>
      <c r="B260" s="28"/>
      <c r="C260" s="28"/>
      <c r="D260" s="28"/>
      <c r="E260" s="28"/>
      <c r="F260" s="28"/>
      <c r="G260" s="28"/>
      <c r="H260" s="28"/>
      <c r="I260" s="29" t="str">
        <f aca="false">IF(OR(G260="",H260=""),"",IF(G260=H260,"Yes","No"))</f>
        <v/>
      </c>
      <c r="J260" s="28"/>
      <c r="K260" s="29" t="str">
        <f aca="false">IF(E260="Snowballing","n/a",IF(AND(G260="",H260=""),"",IF(OR(G260="",H260=""),"Waiting",IF(G260=H260,G260,IF(AND(G260&lt;&gt;"Exclude",H260&lt;&gt;"Exclude"),"Maybe",IF(J260&lt;&gt;"",J260,"Pending"))))))</f>
        <v/>
      </c>
      <c r="L260" s="28"/>
      <c r="M260" s="28"/>
      <c r="N260" s="28"/>
      <c r="O260" s="28"/>
      <c r="P260" s="28"/>
    </row>
    <row r="261" customFormat="false" ht="15" hidden="false" customHeight="false" outlineLevel="0" collapsed="false">
      <c r="A261" s="28"/>
      <c r="B261" s="28"/>
      <c r="C261" s="28"/>
      <c r="D261" s="28"/>
      <c r="E261" s="28"/>
      <c r="F261" s="28"/>
      <c r="G261" s="28"/>
      <c r="H261" s="28"/>
      <c r="I261" s="29" t="str">
        <f aca="false">IF(OR(G261="",H261=""),"",IF(G261=H261,"Yes","No"))</f>
        <v/>
      </c>
      <c r="J261" s="28"/>
      <c r="K261" s="29" t="str">
        <f aca="false">IF(E261="Snowballing","n/a",IF(AND(G261="",H261=""),"",IF(OR(G261="",H261=""),"Waiting",IF(G261=H261,G261,IF(AND(G261&lt;&gt;"Exclude",H261&lt;&gt;"Exclude"),"Maybe",IF(J261&lt;&gt;"",J261,"Pending"))))))</f>
        <v/>
      </c>
      <c r="L261" s="28"/>
      <c r="M261" s="28"/>
      <c r="N261" s="28"/>
      <c r="O261" s="28"/>
      <c r="P261" s="28"/>
    </row>
    <row r="262" customFormat="false" ht="15" hidden="false" customHeight="false" outlineLevel="0" collapsed="false">
      <c r="A262" s="28"/>
      <c r="B262" s="28"/>
      <c r="C262" s="28"/>
      <c r="D262" s="28"/>
      <c r="E262" s="28"/>
      <c r="F262" s="28"/>
      <c r="G262" s="28"/>
      <c r="H262" s="28"/>
      <c r="I262" s="29" t="str">
        <f aca="false">IF(OR(G262="",H262=""),"",IF(G262=H262,"Yes","No"))</f>
        <v/>
      </c>
      <c r="J262" s="28"/>
      <c r="K262" s="29" t="str">
        <f aca="false">IF(E262="Snowballing","n/a",IF(AND(G262="",H262=""),"",IF(OR(G262="",H262=""),"Waiting",IF(G262=H262,G262,IF(AND(G262&lt;&gt;"Exclude",H262&lt;&gt;"Exclude"),"Maybe",IF(J262&lt;&gt;"",J262,"Pending"))))))</f>
        <v/>
      </c>
      <c r="L262" s="28"/>
      <c r="M262" s="28"/>
      <c r="N262" s="28"/>
      <c r="O262" s="28"/>
      <c r="P262" s="28"/>
    </row>
    <row r="263" customFormat="false" ht="15" hidden="false" customHeight="false" outlineLevel="0" collapsed="false">
      <c r="A263" s="28"/>
      <c r="B263" s="28"/>
      <c r="C263" s="28"/>
      <c r="D263" s="28"/>
      <c r="E263" s="28"/>
      <c r="F263" s="28"/>
      <c r="G263" s="28"/>
      <c r="H263" s="28"/>
      <c r="I263" s="29" t="str">
        <f aca="false">IF(OR(G263="",H263=""),"",IF(G263=H263,"Yes","No"))</f>
        <v/>
      </c>
      <c r="J263" s="28"/>
      <c r="K263" s="29" t="str">
        <f aca="false">IF(E263="Snowballing","n/a",IF(AND(G263="",H263=""),"",IF(OR(G263="",H263=""),"Waiting",IF(G263=H263,G263,IF(AND(G263&lt;&gt;"Exclude",H263&lt;&gt;"Exclude"),"Maybe",IF(J263&lt;&gt;"",J263,"Pending"))))))</f>
        <v/>
      </c>
      <c r="L263" s="28"/>
      <c r="M263" s="28"/>
      <c r="N263" s="28"/>
      <c r="O263" s="28"/>
      <c r="P263" s="28"/>
    </row>
    <row r="264" customFormat="false" ht="15" hidden="false" customHeight="false" outlineLevel="0" collapsed="false">
      <c r="A264" s="28"/>
      <c r="B264" s="28"/>
      <c r="C264" s="28"/>
      <c r="D264" s="28"/>
      <c r="E264" s="28"/>
      <c r="F264" s="28"/>
      <c r="G264" s="28"/>
      <c r="H264" s="28"/>
      <c r="I264" s="29" t="str">
        <f aca="false">IF(OR(G264="",H264=""),"",IF(G264=H264,"Yes","No"))</f>
        <v/>
      </c>
      <c r="J264" s="28"/>
      <c r="K264" s="29" t="str">
        <f aca="false">IF(E264="Snowballing","n/a",IF(AND(G264="",H264=""),"",IF(OR(G264="",H264=""),"Waiting",IF(G264=H264,G264,IF(AND(G264&lt;&gt;"Exclude",H264&lt;&gt;"Exclude"),"Maybe",IF(J264&lt;&gt;"",J264,"Pending"))))))</f>
        <v/>
      </c>
      <c r="L264" s="28"/>
      <c r="M264" s="28"/>
      <c r="N264" s="28"/>
      <c r="O264" s="28"/>
      <c r="P264" s="28"/>
    </row>
    <row r="265" customFormat="false" ht="15" hidden="false" customHeight="false" outlineLevel="0" collapsed="false">
      <c r="A265" s="28"/>
      <c r="B265" s="28"/>
      <c r="C265" s="28"/>
      <c r="D265" s="28"/>
      <c r="E265" s="28"/>
      <c r="F265" s="28"/>
      <c r="G265" s="28"/>
      <c r="H265" s="28"/>
      <c r="I265" s="29" t="str">
        <f aca="false">IF(OR(G265="",H265=""),"",IF(G265=H265,"Yes","No"))</f>
        <v/>
      </c>
      <c r="J265" s="28"/>
      <c r="K265" s="29" t="str">
        <f aca="false">IF(E265="Snowballing","n/a",IF(AND(G265="",H265=""),"",IF(OR(G265="",H265=""),"Waiting",IF(G265=H265,G265,IF(AND(G265&lt;&gt;"Exclude",H265&lt;&gt;"Exclude"),"Maybe",IF(J265&lt;&gt;"",J265,"Pending"))))))</f>
        <v/>
      </c>
      <c r="L265" s="28"/>
      <c r="M265" s="28"/>
      <c r="N265" s="28"/>
      <c r="O265" s="28"/>
      <c r="P265" s="28"/>
    </row>
    <row r="266" customFormat="false" ht="15" hidden="false" customHeight="false" outlineLevel="0" collapsed="false">
      <c r="A266" s="28"/>
      <c r="B266" s="28"/>
      <c r="C266" s="28"/>
      <c r="D266" s="28"/>
      <c r="E266" s="28"/>
      <c r="F266" s="28"/>
      <c r="G266" s="28"/>
      <c r="H266" s="28"/>
      <c r="I266" s="29" t="str">
        <f aca="false">IF(OR(G266="",H266=""),"",IF(G266=H266,"Yes","No"))</f>
        <v/>
      </c>
      <c r="J266" s="28"/>
      <c r="K266" s="29" t="str">
        <f aca="false">IF(E266="Snowballing","n/a",IF(AND(G266="",H266=""),"",IF(OR(G266="",H266=""),"Waiting",IF(G266=H266,G266,IF(AND(G266&lt;&gt;"Exclude",H266&lt;&gt;"Exclude"),"Maybe",IF(J266&lt;&gt;"",J266,"Pending"))))))</f>
        <v/>
      </c>
      <c r="L266" s="28"/>
      <c r="M266" s="28"/>
      <c r="N266" s="28"/>
      <c r="O266" s="28"/>
      <c r="P266" s="28"/>
    </row>
    <row r="267" customFormat="false" ht="15" hidden="false" customHeight="false" outlineLevel="0" collapsed="false">
      <c r="A267" s="28"/>
      <c r="B267" s="28"/>
      <c r="C267" s="28"/>
      <c r="D267" s="28"/>
      <c r="E267" s="28"/>
      <c r="F267" s="28"/>
      <c r="G267" s="28"/>
      <c r="H267" s="28"/>
      <c r="I267" s="29" t="str">
        <f aca="false">IF(OR(G267="",H267=""),"",IF(G267=H267,"Yes","No"))</f>
        <v/>
      </c>
      <c r="J267" s="28"/>
      <c r="K267" s="29" t="str">
        <f aca="false">IF(E267="Snowballing","n/a",IF(AND(G267="",H267=""),"",IF(OR(G267="",H267=""),"Waiting",IF(G267=H267,G267,IF(AND(G267&lt;&gt;"Exclude",H267&lt;&gt;"Exclude"),"Maybe",IF(J267&lt;&gt;"",J267,"Pending"))))))</f>
        <v/>
      </c>
      <c r="L267" s="28"/>
      <c r="M267" s="28"/>
      <c r="N267" s="28"/>
      <c r="O267" s="28"/>
      <c r="P267" s="28"/>
    </row>
    <row r="268" customFormat="false" ht="15" hidden="false" customHeight="false" outlineLevel="0" collapsed="false">
      <c r="A268" s="28"/>
      <c r="B268" s="28"/>
      <c r="C268" s="28"/>
      <c r="D268" s="28"/>
      <c r="E268" s="28"/>
      <c r="F268" s="28"/>
      <c r="G268" s="28"/>
      <c r="H268" s="28"/>
      <c r="I268" s="29" t="str">
        <f aca="false">IF(OR(G268="",H268=""),"",IF(G268=H268,"Yes","No"))</f>
        <v/>
      </c>
      <c r="J268" s="28"/>
      <c r="K268" s="29" t="str">
        <f aca="false">IF(E268="Snowballing","n/a",IF(AND(G268="",H268=""),"",IF(OR(G268="",H268=""),"Waiting",IF(G268=H268,G268,IF(AND(G268&lt;&gt;"Exclude",H268&lt;&gt;"Exclude"),"Maybe",IF(J268&lt;&gt;"",J268,"Pending"))))))</f>
        <v/>
      </c>
      <c r="L268" s="28"/>
      <c r="M268" s="28"/>
      <c r="N268" s="28"/>
      <c r="O268" s="28"/>
      <c r="P268" s="28"/>
    </row>
    <row r="269" customFormat="false" ht="15" hidden="false" customHeight="false" outlineLevel="0" collapsed="false">
      <c r="A269" s="28"/>
      <c r="B269" s="28"/>
      <c r="C269" s="28"/>
      <c r="D269" s="28"/>
      <c r="E269" s="28"/>
      <c r="F269" s="28"/>
      <c r="G269" s="28"/>
      <c r="H269" s="28"/>
      <c r="I269" s="29" t="str">
        <f aca="false">IF(OR(G269="",H269=""),"",IF(G269=H269,"Yes","No"))</f>
        <v/>
      </c>
      <c r="J269" s="28"/>
      <c r="K269" s="29" t="str">
        <f aca="false">IF(E269="Snowballing","n/a",IF(AND(G269="",H269=""),"",IF(OR(G269="",H269=""),"Waiting",IF(G269=H269,G269,IF(AND(G269&lt;&gt;"Exclude",H269&lt;&gt;"Exclude"),"Maybe",IF(J269&lt;&gt;"",J269,"Pending"))))))</f>
        <v/>
      </c>
      <c r="L269" s="28"/>
      <c r="M269" s="28"/>
      <c r="N269" s="28"/>
      <c r="O269" s="28"/>
      <c r="P269" s="28"/>
    </row>
    <row r="270" customFormat="false" ht="15" hidden="false" customHeight="false" outlineLevel="0" collapsed="false">
      <c r="A270" s="28"/>
      <c r="B270" s="28"/>
      <c r="C270" s="28"/>
      <c r="D270" s="28"/>
      <c r="E270" s="28"/>
      <c r="F270" s="28"/>
      <c r="G270" s="28"/>
      <c r="H270" s="28"/>
      <c r="I270" s="29" t="str">
        <f aca="false">IF(OR(G270="",H270=""),"",IF(G270=H270,"Yes","No"))</f>
        <v/>
      </c>
      <c r="J270" s="28"/>
      <c r="K270" s="29" t="str">
        <f aca="false">IF(E270="Snowballing","n/a",IF(AND(G270="",H270=""),"",IF(OR(G270="",H270=""),"Waiting",IF(G270=H270,G270,IF(AND(G270&lt;&gt;"Exclude",H270&lt;&gt;"Exclude"),"Maybe",IF(J270&lt;&gt;"",J270,"Pending"))))))</f>
        <v/>
      </c>
      <c r="L270" s="28"/>
      <c r="M270" s="28"/>
      <c r="N270" s="28"/>
      <c r="O270" s="28"/>
      <c r="P270" s="28"/>
    </row>
    <row r="271" customFormat="false" ht="15" hidden="false" customHeight="false" outlineLevel="0" collapsed="false">
      <c r="A271" s="28"/>
      <c r="B271" s="28"/>
      <c r="C271" s="28"/>
      <c r="D271" s="28"/>
      <c r="E271" s="28"/>
      <c r="F271" s="28"/>
      <c r="G271" s="28"/>
      <c r="H271" s="28"/>
      <c r="I271" s="29" t="str">
        <f aca="false">IF(OR(G271="",H271=""),"",IF(G271=H271,"Yes","No"))</f>
        <v/>
      </c>
      <c r="J271" s="28"/>
      <c r="K271" s="29" t="str">
        <f aca="false">IF(E271="Snowballing","n/a",IF(AND(G271="",H271=""),"",IF(OR(G271="",H271=""),"Waiting",IF(G271=H271,G271,IF(AND(G271&lt;&gt;"Exclude",H271&lt;&gt;"Exclude"),"Maybe",IF(J271&lt;&gt;"",J271,"Pending"))))))</f>
        <v/>
      </c>
      <c r="L271" s="28"/>
      <c r="M271" s="28"/>
      <c r="N271" s="28"/>
      <c r="O271" s="28"/>
      <c r="P271" s="28"/>
    </row>
    <row r="272" customFormat="false" ht="15" hidden="false" customHeight="false" outlineLevel="0" collapsed="false">
      <c r="A272" s="28"/>
      <c r="B272" s="28"/>
      <c r="C272" s="28"/>
      <c r="D272" s="28"/>
      <c r="E272" s="28"/>
      <c r="F272" s="28"/>
      <c r="G272" s="28"/>
      <c r="H272" s="28"/>
      <c r="I272" s="29" t="str">
        <f aca="false">IF(OR(G272="",H272=""),"",IF(G272=H272,"Yes","No"))</f>
        <v/>
      </c>
      <c r="J272" s="28"/>
      <c r="K272" s="29" t="str">
        <f aca="false">IF(E272="Snowballing","n/a",IF(AND(G272="",H272=""),"",IF(OR(G272="",H272=""),"Waiting",IF(G272=H272,G272,IF(AND(G272&lt;&gt;"Exclude",H272&lt;&gt;"Exclude"),"Maybe",IF(J272&lt;&gt;"",J272,"Pending"))))))</f>
        <v/>
      </c>
      <c r="L272" s="28"/>
      <c r="M272" s="28"/>
      <c r="N272" s="28"/>
      <c r="O272" s="28"/>
      <c r="P272" s="28"/>
    </row>
    <row r="273" customFormat="false" ht="15" hidden="false" customHeight="false" outlineLevel="0" collapsed="false">
      <c r="A273" s="28"/>
      <c r="B273" s="28"/>
      <c r="C273" s="28"/>
      <c r="D273" s="28"/>
      <c r="E273" s="28"/>
      <c r="F273" s="28"/>
      <c r="G273" s="28"/>
      <c r="H273" s="28"/>
      <c r="I273" s="29" t="str">
        <f aca="false">IF(OR(G273="",H273=""),"",IF(G273=H273,"Yes","No"))</f>
        <v/>
      </c>
      <c r="J273" s="28"/>
      <c r="K273" s="29" t="str">
        <f aca="false">IF(E273="Snowballing","n/a",IF(AND(G273="",H273=""),"",IF(OR(G273="",H273=""),"Waiting",IF(G273=H273,G273,IF(AND(G273&lt;&gt;"Exclude",H273&lt;&gt;"Exclude"),"Maybe",IF(J273&lt;&gt;"",J273,"Pending"))))))</f>
        <v/>
      </c>
      <c r="L273" s="28"/>
      <c r="M273" s="28"/>
      <c r="N273" s="28"/>
      <c r="O273" s="28"/>
      <c r="P273" s="28"/>
    </row>
    <row r="274" customFormat="false" ht="15" hidden="false" customHeight="false" outlineLevel="0" collapsed="false">
      <c r="A274" s="28"/>
      <c r="B274" s="28"/>
      <c r="C274" s="28"/>
      <c r="D274" s="28"/>
      <c r="E274" s="28"/>
      <c r="F274" s="28"/>
      <c r="G274" s="28"/>
      <c r="H274" s="28"/>
      <c r="I274" s="29" t="str">
        <f aca="false">IF(OR(G274="",H274=""),"",IF(G274=H274,"Yes","No"))</f>
        <v/>
      </c>
      <c r="J274" s="28"/>
      <c r="K274" s="29" t="str">
        <f aca="false">IF(E274="Snowballing","n/a",IF(AND(G274="",H274=""),"",IF(OR(G274="",H274=""),"Waiting",IF(G274=H274,G274,IF(AND(G274&lt;&gt;"Exclude",H274&lt;&gt;"Exclude"),"Maybe",IF(J274&lt;&gt;"",J274,"Pending"))))))</f>
        <v/>
      </c>
      <c r="L274" s="28"/>
      <c r="M274" s="28"/>
      <c r="N274" s="28"/>
      <c r="O274" s="28"/>
      <c r="P274" s="28"/>
    </row>
    <row r="275" customFormat="false" ht="15" hidden="false" customHeight="false" outlineLevel="0" collapsed="false">
      <c r="A275" s="28"/>
      <c r="B275" s="28"/>
      <c r="C275" s="28"/>
      <c r="D275" s="28"/>
      <c r="E275" s="28"/>
      <c r="F275" s="28"/>
      <c r="G275" s="28"/>
      <c r="H275" s="28"/>
      <c r="I275" s="29" t="str">
        <f aca="false">IF(OR(G275="",H275=""),"",IF(G275=H275,"Yes","No"))</f>
        <v/>
      </c>
      <c r="J275" s="28"/>
      <c r="K275" s="29" t="str">
        <f aca="false">IF(E275="Snowballing","n/a",IF(AND(G275="",H275=""),"",IF(OR(G275="",H275=""),"Waiting",IF(G275=H275,G275,IF(AND(G275&lt;&gt;"Exclude",H275&lt;&gt;"Exclude"),"Maybe",IF(J275&lt;&gt;"",J275,"Pending"))))))</f>
        <v/>
      </c>
      <c r="L275" s="28"/>
      <c r="M275" s="28"/>
      <c r="N275" s="28"/>
      <c r="O275" s="28"/>
      <c r="P275" s="28"/>
    </row>
    <row r="276" customFormat="false" ht="15" hidden="false" customHeight="false" outlineLevel="0" collapsed="false">
      <c r="A276" s="28"/>
      <c r="B276" s="28"/>
      <c r="C276" s="28"/>
      <c r="D276" s="28"/>
      <c r="E276" s="28"/>
      <c r="F276" s="28"/>
      <c r="G276" s="28"/>
      <c r="H276" s="28"/>
      <c r="I276" s="29" t="str">
        <f aca="false">IF(OR(G276="",H276=""),"",IF(G276=H276,"Yes","No"))</f>
        <v/>
      </c>
      <c r="J276" s="28"/>
      <c r="K276" s="29" t="str">
        <f aca="false">IF(E276="Snowballing","n/a",IF(AND(G276="",H276=""),"",IF(OR(G276="",H276=""),"Waiting",IF(G276=H276,G276,IF(AND(G276&lt;&gt;"Exclude",H276&lt;&gt;"Exclude"),"Maybe",IF(J276&lt;&gt;"",J276,"Pending"))))))</f>
        <v/>
      </c>
      <c r="L276" s="28"/>
      <c r="M276" s="28"/>
      <c r="N276" s="28"/>
      <c r="O276" s="28"/>
      <c r="P276" s="28"/>
    </row>
    <row r="277" customFormat="false" ht="15" hidden="false" customHeight="false" outlineLevel="0" collapsed="false">
      <c r="A277" s="28"/>
      <c r="B277" s="28"/>
      <c r="C277" s="28"/>
      <c r="D277" s="28"/>
      <c r="E277" s="28"/>
      <c r="F277" s="28"/>
      <c r="G277" s="28"/>
      <c r="H277" s="28"/>
      <c r="I277" s="29" t="str">
        <f aca="false">IF(OR(G277="",H277=""),"",IF(G277=H277,"Yes","No"))</f>
        <v/>
      </c>
      <c r="J277" s="28"/>
      <c r="K277" s="29" t="str">
        <f aca="false">IF(E277="Snowballing","n/a",IF(AND(G277="",H277=""),"",IF(OR(G277="",H277=""),"Waiting",IF(G277=H277,G277,IF(AND(G277&lt;&gt;"Exclude",H277&lt;&gt;"Exclude"),"Maybe",IF(J277&lt;&gt;"",J277,"Pending"))))))</f>
        <v/>
      </c>
      <c r="L277" s="28"/>
      <c r="M277" s="28"/>
      <c r="N277" s="28"/>
      <c r="O277" s="28"/>
      <c r="P277" s="28"/>
    </row>
    <row r="278" customFormat="false" ht="15" hidden="false" customHeight="false" outlineLevel="0" collapsed="false">
      <c r="A278" s="28"/>
      <c r="B278" s="28"/>
      <c r="C278" s="28"/>
      <c r="D278" s="28"/>
      <c r="E278" s="28"/>
      <c r="F278" s="28"/>
      <c r="G278" s="28"/>
      <c r="H278" s="28"/>
      <c r="I278" s="29" t="str">
        <f aca="false">IF(OR(G278="",H278=""),"",IF(G278=H278,"Yes","No"))</f>
        <v/>
      </c>
      <c r="J278" s="28"/>
      <c r="K278" s="29" t="str">
        <f aca="false">IF(E278="Snowballing","n/a",IF(AND(G278="",H278=""),"",IF(OR(G278="",H278=""),"Waiting",IF(G278=H278,G278,IF(AND(G278&lt;&gt;"Exclude",H278&lt;&gt;"Exclude"),"Maybe",IF(J278&lt;&gt;"",J278,"Pending"))))))</f>
        <v/>
      </c>
      <c r="L278" s="28"/>
      <c r="M278" s="28"/>
      <c r="N278" s="28"/>
      <c r="O278" s="28"/>
      <c r="P278" s="28"/>
    </row>
    <row r="279" customFormat="false" ht="15" hidden="false" customHeight="false" outlineLevel="0" collapsed="false">
      <c r="A279" s="28"/>
      <c r="B279" s="28"/>
      <c r="C279" s="28"/>
      <c r="D279" s="28"/>
      <c r="E279" s="28"/>
      <c r="F279" s="28"/>
      <c r="G279" s="28"/>
      <c r="H279" s="28"/>
      <c r="I279" s="29" t="str">
        <f aca="false">IF(OR(G279="",H279=""),"",IF(G279=H279,"Yes","No"))</f>
        <v/>
      </c>
      <c r="J279" s="28"/>
      <c r="K279" s="29" t="str">
        <f aca="false">IF(E279="Snowballing","n/a",IF(AND(G279="",H279=""),"",IF(OR(G279="",H279=""),"Waiting",IF(G279=H279,G279,IF(AND(G279&lt;&gt;"Exclude",H279&lt;&gt;"Exclude"),"Maybe",IF(J279&lt;&gt;"",J279,"Pending"))))))</f>
        <v/>
      </c>
      <c r="L279" s="28"/>
      <c r="M279" s="28"/>
      <c r="N279" s="28"/>
      <c r="O279" s="28"/>
      <c r="P279" s="28"/>
    </row>
    <row r="280" customFormat="false" ht="15" hidden="false" customHeight="false" outlineLevel="0" collapsed="false">
      <c r="A280" s="28"/>
      <c r="B280" s="28"/>
      <c r="C280" s="28"/>
      <c r="D280" s="28"/>
      <c r="E280" s="28"/>
      <c r="F280" s="28"/>
      <c r="G280" s="28"/>
      <c r="H280" s="28"/>
      <c r="I280" s="29" t="str">
        <f aca="false">IF(OR(G280="",H280=""),"",IF(G280=H280,"Yes","No"))</f>
        <v/>
      </c>
      <c r="J280" s="28"/>
      <c r="K280" s="29" t="str">
        <f aca="false">IF(E280="Snowballing","n/a",IF(AND(G280="",H280=""),"",IF(OR(G280="",H280=""),"Waiting",IF(G280=H280,G280,IF(AND(G280&lt;&gt;"Exclude",H280&lt;&gt;"Exclude"),"Maybe",IF(J280&lt;&gt;"",J280,"Pending"))))))</f>
        <v/>
      </c>
      <c r="L280" s="28"/>
      <c r="M280" s="28"/>
      <c r="N280" s="28"/>
      <c r="O280" s="28"/>
      <c r="P280" s="28"/>
    </row>
    <row r="281" customFormat="false" ht="15" hidden="false" customHeight="false" outlineLevel="0" collapsed="false">
      <c r="A281" s="28"/>
      <c r="B281" s="28"/>
      <c r="C281" s="28"/>
      <c r="D281" s="28"/>
      <c r="E281" s="28"/>
      <c r="F281" s="28"/>
      <c r="G281" s="28"/>
      <c r="H281" s="28"/>
      <c r="I281" s="29" t="str">
        <f aca="false">IF(OR(G281="",H281=""),"",IF(G281=H281,"Yes","No"))</f>
        <v/>
      </c>
      <c r="J281" s="28"/>
      <c r="K281" s="29" t="str">
        <f aca="false">IF(E281="Snowballing","n/a",IF(AND(G281="",H281=""),"",IF(OR(G281="",H281=""),"Waiting",IF(G281=H281,G281,IF(AND(G281&lt;&gt;"Exclude",H281&lt;&gt;"Exclude"),"Maybe",IF(J281&lt;&gt;"",J281,"Pending"))))))</f>
        <v/>
      </c>
      <c r="L281" s="28"/>
      <c r="M281" s="28"/>
      <c r="N281" s="28"/>
      <c r="O281" s="28"/>
      <c r="P281" s="28"/>
    </row>
    <row r="282" customFormat="false" ht="15" hidden="false" customHeight="false" outlineLevel="0" collapsed="false">
      <c r="A282" s="28"/>
      <c r="B282" s="28"/>
      <c r="C282" s="28"/>
      <c r="D282" s="28"/>
      <c r="E282" s="28"/>
      <c r="F282" s="28"/>
      <c r="G282" s="28"/>
      <c r="H282" s="28"/>
      <c r="I282" s="29" t="str">
        <f aca="false">IF(OR(G282="",H282=""),"",IF(G282=H282,"Yes","No"))</f>
        <v/>
      </c>
      <c r="J282" s="28"/>
      <c r="K282" s="29" t="str">
        <f aca="false">IF(E282="Snowballing","n/a",IF(AND(G282="",H282=""),"",IF(OR(G282="",H282=""),"Waiting",IF(G282=H282,G282,IF(AND(G282&lt;&gt;"Exclude",H282&lt;&gt;"Exclude"),"Maybe",IF(J282&lt;&gt;"",J282,"Pending"))))))</f>
        <v/>
      </c>
      <c r="L282" s="28"/>
      <c r="M282" s="28"/>
      <c r="N282" s="28"/>
      <c r="O282" s="28"/>
      <c r="P282" s="28"/>
    </row>
    <row r="283" customFormat="false" ht="15" hidden="false" customHeight="false" outlineLevel="0" collapsed="false">
      <c r="A283" s="28"/>
      <c r="B283" s="28"/>
      <c r="C283" s="28"/>
      <c r="D283" s="28"/>
      <c r="E283" s="28"/>
      <c r="F283" s="28"/>
      <c r="G283" s="28"/>
      <c r="H283" s="28"/>
      <c r="I283" s="29" t="str">
        <f aca="false">IF(OR(G283="",H283=""),"",IF(G283=H283,"Yes","No"))</f>
        <v/>
      </c>
      <c r="J283" s="28"/>
      <c r="K283" s="29" t="str">
        <f aca="false">IF(E283="Snowballing","n/a",IF(AND(G283="",H283=""),"",IF(OR(G283="",H283=""),"Waiting",IF(G283=H283,G283,IF(AND(G283&lt;&gt;"Exclude",H283&lt;&gt;"Exclude"),"Maybe",IF(J283&lt;&gt;"",J283,"Pending"))))))</f>
        <v/>
      </c>
      <c r="L283" s="28"/>
      <c r="M283" s="28"/>
      <c r="N283" s="28"/>
      <c r="O283" s="28"/>
      <c r="P283" s="28"/>
    </row>
    <row r="284" customFormat="false" ht="15" hidden="false" customHeight="false" outlineLevel="0" collapsed="false">
      <c r="A284" s="28"/>
      <c r="B284" s="28"/>
      <c r="C284" s="28"/>
      <c r="D284" s="28"/>
      <c r="E284" s="28"/>
      <c r="F284" s="28"/>
      <c r="G284" s="28"/>
      <c r="H284" s="28"/>
      <c r="I284" s="29" t="str">
        <f aca="false">IF(OR(G284="",H284=""),"",IF(G284=H284,"Yes","No"))</f>
        <v/>
      </c>
      <c r="J284" s="28"/>
      <c r="K284" s="29" t="str">
        <f aca="false">IF(E284="Snowballing","n/a",IF(AND(G284="",H284=""),"",IF(OR(G284="",H284=""),"Waiting",IF(G284=H284,G284,IF(AND(G284&lt;&gt;"Exclude",H284&lt;&gt;"Exclude"),"Maybe",IF(J284&lt;&gt;"",J284,"Pending"))))))</f>
        <v/>
      </c>
      <c r="L284" s="28"/>
      <c r="M284" s="28"/>
      <c r="N284" s="28"/>
      <c r="O284" s="28"/>
      <c r="P284" s="28"/>
    </row>
    <row r="285" customFormat="false" ht="15" hidden="false" customHeight="false" outlineLevel="0" collapsed="false">
      <c r="A285" s="28"/>
      <c r="B285" s="28"/>
      <c r="C285" s="28"/>
      <c r="D285" s="28"/>
      <c r="E285" s="28"/>
      <c r="F285" s="28"/>
      <c r="G285" s="28"/>
      <c r="H285" s="28"/>
      <c r="I285" s="29" t="str">
        <f aca="false">IF(OR(G285="",H285=""),"",IF(G285=H285,"Yes","No"))</f>
        <v/>
      </c>
      <c r="J285" s="28"/>
      <c r="K285" s="29" t="str">
        <f aca="false">IF(E285="Snowballing","n/a",IF(AND(G285="",H285=""),"",IF(OR(G285="",H285=""),"Waiting",IF(G285=H285,G285,IF(AND(G285&lt;&gt;"Exclude",H285&lt;&gt;"Exclude"),"Maybe",IF(J285&lt;&gt;"",J285,"Pending"))))))</f>
        <v/>
      </c>
      <c r="L285" s="28"/>
      <c r="M285" s="28"/>
      <c r="N285" s="28"/>
      <c r="O285" s="28"/>
      <c r="P285" s="28"/>
    </row>
    <row r="286" customFormat="false" ht="15" hidden="false" customHeight="false" outlineLevel="0" collapsed="false">
      <c r="A286" s="28"/>
      <c r="B286" s="28"/>
      <c r="C286" s="28"/>
      <c r="D286" s="28"/>
      <c r="E286" s="28"/>
      <c r="F286" s="28"/>
      <c r="G286" s="28"/>
      <c r="H286" s="28"/>
      <c r="I286" s="29" t="str">
        <f aca="false">IF(OR(G286="",H286=""),"",IF(G286=H286,"Yes","No"))</f>
        <v/>
      </c>
      <c r="J286" s="28"/>
      <c r="K286" s="29" t="str">
        <f aca="false">IF(E286="Snowballing","n/a",IF(AND(G286="",H286=""),"",IF(OR(G286="",H286=""),"Waiting",IF(G286=H286,G286,IF(AND(G286&lt;&gt;"Exclude",H286&lt;&gt;"Exclude"),"Maybe",IF(J286&lt;&gt;"",J286,"Pending"))))))</f>
        <v/>
      </c>
      <c r="L286" s="28"/>
      <c r="M286" s="28"/>
      <c r="N286" s="28"/>
      <c r="O286" s="28"/>
      <c r="P286" s="28"/>
    </row>
    <row r="287" customFormat="false" ht="15" hidden="false" customHeight="false" outlineLevel="0" collapsed="false">
      <c r="A287" s="28"/>
      <c r="B287" s="28"/>
      <c r="C287" s="28"/>
      <c r="D287" s="28"/>
      <c r="E287" s="28"/>
      <c r="F287" s="28"/>
      <c r="G287" s="28"/>
      <c r="H287" s="28"/>
      <c r="I287" s="29" t="str">
        <f aca="false">IF(OR(G287="",H287=""),"",IF(G287=H287,"Yes","No"))</f>
        <v/>
      </c>
      <c r="J287" s="28"/>
      <c r="K287" s="29" t="str">
        <f aca="false">IF(E287="Snowballing","n/a",IF(AND(G287="",H287=""),"",IF(OR(G287="",H287=""),"Waiting",IF(G287=H287,G287,IF(AND(G287&lt;&gt;"Exclude",H287&lt;&gt;"Exclude"),"Maybe",IF(J287&lt;&gt;"",J287,"Pending"))))))</f>
        <v/>
      </c>
      <c r="L287" s="28"/>
      <c r="M287" s="28"/>
      <c r="N287" s="28"/>
      <c r="O287" s="28"/>
      <c r="P287" s="28"/>
    </row>
    <row r="288" customFormat="false" ht="15" hidden="false" customHeight="false" outlineLevel="0" collapsed="false">
      <c r="A288" s="28"/>
      <c r="B288" s="28"/>
      <c r="C288" s="28"/>
      <c r="D288" s="28"/>
      <c r="E288" s="28"/>
      <c r="F288" s="28"/>
      <c r="G288" s="28"/>
      <c r="H288" s="28"/>
      <c r="I288" s="29" t="str">
        <f aca="false">IF(OR(G288="",H288=""),"",IF(G288=H288,"Yes","No"))</f>
        <v/>
      </c>
      <c r="J288" s="28"/>
      <c r="K288" s="29" t="str">
        <f aca="false">IF(E288="Snowballing","n/a",IF(AND(G288="",H288=""),"",IF(OR(G288="",H288=""),"Waiting",IF(G288=H288,G288,IF(AND(G288&lt;&gt;"Exclude",H288&lt;&gt;"Exclude"),"Maybe",IF(J288&lt;&gt;"",J288,"Pending"))))))</f>
        <v/>
      </c>
      <c r="L288" s="28"/>
      <c r="M288" s="28"/>
      <c r="N288" s="28"/>
      <c r="O288" s="28"/>
      <c r="P288" s="28"/>
    </row>
    <row r="289" customFormat="false" ht="15" hidden="false" customHeight="false" outlineLevel="0" collapsed="false">
      <c r="A289" s="28"/>
      <c r="B289" s="28"/>
      <c r="C289" s="28"/>
      <c r="D289" s="28"/>
      <c r="E289" s="28"/>
      <c r="F289" s="28"/>
      <c r="G289" s="28"/>
      <c r="H289" s="28"/>
      <c r="I289" s="29" t="str">
        <f aca="false">IF(OR(G289="",H289=""),"",IF(G289=H289,"Yes","No"))</f>
        <v/>
      </c>
      <c r="J289" s="28"/>
      <c r="K289" s="29" t="str">
        <f aca="false">IF(E289="Snowballing","n/a",IF(AND(G289="",H289=""),"",IF(OR(G289="",H289=""),"Waiting",IF(G289=H289,G289,IF(AND(G289&lt;&gt;"Exclude",H289&lt;&gt;"Exclude"),"Maybe",IF(J289&lt;&gt;"",J289,"Pending"))))))</f>
        <v/>
      </c>
      <c r="L289" s="28"/>
      <c r="M289" s="28"/>
      <c r="N289" s="28"/>
      <c r="O289" s="28"/>
      <c r="P289" s="28"/>
    </row>
    <row r="290" customFormat="false" ht="15" hidden="false" customHeight="false" outlineLevel="0" collapsed="false">
      <c r="A290" s="28"/>
      <c r="B290" s="28"/>
      <c r="C290" s="28"/>
      <c r="D290" s="28"/>
      <c r="E290" s="28"/>
      <c r="F290" s="28"/>
      <c r="G290" s="28"/>
      <c r="H290" s="28"/>
      <c r="I290" s="29" t="str">
        <f aca="false">IF(OR(G290="",H290=""),"",IF(G290=H290,"Yes","No"))</f>
        <v/>
      </c>
      <c r="J290" s="28"/>
      <c r="K290" s="29" t="str">
        <f aca="false">IF(E290="Snowballing","n/a",IF(AND(G290="",H290=""),"",IF(OR(G290="",H290=""),"Waiting",IF(G290=H290,G290,IF(AND(G290&lt;&gt;"Exclude",H290&lt;&gt;"Exclude"),"Maybe",IF(J290&lt;&gt;"",J290,"Pending"))))))</f>
        <v/>
      </c>
      <c r="L290" s="28"/>
      <c r="M290" s="28"/>
      <c r="N290" s="28"/>
      <c r="O290" s="28"/>
      <c r="P290" s="28"/>
    </row>
    <row r="291" customFormat="false" ht="15" hidden="false" customHeight="false" outlineLevel="0" collapsed="false">
      <c r="A291" s="28"/>
      <c r="B291" s="28"/>
      <c r="C291" s="28"/>
      <c r="D291" s="28"/>
      <c r="E291" s="28"/>
      <c r="F291" s="28"/>
      <c r="G291" s="28"/>
      <c r="H291" s="28"/>
      <c r="I291" s="29" t="str">
        <f aca="false">IF(OR(G291="",H291=""),"",IF(G291=H291,"Yes","No"))</f>
        <v/>
      </c>
      <c r="J291" s="28"/>
      <c r="K291" s="29" t="str">
        <f aca="false">IF(E291="Snowballing","n/a",IF(AND(G291="",H291=""),"",IF(OR(G291="",H291=""),"Waiting",IF(G291=H291,G291,IF(AND(G291&lt;&gt;"Exclude",H291&lt;&gt;"Exclude"),"Maybe",IF(J291&lt;&gt;"",J291,"Pending"))))))</f>
        <v/>
      </c>
      <c r="L291" s="28"/>
      <c r="M291" s="28"/>
      <c r="N291" s="28"/>
      <c r="O291" s="28"/>
      <c r="P291" s="28"/>
    </row>
    <row r="292" customFormat="false" ht="15" hidden="false" customHeight="false" outlineLevel="0" collapsed="false">
      <c r="A292" s="28"/>
      <c r="B292" s="28"/>
      <c r="C292" s="28"/>
      <c r="D292" s="28"/>
      <c r="E292" s="28"/>
      <c r="F292" s="28"/>
      <c r="G292" s="28"/>
      <c r="H292" s="28"/>
      <c r="I292" s="29" t="str">
        <f aca="false">IF(OR(G292="",H292=""),"",IF(G292=H292,"Yes","No"))</f>
        <v/>
      </c>
      <c r="J292" s="28"/>
      <c r="K292" s="29" t="str">
        <f aca="false">IF(E292="Snowballing","n/a",IF(AND(G292="",H292=""),"",IF(OR(G292="",H292=""),"Waiting",IF(G292=H292,G292,IF(AND(G292&lt;&gt;"Exclude",H292&lt;&gt;"Exclude"),"Maybe",IF(J292&lt;&gt;"",J292,"Pending"))))))</f>
        <v/>
      </c>
      <c r="L292" s="28"/>
      <c r="M292" s="28"/>
      <c r="N292" s="28"/>
      <c r="O292" s="28"/>
      <c r="P292" s="28"/>
    </row>
    <row r="293" customFormat="false" ht="15" hidden="false" customHeight="false" outlineLevel="0" collapsed="false">
      <c r="A293" s="28"/>
      <c r="B293" s="28"/>
      <c r="C293" s="28"/>
      <c r="D293" s="28"/>
      <c r="E293" s="28"/>
      <c r="F293" s="28"/>
      <c r="G293" s="28"/>
      <c r="H293" s="28"/>
      <c r="I293" s="29" t="str">
        <f aca="false">IF(OR(G293="",H293=""),"",IF(G293=H293,"Yes","No"))</f>
        <v/>
      </c>
      <c r="J293" s="28"/>
      <c r="K293" s="29" t="str">
        <f aca="false">IF(E293="Snowballing","n/a",IF(AND(G293="",H293=""),"",IF(OR(G293="",H293=""),"Waiting",IF(G293=H293,G293,IF(AND(G293&lt;&gt;"Exclude",H293&lt;&gt;"Exclude"),"Maybe",IF(J293&lt;&gt;"",J293,"Pending"))))))</f>
        <v/>
      </c>
      <c r="L293" s="28"/>
      <c r="M293" s="28"/>
      <c r="N293" s="28"/>
      <c r="O293" s="28"/>
      <c r="P293" s="28"/>
    </row>
    <row r="294" customFormat="false" ht="15" hidden="false" customHeight="false" outlineLevel="0" collapsed="false">
      <c r="A294" s="28"/>
      <c r="B294" s="28"/>
      <c r="C294" s="28"/>
      <c r="D294" s="28"/>
      <c r="E294" s="28"/>
      <c r="F294" s="28"/>
      <c r="G294" s="28"/>
      <c r="H294" s="28"/>
      <c r="I294" s="29" t="str">
        <f aca="false">IF(OR(G294="",H294=""),"",IF(G294=H294,"Yes","No"))</f>
        <v/>
      </c>
      <c r="J294" s="28"/>
      <c r="K294" s="29" t="str">
        <f aca="false">IF(E294="Snowballing","n/a",IF(AND(G294="",H294=""),"",IF(OR(G294="",H294=""),"Waiting",IF(G294=H294,G294,IF(AND(G294&lt;&gt;"Exclude",H294&lt;&gt;"Exclude"),"Maybe",IF(J294&lt;&gt;"",J294,"Pending"))))))</f>
        <v/>
      </c>
      <c r="L294" s="28"/>
      <c r="M294" s="28"/>
      <c r="N294" s="28"/>
      <c r="O294" s="28"/>
      <c r="P294" s="28"/>
    </row>
    <row r="295" customFormat="false" ht="15" hidden="false" customHeight="false" outlineLevel="0" collapsed="false">
      <c r="A295" s="28"/>
      <c r="B295" s="28"/>
      <c r="C295" s="28"/>
      <c r="D295" s="28"/>
      <c r="E295" s="28"/>
      <c r="F295" s="28"/>
      <c r="G295" s="28"/>
      <c r="H295" s="28"/>
      <c r="I295" s="29" t="str">
        <f aca="false">IF(OR(G295="",H295=""),"",IF(G295=H295,"Yes","No"))</f>
        <v/>
      </c>
      <c r="J295" s="28"/>
      <c r="K295" s="29" t="str">
        <f aca="false">IF(E295="Snowballing","n/a",IF(AND(G295="",H295=""),"",IF(OR(G295="",H295=""),"Waiting",IF(G295=H295,G295,IF(AND(G295&lt;&gt;"Exclude",H295&lt;&gt;"Exclude"),"Maybe",IF(J295&lt;&gt;"",J295,"Pending"))))))</f>
        <v/>
      </c>
      <c r="L295" s="28"/>
      <c r="M295" s="28"/>
      <c r="N295" s="28"/>
      <c r="O295" s="28"/>
      <c r="P295" s="28"/>
    </row>
    <row r="296" customFormat="false" ht="15" hidden="false" customHeight="false" outlineLevel="0" collapsed="false">
      <c r="A296" s="28"/>
      <c r="B296" s="28"/>
      <c r="C296" s="28"/>
      <c r="D296" s="28"/>
      <c r="E296" s="28"/>
      <c r="F296" s="28"/>
      <c r="G296" s="28"/>
      <c r="H296" s="28"/>
      <c r="I296" s="29" t="str">
        <f aca="false">IF(OR(G296="",H296=""),"",IF(G296=H296,"Yes","No"))</f>
        <v/>
      </c>
      <c r="J296" s="28"/>
      <c r="K296" s="29" t="str">
        <f aca="false">IF(E296="Snowballing","n/a",IF(AND(G296="",H296=""),"",IF(OR(G296="",H296=""),"Waiting",IF(G296=H296,G296,IF(AND(G296&lt;&gt;"Exclude",H296&lt;&gt;"Exclude"),"Maybe",IF(J296&lt;&gt;"",J296,"Pending"))))))</f>
        <v/>
      </c>
      <c r="L296" s="28"/>
      <c r="M296" s="28"/>
      <c r="N296" s="28"/>
      <c r="O296" s="28"/>
      <c r="P296" s="28"/>
    </row>
    <row r="297" customFormat="false" ht="15" hidden="false" customHeight="false" outlineLevel="0" collapsed="false">
      <c r="A297" s="28"/>
      <c r="B297" s="28"/>
      <c r="C297" s="28"/>
      <c r="D297" s="28"/>
      <c r="E297" s="28"/>
      <c r="F297" s="28"/>
      <c r="G297" s="28"/>
      <c r="H297" s="28"/>
      <c r="I297" s="29" t="str">
        <f aca="false">IF(OR(G297="",H297=""),"",IF(G297=H297,"Yes","No"))</f>
        <v/>
      </c>
      <c r="J297" s="28"/>
      <c r="K297" s="29" t="str">
        <f aca="false">IF(E297="Snowballing","n/a",IF(AND(G297="",H297=""),"",IF(OR(G297="",H297=""),"Waiting",IF(G297=H297,G297,IF(AND(G297&lt;&gt;"Exclude",H297&lt;&gt;"Exclude"),"Maybe",IF(J297&lt;&gt;"",J297,"Pending"))))))</f>
        <v/>
      </c>
      <c r="L297" s="28"/>
      <c r="M297" s="28"/>
      <c r="N297" s="28"/>
      <c r="O297" s="28"/>
      <c r="P297" s="28"/>
    </row>
    <row r="298" customFormat="false" ht="15" hidden="false" customHeight="false" outlineLevel="0" collapsed="false">
      <c r="A298" s="28"/>
      <c r="B298" s="28"/>
      <c r="C298" s="28"/>
      <c r="D298" s="28"/>
      <c r="E298" s="28"/>
      <c r="F298" s="28"/>
      <c r="G298" s="28"/>
      <c r="H298" s="28"/>
      <c r="I298" s="29" t="str">
        <f aca="false">IF(OR(G298="",H298=""),"",IF(G298=H298,"Yes","No"))</f>
        <v/>
      </c>
      <c r="J298" s="28"/>
      <c r="K298" s="29" t="str">
        <f aca="false">IF(E298="Snowballing","n/a",IF(AND(G298="",H298=""),"",IF(OR(G298="",H298=""),"Waiting",IF(G298=H298,G298,IF(AND(G298&lt;&gt;"Exclude",H298&lt;&gt;"Exclude"),"Maybe",IF(J298&lt;&gt;"",J298,"Pending"))))))</f>
        <v/>
      </c>
      <c r="L298" s="28"/>
      <c r="M298" s="28"/>
      <c r="N298" s="28"/>
      <c r="O298" s="28"/>
      <c r="P298" s="28"/>
    </row>
    <row r="299" customFormat="false" ht="15" hidden="false" customHeight="false" outlineLevel="0" collapsed="false">
      <c r="A299" s="28"/>
      <c r="B299" s="28"/>
      <c r="C299" s="28"/>
      <c r="D299" s="28"/>
      <c r="E299" s="28"/>
      <c r="F299" s="28"/>
      <c r="G299" s="28"/>
      <c r="H299" s="28"/>
      <c r="I299" s="29" t="str">
        <f aca="false">IF(OR(G299="",H299=""),"",IF(G299=H299,"Yes","No"))</f>
        <v/>
      </c>
      <c r="J299" s="28"/>
      <c r="K299" s="29" t="str">
        <f aca="false">IF(E299="Snowballing","n/a",IF(AND(G299="",H299=""),"",IF(OR(G299="",H299=""),"Waiting",IF(G299=H299,G299,IF(AND(G299&lt;&gt;"Exclude",H299&lt;&gt;"Exclude"),"Maybe",IF(J299&lt;&gt;"",J299,"Pending"))))))</f>
        <v/>
      </c>
      <c r="L299" s="28"/>
      <c r="M299" s="28"/>
      <c r="N299" s="28"/>
      <c r="O299" s="28"/>
      <c r="P299" s="28"/>
    </row>
    <row r="300" customFormat="false" ht="15" hidden="false" customHeight="false" outlineLevel="0" collapsed="false">
      <c r="A300" s="28"/>
      <c r="B300" s="28"/>
      <c r="C300" s="28"/>
      <c r="D300" s="28"/>
      <c r="E300" s="28"/>
      <c r="F300" s="28"/>
      <c r="G300" s="28"/>
      <c r="H300" s="28"/>
      <c r="I300" s="29" t="str">
        <f aca="false">IF(OR(G300="",H300=""),"",IF(G300=H300,"Yes","No"))</f>
        <v/>
      </c>
      <c r="J300" s="28"/>
      <c r="K300" s="29" t="str">
        <f aca="false">IF(E300="Snowballing","n/a",IF(AND(G300="",H300=""),"",IF(OR(G300="",H300=""),"Waiting",IF(G300=H300,G300,IF(AND(G300&lt;&gt;"Exclude",H300&lt;&gt;"Exclude"),"Maybe",IF(J300&lt;&gt;"",J300,"Pending"))))))</f>
        <v/>
      </c>
      <c r="L300" s="28"/>
      <c r="M300" s="28"/>
      <c r="N300" s="28"/>
      <c r="O300" s="28"/>
      <c r="P300" s="28"/>
    </row>
    <row r="301" customFormat="false" ht="15" hidden="false" customHeight="false" outlineLevel="0" collapsed="false">
      <c r="A301" s="28"/>
      <c r="B301" s="28"/>
      <c r="C301" s="28"/>
      <c r="D301" s="28"/>
      <c r="E301" s="28"/>
      <c r="F301" s="28"/>
      <c r="G301" s="28"/>
      <c r="H301" s="28"/>
      <c r="I301" s="29" t="str">
        <f aca="false">IF(OR(G301="",H301=""),"",IF(G301=H301,"Yes","No"))</f>
        <v/>
      </c>
      <c r="J301" s="28"/>
      <c r="K301" s="29" t="str">
        <f aca="false">IF(E301="Snowballing","n/a",IF(AND(G301="",H301=""),"",IF(OR(G301="",H301=""),"Waiting",IF(G301=H301,G301,IF(AND(G301&lt;&gt;"Exclude",H301&lt;&gt;"Exclude"),"Maybe",IF(J301&lt;&gt;"",J301,"Pending"))))))</f>
        <v/>
      </c>
      <c r="L301" s="28"/>
      <c r="M301" s="28"/>
      <c r="N301" s="28"/>
      <c r="O301" s="28"/>
      <c r="P301" s="28"/>
    </row>
    <row r="302" customFormat="false" ht="15" hidden="false" customHeight="false" outlineLevel="0" collapsed="false">
      <c r="A302" s="28"/>
      <c r="B302" s="28"/>
      <c r="C302" s="28"/>
      <c r="D302" s="28"/>
      <c r="E302" s="28"/>
      <c r="F302" s="28"/>
      <c r="G302" s="28"/>
      <c r="H302" s="28"/>
      <c r="I302" s="29" t="str">
        <f aca="false">IF(OR(G302="",H302=""),"",IF(G302=H302,"Yes","No"))</f>
        <v/>
      </c>
      <c r="J302" s="28"/>
      <c r="K302" s="29" t="str">
        <f aca="false">IF(E302="Snowballing","n/a",IF(AND(G302="",H302=""),"",IF(OR(G302="",H302=""),"Waiting",IF(G302=H302,G302,IF(AND(G302&lt;&gt;"Exclude",H302&lt;&gt;"Exclude"),"Maybe",IF(J302&lt;&gt;"",J302,"Pending"))))))</f>
        <v/>
      </c>
      <c r="L302" s="28"/>
      <c r="M302" s="28"/>
      <c r="N302" s="28"/>
      <c r="O302" s="28"/>
      <c r="P302" s="28"/>
    </row>
    <row r="303" customFormat="false" ht="15" hidden="false" customHeight="false" outlineLevel="0" collapsed="false">
      <c r="A303" s="28"/>
      <c r="B303" s="28"/>
      <c r="C303" s="28"/>
      <c r="D303" s="28"/>
      <c r="E303" s="28"/>
      <c r="F303" s="28"/>
      <c r="G303" s="28"/>
      <c r="H303" s="28"/>
      <c r="I303" s="29" t="str">
        <f aca="false">IF(OR(G303="",H303=""),"",IF(G303=H303,"Yes","No"))</f>
        <v/>
      </c>
      <c r="J303" s="28"/>
      <c r="K303" s="29" t="str">
        <f aca="false">IF(E303="Snowballing","n/a",IF(AND(G303="",H303=""),"",IF(OR(G303="",H303=""),"Waiting",IF(G303=H303,G303,IF(AND(G303&lt;&gt;"Exclude",H303&lt;&gt;"Exclude"),"Maybe",IF(J303&lt;&gt;"",J303,"Pending"))))))</f>
        <v/>
      </c>
      <c r="L303" s="28"/>
      <c r="M303" s="28"/>
      <c r="N303" s="28"/>
      <c r="O303" s="28"/>
      <c r="P303" s="28"/>
    </row>
    <row r="304" customFormat="false" ht="15" hidden="false" customHeight="false" outlineLevel="0" collapsed="false">
      <c r="A304" s="28"/>
      <c r="B304" s="28"/>
      <c r="C304" s="28"/>
      <c r="D304" s="28"/>
      <c r="E304" s="28"/>
      <c r="F304" s="28"/>
      <c r="G304" s="28"/>
      <c r="H304" s="28"/>
      <c r="I304" s="29" t="str">
        <f aca="false">IF(OR(G304="",H304=""),"",IF(G304=H304,"Yes","No"))</f>
        <v/>
      </c>
      <c r="J304" s="28"/>
      <c r="K304" s="29" t="str">
        <f aca="false">IF(E304="Snowballing","n/a",IF(AND(G304="",H304=""),"",IF(OR(G304="",H304=""),"Waiting",IF(G304=H304,G304,IF(AND(G304&lt;&gt;"Exclude",H304&lt;&gt;"Exclude"),"Maybe",IF(J304&lt;&gt;"",J304,"Pending"))))))</f>
        <v/>
      </c>
      <c r="L304" s="28"/>
      <c r="M304" s="28"/>
      <c r="N304" s="28"/>
      <c r="O304" s="28"/>
      <c r="P304" s="28"/>
    </row>
    <row r="305" customFormat="false" ht="15" hidden="false" customHeight="false" outlineLevel="0" collapsed="false">
      <c r="A305" s="28"/>
      <c r="B305" s="28"/>
      <c r="C305" s="28"/>
      <c r="D305" s="28"/>
      <c r="E305" s="28"/>
      <c r="F305" s="28"/>
      <c r="G305" s="28"/>
      <c r="H305" s="28"/>
      <c r="I305" s="29" t="str">
        <f aca="false">IF(OR(G305="",H305=""),"",IF(G305=H305,"Yes","No"))</f>
        <v/>
      </c>
      <c r="J305" s="28"/>
      <c r="K305" s="29" t="str">
        <f aca="false">IF(E305="Snowballing","n/a",IF(AND(G305="",H305=""),"",IF(OR(G305="",H305=""),"Waiting",IF(G305=H305,G305,IF(AND(G305&lt;&gt;"Exclude",H305&lt;&gt;"Exclude"),"Maybe",IF(J305&lt;&gt;"",J305,"Pending"))))))</f>
        <v/>
      </c>
      <c r="L305" s="28"/>
      <c r="M305" s="28"/>
      <c r="N305" s="28"/>
      <c r="O305" s="28"/>
      <c r="P305" s="28"/>
    </row>
    <row r="306" customFormat="false" ht="15" hidden="false" customHeight="false" outlineLevel="0" collapsed="false">
      <c r="A306" s="28"/>
      <c r="B306" s="28"/>
      <c r="C306" s="28"/>
      <c r="D306" s="28"/>
      <c r="E306" s="28"/>
      <c r="F306" s="28"/>
      <c r="G306" s="28"/>
      <c r="H306" s="28"/>
      <c r="I306" s="29" t="str">
        <f aca="false">IF(OR(G306="",H306=""),"",IF(G306=H306,"Yes","No"))</f>
        <v/>
      </c>
      <c r="J306" s="28"/>
      <c r="K306" s="29" t="str">
        <f aca="false">IF(E306="Snowballing","n/a",IF(AND(G306="",H306=""),"",IF(OR(G306="",H306=""),"Waiting",IF(G306=H306,G306,IF(AND(G306&lt;&gt;"Exclude",H306&lt;&gt;"Exclude"),"Maybe",IF(J306&lt;&gt;"",J306,"Pending"))))))</f>
        <v/>
      </c>
      <c r="L306" s="28"/>
      <c r="M306" s="28"/>
      <c r="N306" s="28"/>
      <c r="O306" s="28"/>
      <c r="P306" s="28"/>
    </row>
    <row r="307" customFormat="false" ht="15" hidden="false" customHeight="false" outlineLevel="0" collapsed="false">
      <c r="A307" s="28"/>
      <c r="B307" s="28"/>
      <c r="C307" s="28"/>
      <c r="D307" s="28"/>
      <c r="E307" s="28"/>
      <c r="F307" s="28"/>
      <c r="G307" s="28"/>
      <c r="H307" s="28"/>
      <c r="I307" s="29" t="str">
        <f aca="false">IF(OR(G307="",H307=""),"",IF(G307=H307,"Yes","No"))</f>
        <v/>
      </c>
      <c r="J307" s="28"/>
      <c r="K307" s="29" t="str">
        <f aca="false">IF(E307="Snowballing","n/a",IF(AND(G307="",H307=""),"",IF(OR(G307="",H307=""),"Waiting",IF(G307=H307,G307,IF(AND(G307&lt;&gt;"Exclude",H307&lt;&gt;"Exclude"),"Maybe",IF(J307&lt;&gt;"",J307,"Pending"))))))</f>
        <v/>
      </c>
      <c r="L307" s="28"/>
      <c r="M307" s="28"/>
      <c r="N307" s="28"/>
      <c r="O307" s="28"/>
      <c r="P307" s="28"/>
    </row>
    <row r="308" customFormat="false" ht="15" hidden="false" customHeight="false" outlineLevel="0" collapsed="false">
      <c r="A308" s="28"/>
      <c r="B308" s="28"/>
      <c r="C308" s="28"/>
      <c r="D308" s="28"/>
      <c r="E308" s="28"/>
      <c r="F308" s="28"/>
      <c r="G308" s="28"/>
      <c r="H308" s="28"/>
      <c r="I308" s="29" t="str">
        <f aca="false">IF(OR(G308="",H308=""),"",IF(G308=H308,"Yes","No"))</f>
        <v/>
      </c>
      <c r="J308" s="28"/>
      <c r="K308" s="29" t="str">
        <f aca="false">IF(E308="Snowballing","n/a",IF(AND(G308="",H308=""),"",IF(OR(G308="",H308=""),"Waiting",IF(G308=H308,G308,IF(AND(G308&lt;&gt;"Exclude",H308&lt;&gt;"Exclude"),"Maybe",IF(J308&lt;&gt;"",J308,"Pending"))))))</f>
        <v/>
      </c>
      <c r="L308" s="28"/>
      <c r="M308" s="28"/>
      <c r="N308" s="28"/>
      <c r="O308" s="28"/>
      <c r="P308" s="28"/>
    </row>
    <row r="309" customFormat="false" ht="15" hidden="false" customHeight="false" outlineLevel="0" collapsed="false">
      <c r="A309" s="28"/>
      <c r="B309" s="28"/>
      <c r="C309" s="28"/>
      <c r="D309" s="28"/>
      <c r="E309" s="28"/>
      <c r="F309" s="28"/>
      <c r="G309" s="28"/>
      <c r="H309" s="28"/>
      <c r="I309" s="29" t="str">
        <f aca="false">IF(OR(G309="",H309=""),"",IF(G309=H309,"Yes","No"))</f>
        <v/>
      </c>
      <c r="J309" s="28"/>
      <c r="K309" s="29" t="str">
        <f aca="false">IF(E309="Snowballing","n/a",IF(AND(G309="",H309=""),"",IF(OR(G309="",H309=""),"Waiting",IF(G309=H309,G309,IF(AND(G309&lt;&gt;"Exclude",H309&lt;&gt;"Exclude"),"Maybe",IF(J309&lt;&gt;"",J309,"Pending"))))))</f>
        <v/>
      </c>
      <c r="L309" s="28"/>
      <c r="M309" s="28"/>
      <c r="N309" s="28"/>
      <c r="O309" s="28"/>
      <c r="P309" s="28"/>
    </row>
    <row r="310" customFormat="false" ht="15" hidden="false" customHeight="false" outlineLevel="0" collapsed="false">
      <c r="A310" s="28"/>
      <c r="B310" s="28"/>
      <c r="C310" s="28"/>
      <c r="D310" s="28"/>
      <c r="E310" s="28"/>
      <c r="F310" s="28"/>
      <c r="G310" s="28"/>
      <c r="H310" s="28"/>
      <c r="I310" s="29" t="str">
        <f aca="false">IF(OR(G310="",H310=""),"",IF(G310=H310,"Yes","No"))</f>
        <v/>
      </c>
      <c r="J310" s="28"/>
      <c r="K310" s="29" t="str">
        <f aca="false">IF(E310="Snowballing","n/a",IF(AND(G310="",H310=""),"",IF(OR(G310="",H310=""),"Waiting",IF(G310=H310,G310,IF(AND(G310&lt;&gt;"Exclude",H310&lt;&gt;"Exclude"),"Maybe",IF(J310&lt;&gt;"",J310,"Pending"))))))</f>
        <v/>
      </c>
      <c r="L310" s="28"/>
      <c r="M310" s="28"/>
      <c r="N310" s="28"/>
      <c r="O310" s="28"/>
      <c r="P310" s="28"/>
    </row>
    <row r="311" customFormat="false" ht="15" hidden="false" customHeight="false" outlineLevel="0" collapsed="false">
      <c r="A311" s="28"/>
      <c r="B311" s="28"/>
      <c r="C311" s="28"/>
      <c r="D311" s="28"/>
      <c r="E311" s="28"/>
      <c r="F311" s="28"/>
      <c r="G311" s="28"/>
      <c r="H311" s="28"/>
      <c r="I311" s="29" t="str">
        <f aca="false">IF(OR(G311="",H311=""),"",IF(G311=H311,"Yes","No"))</f>
        <v/>
      </c>
      <c r="J311" s="28"/>
      <c r="K311" s="29" t="str">
        <f aca="false">IF(E311="Snowballing","n/a",IF(AND(G311="",H311=""),"",IF(OR(G311="",H311=""),"Waiting",IF(G311=H311,G311,IF(AND(G311&lt;&gt;"Exclude",H311&lt;&gt;"Exclude"),"Maybe",IF(J311&lt;&gt;"",J311,"Pending"))))))</f>
        <v/>
      </c>
      <c r="L311" s="28"/>
      <c r="M311" s="28"/>
      <c r="N311" s="28"/>
      <c r="O311" s="28"/>
      <c r="P311" s="28"/>
    </row>
    <row r="312" customFormat="false" ht="15" hidden="false" customHeight="false" outlineLevel="0" collapsed="false">
      <c r="A312" s="28"/>
      <c r="B312" s="28"/>
      <c r="C312" s="28"/>
      <c r="D312" s="28"/>
      <c r="E312" s="28"/>
      <c r="F312" s="28"/>
      <c r="G312" s="28"/>
      <c r="H312" s="28"/>
      <c r="I312" s="29" t="str">
        <f aca="false">IF(OR(G312="",H312=""),"",IF(G312=H312,"Yes","No"))</f>
        <v/>
      </c>
      <c r="J312" s="28"/>
      <c r="K312" s="29" t="str">
        <f aca="false">IF(E312="Snowballing","n/a",IF(AND(G312="",H312=""),"",IF(OR(G312="",H312=""),"Waiting",IF(G312=H312,G312,IF(AND(G312&lt;&gt;"Exclude",H312&lt;&gt;"Exclude"),"Maybe",IF(J312&lt;&gt;"",J312,"Pending"))))))</f>
        <v/>
      </c>
      <c r="L312" s="28"/>
      <c r="M312" s="28"/>
      <c r="N312" s="28"/>
      <c r="O312" s="28"/>
      <c r="P312" s="28"/>
    </row>
    <row r="313" customFormat="false" ht="15" hidden="false" customHeight="false" outlineLevel="0" collapsed="false">
      <c r="A313" s="28"/>
      <c r="B313" s="28"/>
      <c r="C313" s="28"/>
      <c r="D313" s="28"/>
      <c r="E313" s="28"/>
      <c r="F313" s="28"/>
      <c r="G313" s="28"/>
      <c r="H313" s="28"/>
      <c r="I313" s="29" t="str">
        <f aca="false">IF(OR(G313="",H313=""),"",IF(G313=H313,"Yes","No"))</f>
        <v/>
      </c>
      <c r="J313" s="28"/>
      <c r="K313" s="29" t="str">
        <f aca="false">IF(E313="Snowballing","n/a",IF(AND(G313="",H313=""),"",IF(OR(G313="",H313=""),"Waiting",IF(G313=H313,G313,IF(AND(G313&lt;&gt;"Exclude",H313&lt;&gt;"Exclude"),"Maybe",IF(J313&lt;&gt;"",J313,"Pending"))))))</f>
        <v/>
      </c>
      <c r="L313" s="28"/>
      <c r="M313" s="28"/>
      <c r="N313" s="28"/>
      <c r="O313" s="28"/>
      <c r="P313" s="28"/>
    </row>
    <row r="314" customFormat="false" ht="15" hidden="false" customHeight="false" outlineLevel="0" collapsed="false">
      <c r="A314" s="28"/>
      <c r="B314" s="28"/>
      <c r="C314" s="28"/>
      <c r="D314" s="28"/>
      <c r="E314" s="28"/>
      <c r="F314" s="28"/>
      <c r="G314" s="28"/>
      <c r="H314" s="28"/>
      <c r="I314" s="29" t="str">
        <f aca="false">IF(OR(G314="",H314=""),"",IF(G314=H314,"Yes","No"))</f>
        <v/>
      </c>
      <c r="J314" s="28"/>
      <c r="K314" s="29" t="str">
        <f aca="false">IF(E314="Snowballing","n/a",IF(AND(G314="",H314=""),"",IF(OR(G314="",H314=""),"Waiting",IF(G314=H314,G314,IF(AND(G314&lt;&gt;"Exclude",H314&lt;&gt;"Exclude"),"Maybe",IF(J314&lt;&gt;"",J314,"Pending"))))))</f>
        <v/>
      </c>
      <c r="L314" s="28"/>
      <c r="M314" s="28"/>
      <c r="N314" s="28"/>
      <c r="O314" s="28"/>
      <c r="P314" s="28"/>
    </row>
    <row r="315" customFormat="false" ht="15" hidden="false" customHeight="false" outlineLevel="0" collapsed="false">
      <c r="A315" s="28"/>
      <c r="B315" s="28"/>
      <c r="C315" s="28"/>
      <c r="D315" s="28"/>
      <c r="E315" s="28"/>
      <c r="F315" s="28"/>
      <c r="G315" s="28"/>
      <c r="H315" s="28"/>
      <c r="I315" s="29" t="str">
        <f aca="false">IF(OR(G315="",H315=""),"",IF(G315=H315,"Yes","No"))</f>
        <v/>
      </c>
      <c r="J315" s="28"/>
      <c r="K315" s="29" t="str">
        <f aca="false">IF(E315="Snowballing","n/a",IF(AND(G315="",H315=""),"",IF(OR(G315="",H315=""),"Waiting",IF(G315=H315,G315,IF(AND(G315&lt;&gt;"Exclude",H315&lt;&gt;"Exclude"),"Maybe",IF(J315&lt;&gt;"",J315,"Pending"))))))</f>
        <v/>
      </c>
      <c r="L315" s="28"/>
      <c r="M315" s="28"/>
      <c r="N315" s="28"/>
      <c r="O315" s="28"/>
      <c r="P315" s="28"/>
    </row>
    <row r="316" customFormat="false" ht="15" hidden="false" customHeight="false" outlineLevel="0" collapsed="false">
      <c r="A316" s="28"/>
      <c r="B316" s="28"/>
      <c r="C316" s="28"/>
      <c r="D316" s="28"/>
      <c r="E316" s="28"/>
      <c r="F316" s="28"/>
      <c r="G316" s="28"/>
      <c r="H316" s="28"/>
      <c r="I316" s="29" t="str">
        <f aca="false">IF(OR(G316="",H316=""),"",IF(G316=H316,"Yes","No"))</f>
        <v/>
      </c>
      <c r="J316" s="28"/>
      <c r="K316" s="29" t="str">
        <f aca="false">IF(E316="Snowballing","n/a",IF(AND(G316="",H316=""),"",IF(OR(G316="",H316=""),"Waiting",IF(G316=H316,G316,IF(AND(G316&lt;&gt;"Exclude",H316&lt;&gt;"Exclude"),"Maybe",IF(J316&lt;&gt;"",J316,"Pending"))))))</f>
        <v/>
      </c>
      <c r="L316" s="28"/>
      <c r="M316" s="28"/>
      <c r="N316" s="28"/>
      <c r="O316" s="28"/>
      <c r="P316" s="28"/>
    </row>
    <row r="317" customFormat="false" ht="15" hidden="false" customHeight="false" outlineLevel="0" collapsed="false">
      <c r="A317" s="28"/>
      <c r="B317" s="28"/>
      <c r="C317" s="28"/>
      <c r="D317" s="28"/>
      <c r="E317" s="28"/>
      <c r="F317" s="28"/>
      <c r="G317" s="28"/>
      <c r="H317" s="28"/>
      <c r="I317" s="29" t="str">
        <f aca="false">IF(OR(G317="",H317=""),"",IF(G317=H317,"Yes","No"))</f>
        <v/>
      </c>
      <c r="J317" s="28"/>
      <c r="K317" s="29" t="str">
        <f aca="false">IF(E317="Snowballing","n/a",IF(AND(G317="",H317=""),"",IF(OR(G317="",H317=""),"Waiting",IF(G317=H317,G317,IF(AND(G317&lt;&gt;"Exclude",H317&lt;&gt;"Exclude"),"Maybe",IF(J317&lt;&gt;"",J317,"Pending"))))))</f>
        <v/>
      </c>
      <c r="L317" s="28"/>
      <c r="M317" s="28"/>
      <c r="N317" s="28"/>
      <c r="O317" s="28"/>
      <c r="P317" s="28"/>
    </row>
    <row r="318" customFormat="false" ht="15" hidden="false" customHeight="false" outlineLevel="0" collapsed="false">
      <c r="A318" s="28"/>
      <c r="B318" s="28"/>
      <c r="C318" s="28"/>
      <c r="D318" s="28"/>
      <c r="E318" s="28"/>
      <c r="F318" s="28"/>
      <c r="G318" s="28"/>
      <c r="H318" s="28"/>
      <c r="I318" s="29" t="str">
        <f aca="false">IF(OR(G318="",H318=""),"",IF(G318=H318,"Yes","No"))</f>
        <v/>
      </c>
      <c r="J318" s="28"/>
      <c r="K318" s="29" t="str">
        <f aca="false">IF(E318="Snowballing","n/a",IF(AND(G318="",H318=""),"",IF(OR(G318="",H318=""),"Waiting",IF(G318=H318,G318,IF(AND(G318&lt;&gt;"Exclude",H318&lt;&gt;"Exclude"),"Maybe",IF(J318&lt;&gt;"",J318,"Pending"))))))</f>
        <v/>
      </c>
      <c r="L318" s="28"/>
      <c r="M318" s="28"/>
      <c r="N318" s="28"/>
      <c r="O318" s="28"/>
      <c r="P318" s="28"/>
    </row>
    <row r="319" customFormat="false" ht="15" hidden="false" customHeight="false" outlineLevel="0" collapsed="false">
      <c r="A319" s="28"/>
      <c r="B319" s="28"/>
      <c r="C319" s="28"/>
      <c r="D319" s="28"/>
      <c r="E319" s="28"/>
      <c r="F319" s="28"/>
      <c r="G319" s="28"/>
      <c r="H319" s="28"/>
      <c r="I319" s="29" t="str">
        <f aca="false">IF(OR(G319="",H319=""),"",IF(G319=H319,"Yes","No"))</f>
        <v/>
      </c>
      <c r="J319" s="28"/>
      <c r="K319" s="29" t="str">
        <f aca="false">IF(E319="Snowballing","n/a",IF(AND(G319="",H319=""),"",IF(OR(G319="",H319=""),"Waiting",IF(G319=H319,G319,IF(AND(G319&lt;&gt;"Exclude",H319&lt;&gt;"Exclude"),"Maybe",IF(J319&lt;&gt;"",J319,"Pending"))))))</f>
        <v/>
      </c>
      <c r="L319" s="28"/>
      <c r="M319" s="28"/>
      <c r="N319" s="28"/>
      <c r="O319" s="28"/>
      <c r="P319" s="28"/>
    </row>
    <row r="320" customFormat="false" ht="15" hidden="false" customHeight="false" outlineLevel="0" collapsed="false">
      <c r="A320" s="28"/>
      <c r="B320" s="28"/>
      <c r="C320" s="28"/>
      <c r="D320" s="28"/>
      <c r="E320" s="28"/>
      <c r="F320" s="28"/>
      <c r="G320" s="28"/>
      <c r="H320" s="28"/>
      <c r="I320" s="29" t="str">
        <f aca="false">IF(OR(G320="",H320=""),"",IF(G320=H320,"Yes","No"))</f>
        <v/>
      </c>
      <c r="J320" s="28"/>
      <c r="K320" s="29" t="str">
        <f aca="false">IF(E320="Snowballing","n/a",IF(AND(G320="",H320=""),"",IF(OR(G320="",H320=""),"Waiting",IF(G320=H320,G320,IF(AND(G320&lt;&gt;"Exclude",H320&lt;&gt;"Exclude"),"Maybe",IF(J320&lt;&gt;"",J320,"Pending"))))))</f>
        <v/>
      </c>
      <c r="L320" s="28"/>
      <c r="M320" s="28"/>
      <c r="N320" s="28"/>
      <c r="O320" s="28"/>
      <c r="P320" s="28"/>
    </row>
    <row r="321" customFormat="false" ht="15" hidden="false" customHeight="false" outlineLevel="0" collapsed="false">
      <c r="A321" s="28"/>
      <c r="B321" s="28"/>
      <c r="C321" s="28"/>
      <c r="D321" s="28"/>
      <c r="E321" s="28"/>
      <c r="F321" s="28"/>
      <c r="G321" s="28"/>
      <c r="H321" s="28"/>
      <c r="I321" s="29" t="str">
        <f aca="false">IF(OR(G321="",H321=""),"",IF(G321=H321,"Yes","No"))</f>
        <v/>
      </c>
      <c r="J321" s="28"/>
      <c r="K321" s="29" t="str">
        <f aca="false">IF(E321="Snowballing","n/a",IF(AND(G321="",H321=""),"",IF(OR(G321="",H321=""),"Waiting",IF(G321=H321,G321,IF(AND(G321&lt;&gt;"Exclude",H321&lt;&gt;"Exclude"),"Maybe",IF(J321&lt;&gt;"",J321,"Pending"))))))</f>
        <v/>
      </c>
      <c r="L321" s="28"/>
      <c r="M321" s="28"/>
      <c r="N321" s="28"/>
      <c r="O321" s="28"/>
      <c r="P321" s="28"/>
    </row>
    <row r="322" customFormat="false" ht="15" hidden="false" customHeight="false" outlineLevel="0" collapsed="false">
      <c r="A322" s="28"/>
      <c r="B322" s="28"/>
      <c r="C322" s="28"/>
      <c r="D322" s="28"/>
      <c r="E322" s="28"/>
      <c r="F322" s="28"/>
      <c r="G322" s="28"/>
      <c r="H322" s="28"/>
      <c r="I322" s="29" t="str">
        <f aca="false">IF(OR(G322="",H322=""),"",IF(G322=H322,"Yes","No"))</f>
        <v/>
      </c>
      <c r="J322" s="28"/>
      <c r="K322" s="29" t="str">
        <f aca="false">IF(E322="Snowballing","n/a",IF(AND(G322="",H322=""),"",IF(OR(G322="",H322=""),"Waiting",IF(G322=H322,G322,IF(AND(G322&lt;&gt;"Exclude",H322&lt;&gt;"Exclude"),"Maybe",IF(J322&lt;&gt;"",J322,"Pending"))))))</f>
        <v/>
      </c>
      <c r="L322" s="28"/>
      <c r="M322" s="28"/>
      <c r="N322" s="28"/>
      <c r="O322" s="28"/>
      <c r="P322" s="28"/>
    </row>
    <row r="323" customFormat="false" ht="15" hidden="false" customHeight="false" outlineLevel="0" collapsed="false">
      <c r="A323" s="28"/>
      <c r="B323" s="28"/>
      <c r="C323" s="28"/>
      <c r="D323" s="28"/>
      <c r="E323" s="28"/>
      <c r="F323" s="28"/>
      <c r="G323" s="28"/>
      <c r="H323" s="28"/>
      <c r="I323" s="29" t="str">
        <f aca="false">IF(OR(G323="",H323=""),"",IF(G323=H323,"Yes","No"))</f>
        <v/>
      </c>
      <c r="J323" s="28"/>
      <c r="K323" s="29" t="str">
        <f aca="false">IF(E323="Snowballing","n/a",IF(AND(G323="",H323=""),"",IF(OR(G323="",H323=""),"Waiting",IF(G323=H323,G323,IF(AND(G323&lt;&gt;"Exclude",H323&lt;&gt;"Exclude"),"Maybe",IF(J323&lt;&gt;"",J323,"Pending"))))))</f>
        <v/>
      </c>
      <c r="L323" s="28"/>
      <c r="M323" s="28"/>
      <c r="N323" s="28"/>
      <c r="O323" s="28"/>
      <c r="P323" s="28"/>
    </row>
    <row r="324" customFormat="false" ht="15" hidden="false" customHeight="false" outlineLevel="0" collapsed="false">
      <c r="A324" s="28"/>
      <c r="B324" s="28"/>
      <c r="C324" s="28"/>
      <c r="D324" s="28"/>
      <c r="E324" s="28"/>
      <c r="F324" s="28"/>
      <c r="G324" s="28"/>
      <c r="H324" s="28"/>
      <c r="I324" s="29" t="str">
        <f aca="false">IF(OR(G324="",H324=""),"",IF(G324=H324,"Yes","No"))</f>
        <v/>
      </c>
      <c r="J324" s="28"/>
      <c r="K324" s="29" t="str">
        <f aca="false">IF(E324="Snowballing","n/a",IF(AND(G324="",H324=""),"",IF(OR(G324="",H324=""),"Waiting",IF(G324=H324,G324,IF(AND(G324&lt;&gt;"Exclude",H324&lt;&gt;"Exclude"),"Maybe",IF(J324&lt;&gt;"",J324,"Pending"))))))</f>
        <v/>
      </c>
      <c r="L324" s="28"/>
      <c r="M324" s="28"/>
      <c r="N324" s="28"/>
      <c r="O324" s="28"/>
      <c r="P324" s="28"/>
    </row>
    <row r="325" customFormat="false" ht="15" hidden="false" customHeight="false" outlineLevel="0" collapsed="false">
      <c r="A325" s="28"/>
      <c r="B325" s="28"/>
      <c r="C325" s="28"/>
      <c r="D325" s="28"/>
      <c r="E325" s="28"/>
      <c r="F325" s="28"/>
      <c r="G325" s="28"/>
      <c r="H325" s="28"/>
      <c r="I325" s="29" t="str">
        <f aca="false">IF(OR(G325="",H325=""),"",IF(G325=H325,"Yes","No"))</f>
        <v/>
      </c>
      <c r="J325" s="28"/>
      <c r="K325" s="29" t="str">
        <f aca="false">IF(E325="Snowballing","n/a",IF(AND(G325="",H325=""),"",IF(OR(G325="",H325=""),"Waiting",IF(G325=H325,G325,IF(AND(G325&lt;&gt;"Exclude",H325&lt;&gt;"Exclude"),"Maybe",IF(J325&lt;&gt;"",J325,"Pending"))))))</f>
        <v/>
      </c>
      <c r="L325" s="28"/>
      <c r="M325" s="28"/>
      <c r="N325" s="28"/>
      <c r="O325" s="28"/>
      <c r="P325" s="28"/>
    </row>
    <row r="326" customFormat="false" ht="15" hidden="false" customHeight="false" outlineLevel="0" collapsed="false">
      <c r="A326" s="28"/>
      <c r="B326" s="28"/>
      <c r="C326" s="28"/>
      <c r="D326" s="28"/>
      <c r="E326" s="28"/>
      <c r="F326" s="28"/>
      <c r="G326" s="28"/>
      <c r="H326" s="28"/>
      <c r="I326" s="29" t="str">
        <f aca="false">IF(OR(G326="",H326=""),"",IF(G326=H326,"Yes","No"))</f>
        <v/>
      </c>
      <c r="J326" s="28"/>
      <c r="K326" s="29" t="str">
        <f aca="false">IF(E326="Snowballing","n/a",IF(AND(G326="",H326=""),"",IF(OR(G326="",H326=""),"Waiting",IF(G326=H326,G326,IF(AND(G326&lt;&gt;"Exclude",H326&lt;&gt;"Exclude"),"Maybe",IF(J326&lt;&gt;"",J326,"Pending"))))))</f>
        <v/>
      </c>
      <c r="L326" s="28"/>
      <c r="M326" s="28"/>
      <c r="N326" s="28"/>
      <c r="O326" s="28"/>
      <c r="P326" s="28"/>
    </row>
    <row r="327" customFormat="false" ht="15" hidden="false" customHeight="false" outlineLevel="0" collapsed="false">
      <c r="A327" s="28"/>
      <c r="B327" s="28"/>
      <c r="C327" s="28"/>
      <c r="D327" s="28"/>
      <c r="E327" s="28"/>
      <c r="F327" s="28"/>
      <c r="G327" s="28"/>
      <c r="H327" s="28"/>
      <c r="I327" s="29" t="str">
        <f aca="false">IF(OR(G327="",H327=""),"",IF(G327=H327,"Yes","No"))</f>
        <v/>
      </c>
      <c r="J327" s="28"/>
      <c r="K327" s="29" t="str">
        <f aca="false">IF(E327="Snowballing","n/a",IF(AND(G327="",H327=""),"",IF(OR(G327="",H327=""),"Waiting",IF(G327=H327,G327,IF(AND(G327&lt;&gt;"Exclude",H327&lt;&gt;"Exclude"),"Maybe",IF(J327&lt;&gt;"",J327,"Pending"))))))</f>
        <v/>
      </c>
      <c r="L327" s="28"/>
      <c r="M327" s="28"/>
      <c r="N327" s="28"/>
      <c r="O327" s="28"/>
      <c r="P327" s="28"/>
    </row>
    <row r="328" customFormat="false" ht="15" hidden="false" customHeight="false" outlineLevel="0" collapsed="false">
      <c r="A328" s="28"/>
      <c r="B328" s="28"/>
      <c r="C328" s="28"/>
      <c r="D328" s="28"/>
      <c r="E328" s="28"/>
      <c r="F328" s="28"/>
      <c r="G328" s="28"/>
      <c r="H328" s="28"/>
      <c r="I328" s="29" t="str">
        <f aca="false">IF(OR(G328="",H328=""),"",IF(G328=H328,"Yes","No"))</f>
        <v/>
      </c>
      <c r="J328" s="28"/>
      <c r="K328" s="29" t="str">
        <f aca="false">IF(E328="Snowballing","n/a",IF(AND(G328="",H328=""),"",IF(OR(G328="",H328=""),"Waiting",IF(G328=H328,G328,IF(AND(G328&lt;&gt;"Exclude",H328&lt;&gt;"Exclude"),"Maybe",IF(J328&lt;&gt;"",J328,"Pending"))))))</f>
        <v/>
      </c>
      <c r="L328" s="28"/>
      <c r="M328" s="28"/>
      <c r="N328" s="28"/>
      <c r="O328" s="28"/>
      <c r="P328" s="28"/>
    </row>
    <row r="329" customFormat="false" ht="15" hidden="false" customHeight="false" outlineLevel="0" collapsed="false">
      <c r="A329" s="28"/>
      <c r="B329" s="28"/>
      <c r="C329" s="28"/>
      <c r="D329" s="28"/>
      <c r="E329" s="28"/>
      <c r="F329" s="28"/>
      <c r="G329" s="28"/>
      <c r="H329" s="28"/>
      <c r="I329" s="29" t="str">
        <f aca="false">IF(OR(G329="",H329=""),"",IF(G329=H329,"Yes","No"))</f>
        <v/>
      </c>
      <c r="J329" s="28"/>
      <c r="K329" s="29" t="str">
        <f aca="false">IF(E329="Snowballing","n/a",IF(AND(G329="",H329=""),"",IF(OR(G329="",H329=""),"Waiting",IF(G329=H329,G329,IF(AND(G329&lt;&gt;"Exclude",H329&lt;&gt;"Exclude"),"Maybe",IF(J329&lt;&gt;"",J329,"Pending"))))))</f>
        <v/>
      </c>
      <c r="L329" s="28"/>
      <c r="M329" s="28"/>
      <c r="N329" s="28"/>
      <c r="O329" s="28"/>
      <c r="P329" s="28"/>
    </row>
    <row r="330" customFormat="false" ht="15" hidden="false" customHeight="false" outlineLevel="0" collapsed="false">
      <c r="A330" s="28"/>
      <c r="B330" s="28"/>
      <c r="C330" s="28"/>
      <c r="D330" s="28"/>
      <c r="E330" s="28"/>
      <c r="F330" s="28"/>
      <c r="G330" s="28"/>
      <c r="H330" s="28"/>
      <c r="I330" s="29" t="str">
        <f aca="false">IF(OR(G330="",H330=""),"",IF(G330=H330,"Yes","No"))</f>
        <v/>
      </c>
      <c r="J330" s="28"/>
      <c r="K330" s="29" t="str">
        <f aca="false">IF(E330="Snowballing","n/a",IF(AND(G330="",H330=""),"",IF(OR(G330="",H330=""),"Waiting",IF(G330=H330,G330,IF(AND(G330&lt;&gt;"Exclude",H330&lt;&gt;"Exclude"),"Maybe",IF(J330&lt;&gt;"",J330,"Pending"))))))</f>
        <v/>
      </c>
      <c r="L330" s="28"/>
      <c r="M330" s="28"/>
      <c r="N330" s="28"/>
      <c r="O330" s="28"/>
      <c r="P330" s="28"/>
    </row>
    <row r="331" customFormat="false" ht="15" hidden="false" customHeight="false" outlineLevel="0" collapsed="false">
      <c r="A331" s="28"/>
      <c r="B331" s="28"/>
      <c r="C331" s="28"/>
      <c r="D331" s="28"/>
      <c r="E331" s="28"/>
      <c r="F331" s="28"/>
      <c r="G331" s="28"/>
      <c r="H331" s="28"/>
      <c r="I331" s="29" t="str">
        <f aca="false">IF(OR(G331="",H331=""),"",IF(G331=H331,"Yes","No"))</f>
        <v/>
      </c>
      <c r="J331" s="28"/>
      <c r="K331" s="29" t="str">
        <f aca="false">IF(E331="Snowballing","n/a",IF(AND(G331="",H331=""),"",IF(OR(G331="",H331=""),"Waiting",IF(G331=H331,G331,IF(AND(G331&lt;&gt;"Exclude",H331&lt;&gt;"Exclude"),"Maybe",IF(J331&lt;&gt;"",J331,"Pending"))))))</f>
        <v/>
      </c>
      <c r="L331" s="28"/>
      <c r="M331" s="28"/>
      <c r="N331" s="28"/>
      <c r="O331" s="28"/>
      <c r="P331" s="28"/>
    </row>
    <row r="332" customFormat="false" ht="15" hidden="false" customHeight="false" outlineLevel="0" collapsed="false">
      <c r="A332" s="28"/>
      <c r="B332" s="28"/>
      <c r="C332" s="28"/>
      <c r="D332" s="28"/>
      <c r="E332" s="28"/>
      <c r="F332" s="28"/>
      <c r="G332" s="28"/>
      <c r="H332" s="28"/>
      <c r="I332" s="29" t="str">
        <f aca="false">IF(OR(G332="",H332=""),"",IF(G332=H332,"Yes","No"))</f>
        <v/>
      </c>
      <c r="J332" s="28"/>
      <c r="K332" s="29" t="str">
        <f aca="false">IF(E332="Snowballing","n/a",IF(AND(G332="",H332=""),"",IF(OR(G332="",H332=""),"Waiting",IF(G332=H332,G332,IF(AND(G332&lt;&gt;"Exclude",H332&lt;&gt;"Exclude"),"Maybe",IF(J332&lt;&gt;"",J332,"Pending"))))))</f>
        <v/>
      </c>
      <c r="L332" s="28"/>
      <c r="M332" s="28"/>
      <c r="N332" s="28"/>
      <c r="O332" s="28"/>
      <c r="P332" s="28"/>
    </row>
    <row r="333" customFormat="false" ht="15" hidden="false" customHeight="false" outlineLevel="0" collapsed="false">
      <c r="A333" s="28"/>
      <c r="B333" s="28"/>
      <c r="C333" s="28"/>
      <c r="D333" s="28"/>
      <c r="E333" s="28"/>
      <c r="F333" s="28"/>
      <c r="G333" s="28"/>
      <c r="H333" s="28"/>
      <c r="I333" s="29" t="str">
        <f aca="false">IF(OR(G333="",H333=""),"",IF(G333=H333,"Yes","No"))</f>
        <v/>
      </c>
      <c r="J333" s="28"/>
      <c r="K333" s="29" t="str">
        <f aca="false">IF(E333="Snowballing","n/a",IF(AND(G333="",H333=""),"",IF(OR(G333="",H333=""),"Waiting",IF(G333=H333,G333,IF(AND(G333&lt;&gt;"Exclude",H333&lt;&gt;"Exclude"),"Maybe",IF(J333&lt;&gt;"",J333,"Pending"))))))</f>
        <v/>
      </c>
      <c r="L333" s="28"/>
      <c r="M333" s="28"/>
      <c r="N333" s="28"/>
      <c r="O333" s="28"/>
      <c r="P333" s="28"/>
    </row>
    <row r="334" customFormat="false" ht="15" hidden="false" customHeight="false" outlineLevel="0" collapsed="false">
      <c r="A334" s="28"/>
      <c r="B334" s="28"/>
      <c r="C334" s="28"/>
      <c r="D334" s="28"/>
      <c r="E334" s="28"/>
      <c r="F334" s="28"/>
      <c r="G334" s="28"/>
      <c r="H334" s="28"/>
      <c r="I334" s="29" t="str">
        <f aca="false">IF(OR(G334="",H334=""),"",IF(G334=H334,"Yes","No"))</f>
        <v/>
      </c>
      <c r="J334" s="28"/>
      <c r="K334" s="29" t="str">
        <f aca="false">IF(E334="Snowballing","n/a",IF(AND(G334="",H334=""),"",IF(OR(G334="",H334=""),"Waiting",IF(G334=H334,G334,IF(AND(G334&lt;&gt;"Exclude",H334&lt;&gt;"Exclude"),"Maybe",IF(J334&lt;&gt;"",J334,"Pending"))))))</f>
        <v/>
      </c>
      <c r="L334" s="28"/>
      <c r="M334" s="28"/>
      <c r="N334" s="28"/>
      <c r="O334" s="28"/>
      <c r="P334" s="28"/>
    </row>
    <row r="335" customFormat="false" ht="15" hidden="false" customHeight="false" outlineLevel="0" collapsed="false">
      <c r="A335" s="28"/>
      <c r="B335" s="28"/>
      <c r="C335" s="28"/>
      <c r="D335" s="28"/>
      <c r="E335" s="28"/>
      <c r="F335" s="28"/>
      <c r="G335" s="28"/>
      <c r="H335" s="28"/>
      <c r="I335" s="29" t="str">
        <f aca="false">IF(OR(G335="",H335=""),"",IF(G335=H335,"Yes","No"))</f>
        <v/>
      </c>
      <c r="J335" s="28"/>
      <c r="K335" s="29" t="str">
        <f aca="false">IF(E335="Snowballing","n/a",IF(AND(G335="",H335=""),"",IF(OR(G335="",H335=""),"Waiting",IF(G335=H335,G335,IF(AND(G335&lt;&gt;"Exclude",H335&lt;&gt;"Exclude"),"Maybe",IF(J335&lt;&gt;"",J335,"Pending"))))))</f>
        <v/>
      </c>
      <c r="L335" s="28"/>
      <c r="M335" s="28"/>
      <c r="N335" s="28"/>
      <c r="O335" s="28"/>
      <c r="P335" s="28"/>
    </row>
    <row r="336" customFormat="false" ht="15" hidden="false" customHeight="false" outlineLevel="0" collapsed="false">
      <c r="A336" s="28"/>
      <c r="B336" s="28"/>
      <c r="C336" s="28"/>
      <c r="D336" s="28"/>
      <c r="E336" s="28"/>
      <c r="F336" s="28"/>
      <c r="G336" s="28"/>
      <c r="H336" s="28"/>
      <c r="I336" s="29" t="str">
        <f aca="false">IF(OR(G336="",H336=""),"",IF(G336=H336,"Yes","No"))</f>
        <v/>
      </c>
      <c r="J336" s="28"/>
      <c r="K336" s="29" t="str">
        <f aca="false">IF(E336="Snowballing","n/a",IF(AND(G336="",H336=""),"",IF(OR(G336="",H336=""),"Waiting",IF(G336=H336,G336,IF(AND(G336&lt;&gt;"Exclude",H336&lt;&gt;"Exclude"),"Maybe",IF(J336&lt;&gt;"",J336,"Pending"))))))</f>
        <v/>
      </c>
      <c r="L336" s="28"/>
      <c r="M336" s="28"/>
      <c r="N336" s="28"/>
      <c r="O336" s="28"/>
      <c r="P336" s="28"/>
    </row>
    <row r="337" customFormat="false" ht="15" hidden="false" customHeight="false" outlineLevel="0" collapsed="false">
      <c r="A337" s="28"/>
      <c r="B337" s="28"/>
      <c r="C337" s="28"/>
      <c r="D337" s="28"/>
      <c r="E337" s="28"/>
      <c r="F337" s="28"/>
      <c r="G337" s="28"/>
      <c r="H337" s="28"/>
      <c r="I337" s="29" t="str">
        <f aca="false">IF(OR(G337="",H337=""),"",IF(G337=H337,"Yes","No"))</f>
        <v/>
      </c>
      <c r="J337" s="28"/>
      <c r="K337" s="29" t="str">
        <f aca="false">IF(E337="Snowballing","n/a",IF(AND(G337="",H337=""),"",IF(OR(G337="",H337=""),"Waiting",IF(G337=H337,G337,IF(AND(G337&lt;&gt;"Exclude",H337&lt;&gt;"Exclude"),"Maybe",IF(J337&lt;&gt;"",J337,"Pending"))))))</f>
        <v/>
      </c>
      <c r="L337" s="28"/>
      <c r="M337" s="28"/>
      <c r="N337" s="28"/>
      <c r="O337" s="28"/>
      <c r="P337" s="28"/>
    </row>
    <row r="338" customFormat="false" ht="15" hidden="false" customHeight="false" outlineLevel="0" collapsed="false">
      <c r="A338" s="28"/>
      <c r="B338" s="28"/>
      <c r="C338" s="28"/>
      <c r="D338" s="28"/>
      <c r="E338" s="28"/>
      <c r="F338" s="28"/>
      <c r="G338" s="28"/>
      <c r="H338" s="28"/>
      <c r="I338" s="29" t="str">
        <f aca="false">IF(OR(G338="",H338=""),"",IF(G338=H338,"Yes","No"))</f>
        <v/>
      </c>
      <c r="J338" s="28"/>
      <c r="K338" s="29" t="str">
        <f aca="false">IF(E338="Snowballing","n/a",IF(AND(G338="",H338=""),"",IF(OR(G338="",H338=""),"Waiting",IF(G338=H338,G338,IF(AND(G338&lt;&gt;"Exclude",H338&lt;&gt;"Exclude"),"Maybe",IF(J338&lt;&gt;"",J338,"Pending"))))))</f>
        <v/>
      </c>
      <c r="L338" s="28"/>
      <c r="M338" s="28"/>
      <c r="N338" s="28"/>
      <c r="O338" s="28"/>
      <c r="P338" s="28"/>
    </row>
    <row r="339" customFormat="false" ht="15" hidden="false" customHeight="false" outlineLevel="0" collapsed="false">
      <c r="A339" s="28"/>
      <c r="B339" s="28"/>
      <c r="C339" s="28"/>
      <c r="D339" s="28"/>
      <c r="E339" s="28"/>
      <c r="F339" s="28"/>
      <c r="G339" s="28"/>
      <c r="H339" s="28"/>
      <c r="I339" s="29" t="str">
        <f aca="false">IF(OR(G339="",H339=""),"",IF(G339=H339,"Yes","No"))</f>
        <v/>
      </c>
      <c r="J339" s="28"/>
      <c r="K339" s="29" t="str">
        <f aca="false">IF(E339="Snowballing","n/a",IF(AND(G339="",H339=""),"",IF(OR(G339="",H339=""),"Waiting",IF(G339=H339,G339,IF(AND(G339&lt;&gt;"Exclude",H339&lt;&gt;"Exclude"),"Maybe",IF(J339&lt;&gt;"",J339,"Pending"))))))</f>
        <v/>
      </c>
      <c r="L339" s="28"/>
      <c r="M339" s="28"/>
      <c r="N339" s="28"/>
      <c r="O339" s="28"/>
      <c r="P339" s="28"/>
    </row>
    <row r="340" customFormat="false" ht="15" hidden="false" customHeight="false" outlineLevel="0" collapsed="false">
      <c r="A340" s="28"/>
      <c r="B340" s="28"/>
      <c r="C340" s="28"/>
      <c r="D340" s="28"/>
      <c r="E340" s="28"/>
      <c r="F340" s="28"/>
      <c r="G340" s="28"/>
      <c r="H340" s="28"/>
      <c r="I340" s="29" t="str">
        <f aca="false">IF(OR(G340="",H340=""),"",IF(G340=H340,"Yes","No"))</f>
        <v/>
      </c>
      <c r="J340" s="28"/>
      <c r="K340" s="29" t="str">
        <f aca="false">IF(E340="Snowballing","n/a",IF(AND(G340="",H340=""),"",IF(OR(G340="",H340=""),"Waiting",IF(G340=H340,G340,IF(AND(G340&lt;&gt;"Exclude",H340&lt;&gt;"Exclude"),"Maybe",IF(J340&lt;&gt;"",J340,"Pending"))))))</f>
        <v/>
      </c>
      <c r="L340" s="28"/>
      <c r="M340" s="28"/>
      <c r="N340" s="28"/>
      <c r="O340" s="28"/>
      <c r="P340" s="28"/>
    </row>
    <row r="341" customFormat="false" ht="15" hidden="false" customHeight="false" outlineLevel="0" collapsed="false">
      <c r="A341" s="28"/>
      <c r="B341" s="28"/>
      <c r="C341" s="28"/>
      <c r="D341" s="28"/>
      <c r="E341" s="28"/>
      <c r="F341" s="28"/>
      <c r="G341" s="28"/>
      <c r="H341" s="28"/>
      <c r="I341" s="29" t="str">
        <f aca="false">IF(OR(G341="",H341=""),"",IF(G341=H341,"Yes","No"))</f>
        <v/>
      </c>
      <c r="J341" s="28"/>
      <c r="K341" s="29" t="str">
        <f aca="false">IF(E341="Snowballing","n/a",IF(AND(G341="",H341=""),"",IF(OR(G341="",H341=""),"Waiting",IF(G341=H341,G341,IF(AND(G341&lt;&gt;"Exclude",H341&lt;&gt;"Exclude"),"Maybe",IF(J341&lt;&gt;"",J341,"Pending"))))))</f>
        <v/>
      </c>
      <c r="L341" s="28"/>
      <c r="M341" s="28"/>
      <c r="N341" s="28"/>
      <c r="O341" s="28"/>
      <c r="P341" s="28"/>
    </row>
    <row r="342" customFormat="false" ht="15" hidden="false" customHeight="false" outlineLevel="0" collapsed="false">
      <c r="A342" s="28"/>
      <c r="B342" s="28"/>
      <c r="C342" s="28"/>
      <c r="D342" s="28"/>
      <c r="E342" s="28"/>
      <c r="F342" s="28"/>
      <c r="G342" s="28"/>
      <c r="H342" s="28"/>
      <c r="I342" s="29" t="str">
        <f aca="false">IF(OR(G342="",H342=""),"",IF(G342=H342,"Yes","No"))</f>
        <v/>
      </c>
      <c r="J342" s="28"/>
      <c r="K342" s="29" t="str">
        <f aca="false">IF(E342="Snowballing","n/a",IF(AND(G342="",H342=""),"",IF(OR(G342="",H342=""),"Waiting",IF(G342=H342,G342,IF(AND(G342&lt;&gt;"Exclude",H342&lt;&gt;"Exclude"),"Maybe",IF(J342&lt;&gt;"",J342,"Pending"))))))</f>
        <v/>
      </c>
      <c r="L342" s="28"/>
      <c r="M342" s="28"/>
      <c r="N342" s="28"/>
      <c r="O342" s="28"/>
      <c r="P342" s="28"/>
    </row>
    <row r="343" customFormat="false" ht="15" hidden="false" customHeight="false" outlineLevel="0" collapsed="false">
      <c r="A343" s="28"/>
      <c r="B343" s="28"/>
      <c r="C343" s="28"/>
      <c r="D343" s="28"/>
      <c r="E343" s="28"/>
      <c r="F343" s="28"/>
      <c r="G343" s="28"/>
      <c r="H343" s="28"/>
      <c r="I343" s="29" t="str">
        <f aca="false">IF(OR(G343="",H343=""),"",IF(G343=H343,"Yes","No"))</f>
        <v/>
      </c>
      <c r="J343" s="28"/>
      <c r="K343" s="29" t="str">
        <f aca="false">IF(E343="Snowballing","n/a",IF(AND(G343="",H343=""),"",IF(OR(G343="",H343=""),"Waiting",IF(G343=H343,G343,IF(AND(G343&lt;&gt;"Exclude",H343&lt;&gt;"Exclude"),"Maybe",IF(J343&lt;&gt;"",J343,"Pending"))))))</f>
        <v/>
      </c>
      <c r="L343" s="28"/>
      <c r="M343" s="28"/>
      <c r="N343" s="28"/>
      <c r="O343" s="28"/>
      <c r="P343" s="28"/>
    </row>
    <row r="344" customFormat="false" ht="15" hidden="false" customHeight="false" outlineLevel="0" collapsed="false">
      <c r="A344" s="28"/>
      <c r="B344" s="28"/>
      <c r="C344" s="28"/>
      <c r="D344" s="28"/>
      <c r="E344" s="28"/>
      <c r="F344" s="28"/>
      <c r="G344" s="28"/>
      <c r="H344" s="28"/>
      <c r="I344" s="29" t="str">
        <f aca="false">IF(OR(G344="",H344=""),"",IF(G344=H344,"Yes","No"))</f>
        <v/>
      </c>
      <c r="J344" s="28"/>
      <c r="K344" s="29" t="str">
        <f aca="false">IF(E344="Snowballing","n/a",IF(AND(G344="",H344=""),"",IF(OR(G344="",H344=""),"Waiting",IF(G344=H344,G344,IF(AND(G344&lt;&gt;"Exclude",H344&lt;&gt;"Exclude"),"Maybe",IF(J344&lt;&gt;"",J344,"Pending"))))))</f>
        <v/>
      </c>
      <c r="L344" s="28"/>
      <c r="M344" s="28"/>
      <c r="N344" s="28"/>
      <c r="O344" s="28"/>
      <c r="P344" s="28"/>
    </row>
    <row r="345" customFormat="false" ht="15" hidden="false" customHeight="false" outlineLevel="0" collapsed="false">
      <c r="A345" s="28"/>
      <c r="B345" s="28"/>
      <c r="C345" s="28"/>
      <c r="D345" s="28"/>
      <c r="E345" s="28"/>
      <c r="F345" s="28"/>
      <c r="G345" s="28"/>
      <c r="H345" s="28"/>
      <c r="I345" s="29" t="str">
        <f aca="false">IF(OR(G345="",H345=""),"",IF(G345=H345,"Yes","No"))</f>
        <v/>
      </c>
      <c r="J345" s="28"/>
      <c r="K345" s="29" t="str">
        <f aca="false">IF(E345="Snowballing","n/a",IF(AND(G345="",H345=""),"",IF(OR(G345="",H345=""),"Waiting",IF(G345=H345,G345,IF(AND(G345&lt;&gt;"Exclude",H345&lt;&gt;"Exclude"),"Maybe",IF(J345&lt;&gt;"",J345,"Pending"))))))</f>
        <v/>
      </c>
      <c r="L345" s="28"/>
      <c r="M345" s="28"/>
      <c r="N345" s="28"/>
      <c r="O345" s="28"/>
      <c r="P345" s="28"/>
    </row>
    <row r="346" customFormat="false" ht="15" hidden="false" customHeight="false" outlineLevel="0" collapsed="false">
      <c r="A346" s="28"/>
      <c r="B346" s="28"/>
      <c r="C346" s="28"/>
      <c r="D346" s="28"/>
      <c r="E346" s="28"/>
      <c r="F346" s="28"/>
      <c r="G346" s="28"/>
      <c r="H346" s="28"/>
      <c r="I346" s="29" t="str">
        <f aca="false">IF(OR(G346="",H346=""),"",IF(G346=H346,"Yes","No"))</f>
        <v/>
      </c>
      <c r="J346" s="28"/>
      <c r="K346" s="29" t="str">
        <f aca="false">IF(E346="Snowballing","n/a",IF(AND(G346="",H346=""),"",IF(OR(G346="",H346=""),"Waiting",IF(G346=H346,G346,IF(AND(G346&lt;&gt;"Exclude",H346&lt;&gt;"Exclude"),"Maybe",IF(J346&lt;&gt;"",J346,"Pending"))))))</f>
        <v/>
      </c>
      <c r="L346" s="28"/>
      <c r="M346" s="28"/>
      <c r="N346" s="28"/>
      <c r="O346" s="28"/>
      <c r="P346" s="28"/>
    </row>
    <row r="347" customFormat="false" ht="15" hidden="false" customHeight="false" outlineLevel="0" collapsed="false">
      <c r="A347" s="28"/>
      <c r="B347" s="28"/>
      <c r="C347" s="28"/>
      <c r="D347" s="28"/>
      <c r="E347" s="28"/>
      <c r="F347" s="28"/>
      <c r="G347" s="28"/>
      <c r="H347" s="28"/>
      <c r="I347" s="29" t="str">
        <f aca="false">IF(OR(G347="",H347=""),"",IF(G347=H347,"Yes","No"))</f>
        <v/>
      </c>
      <c r="J347" s="28"/>
      <c r="K347" s="29" t="str">
        <f aca="false">IF(E347="Snowballing","n/a",IF(AND(G347="",H347=""),"",IF(OR(G347="",H347=""),"Waiting",IF(G347=H347,G347,IF(AND(G347&lt;&gt;"Exclude",H347&lt;&gt;"Exclude"),"Maybe",IF(J347&lt;&gt;"",J347,"Pending"))))))</f>
        <v/>
      </c>
      <c r="L347" s="28"/>
      <c r="M347" s="28"/>
      <c r="N347" s="28"/>
      <c r="O347" s="28"/>
      <c r="P347" s="28"/>
    </row>
    <row r="348" customFormat="false" ht="15" hidden="false" customHeight="false" outlineLevel="0" collapsed="false">
      <c r="A348" s="28"/>
      <c r="B348" s="28"/>
      <c r="C348" s="28"/>
      <c r="D348" s="28"/>
      <c r="E348" s="28"/>
      <c r="F348" s="28"/>
      <c r="G348" s="28"/>
      <c r="H348" s="28"/>
      <c r="I348" s="29" t="str">
        <f aca="false">IF(OR(G348="",H348=""),"",IF(G348=H348,"Yes","No"))</f>
        <v/>
      </c>
      <c r="J348" s="28"/>
      <c r="K348" s="29" t="str">
        <f aca="false">IF(E348="Snowballing","n/a",IF(AND(G348="",H348=""),"",IF(OR(G348="",H348=""),"Waiting",IF(G348=H348,G348,IF(AND(G348&lt;&gt;"Exclude",H348&lt;&gt;"Exclude"),"Maybe",IF(J348&lt;&gt;"",J348,"Pending"))))))</f>
        <v/>
      </c>
      <c r="L348" s="28"/>
      <c r="M348" s="28"/>
      <c r="N348" s="28"/>
      <c r="O348" s="28"/>
      <c r="P348" s="28"/>
    </row>
    <row r="349" customFormat="false" ht="15" hidden="false" customHeight="false" outlineLevel="0" collapsed="false">
      <c r="A349" s="28"/>
      <c r="B349" s="28"/>
      <c r="C349" s="28"/>
      <c r="D349" s="28"/>
      <c r="E349" s="28"/>
      <c r="F349" s="28"/>
      <c r="G349" s="28"/>
      <c r="H349" s="28"/>
      <c r="I349" s="29" t="str">
        <f aca="false">IF(OR(G349="",H349=""),"",IF(G349=H349,"Yes","No"))</f>
        <v/>
      </c>
      <c r="J349" s="28"/>
      <c r="K349" s="29" t="str">
        <f aca="false">IF(E349="Snowballing","n/a",IF(AND(G349="",H349=""),"",IF(OR(G349="",H349=""),"Waiting",IF(G349=H349,G349,IF(AND(G349&lt;&gt;"Exclude",H349&lt;&gt;"Exclude"),"Maybe",IF(J349&lt;&gt;"",J349,"Pending"))))))</f>
        <v/>
      </c>
      <c r="L349" s="28"/>
      <c r="M349" s="28"/>
      <c r="N349" s="28"/>
      <c r="O349" s="28"/>
      <c r="P349" s="28"/>
    </row>
    <row r="350" customFormat="false" ht="15" hidden="false" customHeight="false" outlineLevel="0" collapsed="false">
      <c r="A350" s="28"/>
      <c r="B350" s="28"/>
      <c r="C350" s="28"/>
      <c r="D350" s="28"/>
      <c r="E350" s="28"/>
      <c r="F350" s="28"/>
      <c r="G350" s="28"/>
      <c r="H350" s="28"/>
      <c r="I350" s="29" t="str">
        <f aca="false">IF(OR(G350="",H350=""),"",IF(G350=H350,"Yes","No"))</f>
        <v/>
      </c>
      <c r="J350" s="28"/>
      <c r="K350" s="29" t="str">
        <f aca="false">IF(E350="Snowballing","n/a",IF(AND(G350="",H350=""),"",IF(OR(G350="",H350=""),"Waiting",IF(G350=H350,G350,IF(AND(G350&lt;&gt;"Exclude",H350&lt;&gt;"Exclude"),"Maybe",IF(J350&lt;&gt;"",J350,"Pending"))))))</f>
        <v/>
      </c>
      <c r="L350" s="28"/>
      <c r="M350" s="28"/>
      <c r="N350" s="28"/>
      <c r="O350" s="28"/>
      <c r="P350" s="28"/>
    </row>
    <row r="351" customFormat="false" ht="15" hidden="false" customHeight="false" outlineLevel="0" collapsed="false">
      <c r="A351" s="28"/>
      <c r="B351" s="28"/>
      <c r="C351" s="28"/>
      <c r="D351" s="28"/>
      <c r="E351" s="28"/>
      <c r="F351" s="28"/>
      <c r="G351" s="28"/>
      <c r="H351" s="28"/>
      <c r="I351" s="29" t="str">
        <f aca="false">IF(OR(G351="",H351=""),"",IF(G351=H351,"Yes","No"))</f>
        <v/>
      </c>
      <c r="J351" s="28"/>
      <c r="K351" s="29" t="str">
        <f aca="false">IF(E351="Snowballing","n/a",IF(AND(G351="",H351=""),"",IF(OR(G351="",H351=""),"Waiting",IF(G351=H351,G351,IF(AND(G351&lt;&gt;"Exclude",H351&lt;&gt;"Exclude"),"Maybe",IF(J351&lt;&gt;"",J351,"Pending"))))))</f>
        <v/>
      </c>
      <c r="L351" s="28"/>
      <c r="M351" s="28"/>
      <c r="N351" s="28"/>
      <c r="O351" s="28"/>
      <c r="P351" s="28"/>
    </row>
    <row r="352" customFormat="false" ht="15" hidden="false" customHeight="false" outlineLevel="0" collapsed="false">
      <c r="A352" s="28"/>
      <c r="B352" s="28"/>
      <c r="C352" s="28"/>
      <c r="D352" s="28"/>
      <c r="E352" s="28"/>
      <c r="F352" s="28"/>
      <c r="G352" s="28"/>
      <c r="H352" s="28"/>
      <c r="I352" s="29" t="str">
        <f aca="false">IF(OR(G352="",H352=""),"",IF(G352=H352,"Yes","No"))</f>
        <v/>
      </c>
      <c r="J352" s="28"/>
      <c r="K352" s="29" t="str">
        <f aca="false">IF(E352="Snowballing","n/a",IF(AND(G352="",H352=""),"",IF(OR(G352="",H352=""),"Waiting",IF(G352=H352,G352,IF(AND(G352&lt;&gt;"Exclude",H352&lt;&gt;"Exclude"),"Maybe",IF(J352&lt;&gt;"",J352,"Pending"))))))</f>
        <v/>
      </c>
      <c r="L352" s="28"/>
      <c r="M352" s="28"/>
      <c r="N352" s="28"/>
      <c r="O352" s="28"/>
      <c r="P352" s="28"/>
    </row>
    <row r="353" customFormat="false" ht="15" hidden="false" customHeight="false" outlineLevel="0" collapsed="false">
      <c r="A353" s="28"/>
      <c r="B353" s="28"/>
      <c r="C353" s="28"/>
      <c r="D353" s="28"/>
      <c r="E353" s="28"/>
      <c r="F353" s="28"/>
      <c r="G353" s="28"/>
      <c r="H353" s="28"/>
      <c r="I353" s="29" t="str">
        <f aca="false">IF(OR(G353="",H353=""),"",IF(G353=H353,"Yes","No"))</f>
        <v/>
      </c>
      <c r="J353" s="28"/>
      <c r="K353" s="29" t="str">
        <f aca="false">IF(E353="Snowballing","n/a",IF(AND(G353="",H353=""),"",IF(OR(G353="",H353=""),"Waiting",IF(G353=H353,G353,IF(AND(G353&lt;&gt;"Exclude",H353&lt;&gt;"Exclude"),"Maybe",IF(J353&lt;&gt;"",J353,"Pending"))))))</f>
        <v/>
      </c>
      <c r="L353" s="28"/>
      <c r="M353" s="28"/>
      <c r="N353" s="28"/>
      <c r="O353" s="28"/>
      <c r="P353" s="28"/>
    </row>
    <row r="354" customFormat="false" ht="15" hidden="false" customHeight="false" outlineLevel="0" collapsed="false">
      <c r="A354" s="28"/>
      <c r="B354" s="28"/>
      <c r="C354" s="28"/>
      <c r="D354" s="28"/>
      <c r="E354" s="28"/>
      <c r="F354" s="28"/>
      <c r="G354" s="28"/>
      <c r="H354" s="28"/>
      <c r="I354" s="29" t="str">
        <f aca="false">IF(OR(G354="",H354=""),"",IF(G354=H354,"Yes","No"))</f>
        <v/>
      </c>
      <c r="J354" s="28"/>
      <c r="K354" s="29" t="str">
        <f aca="false">IF(E354="Snowballing","n/a",IF(AND(G354="",H354=""),"",IF(OR(G354="",H354=""),"Waiting",IF(G354=H354,G354,IF(AND(G354&lt;&gt;"Exclude",H354&lt;&gt;"Exclude"),"Maybe",IF(J354&lt;&gt;"",J354,"Pending"))))))</f>
        <v/>
      </c>
      <c r="L354" s="28"/>
      <c r="M354" s="28"/>
      <c r="N354" s="28"/>
      <c r="O354" s="28"/>
      <c r="P354" s="28"/>
    </row>
    <row r="355" customFormat="false" ht="15" hidden="false" customHeight="false" outlineLevel="0" collapsed="false">
      <c r="A355" s="28"/>
      <c r="B355" s="28"/>
      <c r="C355" s="28"/>
      <c r="D355" s="28"/>
      <c r="E355" s="28"/>
      <c r="F355" s="28"/>
      <c r="G355" s="28"/>
      <c r="H355" s="28"/>
      <c r="I355" s="29" t="str">
        <f aca="false">IF(OR(G355="",H355=""),"",IF(G355=H355,"Yes","No"))</f>
        <v/>
      </c>
      <c r="J355" s="28"/>
      <c r="K355" s="29" t="str">
        <f aca="false">IF(E355="Snowballing","n/a",IF(AND(G355="",H355=""),"",IF(OR(G355="",H355=""),"Waiting",IF(G355=H355,G355,IF(AND(G355&lt;&gt;"Exclude",H355&lt;&gt;"Exclude"),"Maybe",IF(J355&lt;&gt;"",J355,"Pending"))))))</f>
        <v/>
      </c>
      <c r="L355" s="28"/>
      <c r="M355" s="28"/>
      <c r="N355" s="28"/>
      <c r="O355" s="28"/>
      <c r="P355" s="28"/>
    </row>
    <row r="356" customFormat="false" ht="15" hidden="false" customHeight="false" outlineLevel="0" collapsed="false">
      <c r="A356" s="28"/>
      <c r="B356" s="28"/>
      <c r="C356" s="28"/>
      <c r="D356" s="28"/>
      <c r="E356" s="28"/>
      <c r="F356" s="28"/>
      <c r="G356" s="28"/>
      <c r="H356" s="28"/>
      <c r="I356" s="29" t="str">
        <f aca="false">IF(OR(G356="",H356=""),"",IF(G356=H356,"Yes","No"))</f>
        <v/>
      </c>
      <c r="J356" s="28"/>
      <c r="K356" s="29" t="str">
        <f aca="false">IF(E356="Snowballing","n/a",IF(AND(G356="",H356=""),"",IF(OR(G356="",H356=""),"Waiting",IF(G356=H356,G356,IF(AND(G356&lt;&gt;"Exclude",H356&lt;&gt;"Exclude"),"Maybe",IF(J356&lt;&gt;"",J356,"Pending"))))))</f>
        <v/>
      </c>
      <c r="L356" s="28"/>
      <c r="M356" s="28"/>
      <c r="N356" s="28"/>
      <c r="O356" s="28"/>
      <c r="P356" s="28"/>
    </row>
    <row r="357" customFormat="false" ht="15" hidden="false" customHeight="false" outlineLevel="0" collapsed="false">
      <c r="A357" s="28"/>
      <c r="B357" s="28"/>
      <c r="C357" s="28"/>
      <c r="D357" s="28"/>
      <c r="E357" s="28"/>
      <c r="F357" s="28"/>
      <c r="G357" s="28"/>
      <c r="H357" s="28"/>
      <c r="I357" s="29" t="str">
        <f aca="false">IF(OR(G357="",H357=""),"",IF(G357=H357,"Yes","No"))</f>
        <v/>
      </c>
      <c r="J357" s="28"/>
      <c r="K357" s="29" t="str">
        <f aca="false">IF(E357="Snowballing","n/a",IF(AND(G357="",H357=""),"",IF(OR(G357="",H357=""),"Waiting",IF(G357=H357,G357,IF(AND(G357&lt;&gt;"Exclude",H357&lt;&gt;"Exclude"),"Maybe",IF(J357&lt;&gt;"",J357,"Pending"))))))</f>
        <v/>
      </c>
      <c r="L357" s="28"/>
      <c r="M357" s="28"/>
      <c r="N357" s="28"/>
      <c r="O357" s="28"/>
      <c r="P357" s="28"/>
    </row>
    <row r="358" customFormat="false" ht="15" hidden="false" customHeight="false" outlineLevel="0" collapsed="false">
      <c r="A358" s="28"/>
      <c r="B358" s="28"/>
      <c r="C358" s="28"/>
      <c r="D358" s="28"/>
      <c r="E358" s="28"/>
      <c r="F358" s="28"/>
      <c r="G358" s="28"/>
      <c r="H358" s="28"/>
      <c r="I358" s="29" t="str">
        <f aca="false">IF(OR(G358="",H358=""),"",IF(G358=H358,"Yes","No"))</f>
        <v/>
      </c>
      <c r="J358" s="28"/>
      <c r="K358" s="29" t="str">
        <f aca="false">IF(E358="Snowballing","n/a",IF(AND(G358="",H358=""),"",IF(OR(G358="",H358=""),"Waiting",IF(G358=H358,G358,IF(AND(G358&lt;&gt;"Exclude",H358&lt;&gt;"Exclude"),"Maybe",IF(J358&lt;&gt;"",J358,"Pending"))))))</f>
        <v/>
      </c>
      <c r="L358" s="28"/>
      <c r="M358" s="28"/>
      <c r="N358" s="28"/>
      <c r="O358" s="28"/>
      <c r="P358" s="28"/>
    </row>
    <row r="359" customFormat="false" ht="15" hidden="false" customHeight="false" outlineLevel="0" collapsed="false">
      <c r="A359" s="28"/>
      <c r="B359" s="28"/>
      <c r="C359" s="28"/>
      <c r="D359" s="28"/>
      <c r="E359" s="28"/>
      <c r="F359" s="28"/>
      <c r="G359" s="28"/>
      <c r="H359" s="28"/>
      <c r="I359" s="29" t="str">
        <f aca="false">IF(OR(G359="",H359=""),"",IF(G359=H359,"Yes","No"))</f>
        <v/>
      </c>
      <c r="J359" s="28"/>
      <c r="K359" s="29" t="str">
        <f aca="false">IF(E359="Snowballing","n/a",IF(AND(G359="",H359=""),"",IF(OR(G359="",H359=""),"Waiting",IF(G359=H359,G359,IF(AND(G359&lt;&gt;"Exclude",H359&lt;&gt;"Exclude"),"Maybe",IF(J359&lt;&gt;"",J359,"Pending"))))))</f>
        <v/>
      </c>
      <c r="L359" s="28"/>
      <c r="M359" s="28"/>
      <c r="N359" s="28"/>
      <c r="O359" s="28"/>
      <c r="P359" s="28"/>
    </row>
    <row r="360" customFormat="false" ht="15" hidden="false" customHeight="false" outlineLevel="0" collapsed="false">
      <c r="A360" s="28"/>
      <c r="B360" s="28"/>
      <c r="C360" s="28"/>
      <c r="D360" s="28"/>
      <c r="E360" s="28"/>
      <c r="F360" s="28"/>
      <c r="G360" s="28"/>
      <c r="H360" s="28"/>
      <c r="I360" s="29" t="str">
        <f aca="false">IF(OR(G360="",H360=""),"",IF(G360=H360,"Yes","No"))</f>
        <v/>
      </c>
      <c r="J360" s="28"/>
      <c r="K360" s="29" t="str">
        <f aca="false">IF(E360="Snowballing","n/a",IF(AND(G360="",H360=""),"",IF(OR(G360="",H360=""),"Waiting",IF(G360=H360,G360,IF(AND(G360&lt;&gt;"Exclude",H360&lt;&gt;"Exclude"),"Maybe",IF(J360&lt;&gt;"",J360,"Pending"))))))</f>
        <v/>
      </c>
      <c r="L360" s="28"/>
      <c r="M360" s="28"/>
      <c r="N360" s="28"/>
      <c r="O360" s="28"/>
      <c r="P360" s="28"/>
    </row>
    <row r="361" customFormat="false" ht="15" hidden="false" customHeight="false" outlineLevel="0" collapsed="false">
      <c r="A361" s="28"/>
      <c r="B361" s="28"/>
      <c r="C361" s="28"/>
      <c r="D361" s="28"/>
      <c r="E361" s="28"/>
      <c r="F361" s="28"/>
      <c r="G361" s="28"/>
      <c r="H361" s="28"/>
      <c r="I361" s="29" t="str">
        <f aca="false">IF(OR(G361="",H361=""),"",IF(G361=H361,"Yes","No"))</f>
        <v/>
      </c>
      <c r="J361" s="28"/>
      <c r="K361" s="29" t="str">
        <f aca="false">IF(E361="Snowballing","n/a",IF(AND(G361="",H361=""),"",IF(OR(G361="",H361=""),"Waiting",IF(G361=H361,G361,IF(AND(G361&lt;&gt;"Exclude",H361&lt;&gt;"Exclude"),"Maybe",IF(J361&lt;&gt;"",J361,"Pending"))))))</f>
        <v/>
      </c>
      <c r="L361" s="28"/>
      <c r="M361" s="28"/>
      <c r="N361" s="28"/>
      <c r="O361" s="28"/>
      <c r="P361" s="28"/>
    </row>
    <row r="362" customFormat="false" ht="15" hidden="false" customHeight="false" outlineLevel="0" collapsed="false">
      <c r="A362" s="28"/>
      <c r="B362" s="28"/>
      <c r="C362" s="28"/>
      <c r="D362" s="28"/>
      <c r="E362" s="28"/>
      <c r="F362" s="28"/>
      <c r="G362" s="28"/>
      <c r="H362" s="28"/>
      <c r="I362" s="29" t="str">
        <f aca="false">IF(OR(G362="",H362=""),"",IF(G362=H362,"Yes","No"))</f>
        <v/>
      </c>
      <c r="J362" s="28"/>
      <c r="K362" s="29" t="str">
        <f aca="false">IF(E362="Snowballing","n/a",IF(AND(G362="",H362=""),"",IF(OR(G362="",H362=""),"Waiting",IF(G362=H362,G362,IF(AND(G362&lt;&gt;"Exclude",H362&lt;&gt;"Exclude"),"Maybe",IF(J362&lt;&gt;"",J362,"Pending"))))))</f>
        <v/>
      </c>
      <c r="L362" s="28"/>
      <c r="M362" s="28"/>
      <c r="N362" s="28"/>
      <c r="O362" s="28"/>
      <c r="P362" s="28"/>
    </row>
    <row r="363" customFormat="false" ht="15" hidden="false" customHeight="false" outlineLevel="0" collapsed="false">
      <c r="A363" s="28"/>
      <c r="B363" s="28"/>
      <c r="C363" s="28"/>
      <c r="D363" s="28"/>
      <c r="E363" s="28"/>
      <c r="F363" s="28"/>
      <c r="G363" s="28"/>
      <c r="H363" s="28"/>
      <c r="I363" s="29" t="str">
        <f aca="false">IF(OR(G363="",H363=""),"",IF(G363=H363,"Yes","No"))</f>
        <v/>
      </c>
      <c r="J363" s="28"/>
      <c r="K363" s="29" t="str">
        <f aca="false">IF(E363="Snowballing","n/a",IF(AND(G363="",H363=""),"",IF(OR(G363="",H363=""),"Waiting",IF(G363=H363,G363,IF(AND(G363&lt;&gt;"Exclude",H363&lt;&gt;"Exclude"),"Maybe",IF(J363&lt;&gt;"",J363,"Pending"))))))</f>
        <v/>
      </c>
      <c r="L363" s="28"/>
      <c r="M363" s="28"/>
      <c r="N363" s="28"/>
      <c r="O363" s="28"/>
      <c r="P363" s="28"/>
    </row>
    <row r="364" customFormat="false" ht="15" hidden="false" customHeight="false" outlineLevel="0" collapsed="false">
      <c r="A364" s="28"/>
      <c r="B364" s="28"/>
      <c r="C364" s="28"/>
      <c r="D364" s="28"/>
      <c r="E364" s="28"/>
      <c r="F364" s="28"/>
      <c r="G364" s="28"/>
      <c r="H364" s="28"/>
      <c r="I364" s="29" t="str">
        <f aca="false">IF(OR(G364="",H364=""),"",IF(G364=H364,"Yes","No"))</f>
        <v/>
      </c>
      <c r="J364" s="28"/>
      <c r="K364" s="29" t="str">
        <f aca="false">IF(E364="Snowballing","n/a",IF(AND(G364="",H364=""),"",IF(OR(G364="",H364=""),"Waiting",IF(G364=H364,G364,IF(AND(G364&lt;&gt;"Exclude",H364&lt;&gt;"Exclude"),"Maybe",IF(J364&lt;&gt;"",J364,"Pending"))))))</f>
        <v/>
      </c>
      <c r="L364" s="28"/>
      <c r="M364" s="28"/>
      <c r="N364" s="28"/>
      <c r="O364" s="28"/>
      <c r="P364" s="28"/>
    </row>
    <row r="365" customFormat="false" ht="15" hidden="false" customHeight="false" outlineLevel="0" collapsed="false">
      <c r="A365" s="28"/>
      <c r="B365" s="28"/>
      <c r="C365" s="28"/>
      <c r="D365" s="28"/>
      <c r="E365" s="28"/>
      <c r="F365" s="28"/>
      <c r="G365" s="28"/>
      <c r="H365" s="28"/>
      <c r="I365" s="29" t="str">
        <f aca="false">IF(OR(G365="",H365=""),"",IF(G365=H365,"Yes","No"))</f>
        <v/>
      </c>
      <c r="J365" s="28"/>
      <c r="K365" s="29" t="str">
        <f aca="false">IF(E365="Snowballing","n/a",IF(AND(G365="",H365=""),"",IF(OR(G365="",H365=""),"Waiting",IF(G365=H365,G365,IF(AND(G365&lt;&gt;"Exclude",H365&lt;&gt;"Exclude"),"Maybe",IF(J365&lt;&gt;"",J365,"Pending"))))))</f>
        <v/>
      </c>
      <c r="L365" s="28"/>
      <c r="M365" s="28"/>
      <c r="N365" s="28"/>
      <c r="O365" s="28"/>
      <c r="P365" s="28"/>
    </row>
    <row r="366" customFormat="false" ht="15" hidden="false" customHeight="false" outlineLevel="0" collapsed="false">
      <c r="A366" s="28"/>
      <c r="B366" s="28"/>
      <c r="C366" s="28"/>
      <c r="D366" s="28"/>
      <c r="E366" s="28"/>
      <c r="F366" s="28"/>
      <c r="G366" s="28"/>
      <c r="H366" s="28"/>
      <c r="I366" s="29" t="str">
        <f aca="false">IF(OR(G366="",H366=""),"",IF(G366=H366,"Yes","No"))</f>
        <v/>
      </c>
      <c r="J366" s="28"/>
      <c r="K366" s="29" t="str">
        <f aca="false">IF(E366="Snowballing","n/a",IF(AND(G366="",H366=""),"",IF(OR(G366="",H366=""),"Waiting",IF(G366=H366,G366,IF(AND(G366&lt;&gt;"Exclude",H366&lt;&gt;"Exclude"),"Maybe",IF(J366&lt;&gt;"",J366,"Pending"))))))</f>
        <v/>
      </c>
      <c r="L366" s="28"/>
      <c r="M366" s="28"/>
      <c r="N366" s="28"/>
      <c r="O366" s="28"/>
      <c r="P366" s="28"/>
    </row>
    <row r="367" customFormat="false" ht="15" hidden="false" customHeight="false" outlineLevel="0" collapsed="false">
      <c r="A367" s="28"/>
      <c r="B367" s="28"/>
      <c r="C367" s="28"/>
      <c r="D367" s="28"/>
      <c r="E367" s="28"/>
      <c r="F367" s="28"/>
      <c r="G367" s="28"/>
      <c r="H367" s="28"/>
      <c r="I367" s="29" t="str">
        <f aca="false">IF(OR(G367="",H367=""),"",IF(G367=H367,"Yes","No"))</f>
        <v/>
      </c>
      <c r="J367" s="28"/>
      <c r="K367" s="29" t="str">
        <f aca="false">IF(E367="Snowballing","n/a",IF(AND(G367="",H367=""),"",IF(OR(G367="",H367=""),"Waiting",IF(G367=H367,G367,IF(AND(G367&lt;&gt;"Exclude",H367&lt;&gt;"Exclude"),"Maybe",IF(J367&lt;&gt;"",J367,"Pending"))))))</f>
        <v/>
      </c>
      <c r="L367" s="28"/>
      <c r="M367" s="28"/>
      <c r="N367" s="28"/>
      <c r="O367" s="28"/>
      <c r="P367" s="28"/>
    </row>
    <row r="368" customFormat="false" ht="15" hidden="false" customHeight="false" outlineLevel="0" collapsed="false">
      <c r="A368" s="28"/>
      <c r="B368" s="28"/>
      <c r="C368" s="28"/>
      <c r="D368" s="28"/>
      <c r="E368" s="28"/>
      <c r="F368" s="28"/>
      <c r="G368" s="28"/>
      <c r="H368" s="28"/>
      <c r="I368" s="29" t="str">
        <f aca="false">IF(OR(G368="",H368=""),"",IF(G368=H368,"Yes","No"))</f>
        <v/>
      </c>
      <c r="J368" s="28"/>
      <c r="K368" s="29" t="str">
        <f aca="false">IF(E368="Snowballing","n/a",IF(AND(G368="",H368=""),"",IF(OR(G368="",H368=""),"Waiting",IF(G368=H368,G368,IF(AND(G368&lt;&gt;"Exclude",H368&lt;&gt;"Exclude"),"Maybe",IF(J368&lt;&gt;"",J368,"Pending"))))))</f>
        <v/>
      </c>
      <c r="L368" s="28"/>
      <c r="M368" s="28"/>
      <c r="N368" s="28"/>
      <c r="O368" s="28"/>
      <c r="P368" s="28"/>
    </row>
    <row r="369" customFormat="false" ht="15" hidden="false" customHeight="false" outlineLevel="0" collapsed="false">
      <c r="A369" s="28"/>
      <c r="B369" s="28"/>
      <c r="C369" s="28"/>
      <c r="D369" s="28"/>
      <c r="E369" s="28"/>
      <c r="F369" s="28"/>
      <c r="G369" s="28"/>
      <c r="H369" s="28"/>
      <c r="I369" s="29" t="str">
        <f aca="false">IF(OR(G369="",H369=""),"",IF(G369=H369,"Yes","No"))</f>
        <v/>
      </c>
      <c r="J369" s="28"/>
      <c r="K369" s="29" t="str">
        <f aca="false">IF(E369="Snowballing","n/a",IF(AND(G369="",H369=""),"",IF(OR(G369="",H369=""),"Waiting",IF(G369=H369,G369,IF(AND(G369&lt;&gt;"Exclude",H369&lt;&gt;"Exclude"),"Maybe",IF(J369&lt;&gt;"",J369,"Pending"))))))</f>
        <v/>
      </c>
      <c r="L369" s="28"/>
      <c r="M369" s="28"/>
      <c r="N369" s="28"/>
      <c r="O369" s="28"/>
      <c r="P369" s="28"/>
    </row>
    <row r="370" customFormat="false" ht="15" hidden="false" customHeight="false" outlineLevel="0" collapsed="false">
      <c r="A370" s="28"/>
      <c r="B370" s="28"/>
      <c r="C370" s="28"/>
      <c r="D370" s="28"/>
      <c r="E370" s="28"/>
      <c r="F370" s="28"/>
      <c r="G370" s="28"/>
      <c r="H370" s="28"/>
      <c r="I370" s="29" t="str">
        <f aca="false">IF(OR(G370="",H370=""),"",IF(G370=H370,"Yes","No"))</f>
        <v/>
      </c>
      <c r="J370" s="28"/>
      <c r="K370" s="29" t="str">
        <f aca="false">IF(E370="Snowballing","n/a",IF(AND(G370="",H370=""),"",IF(OR(G370="",H370=""),"Waiting",IF(G370=H370,G370,IF(AND(G370&lt;&gt;"Exclude",H370&lt;&gt;"Exclude"),"Maybe",IF(J370&lt;&gt;"",J370,"Pending"))))))</f>
        <v/>
      </c>
      <c r="L370" s="28"/>
      <c r="M370" s="28"/>
      <c r="N370" s="28"/>
      <c r="O370" s="28"/>
      <c r="P370" s="28"/>
    </row>
    <row r="371" customFormat="false" ht="15" hidden="false" customHeight="false" outlineLevel="0" collapsed="false">
      <c r="A371" s="28"/>
      <c r="B371" s="28"/>
      <c r="C371" s="28"/>
      <c r="D371" s="28"/>
      <c r="E371" s="28"/>
      <c r="F371" s="28"/>
      <c r="G371" s="28"/>
      <c r="H371" s="28"/>
      <c r="I371" s="29" t="str">
        <f aca="false">IF(OR(G371="",H371=""),"",IF(G371=H371,"Yes","No"))</f>
        <v/>
      </c>
      <c r="J371" s="28"/>
      <c r="K371" s="29" t="str">
        <f aca="false">IF(E371="Snowballing","n/a",IF(AND(G371="",H371=""),"",IF(OR(G371="",H371=""),"Waiting",IF(G371=H371,G371,IF(AND(G371&lt;&gt;"Exclude",H371&lt;&gt;"Exclude"),"Maybe",IF(J371&lt;&gt;"",J371,"Pending"))))))</f>
        <v/>
      </c>
      <c r="L371" s="28"/>
      <c r="M371" s="28"/>
      <c r="N371" s="28"/>
      <c r="O371" s="28"/>
      <c r="P371" s="28"/>
    </row>
    <row r="372" customFormat="false" ht="15" hidden="false" customHeight="false" outlineLevel="0" collapsed="false">
      <c r="A372" s="28"/>
      <c r="B372" s="28"/>
      <c r="C372" s="28"/>
      <c r="D372" s="28"/>
      <c r="E372" s="28"/>
      <c r="F372" s="28"/>
      <c r="G372" s="28"/>
      <c r="H372" s="28"/>
      <c r="I372" s="29" t="str">
        <f aca="false">IF(OR(G372="",H372=""),"",IF(G372=H372,"Yes","No"))</f>
        <v/>
      </c>
      <c r="J372" s="28"/>
      <c r="K372" s="29" t="str">
        <f aca="false">IF(E372="Snowballing","n/a",IF(AND(G372="",H372=""),"",IF(OR(G372="",H372=""),"Waiting",IF(G372=H372,G372,IF(AND(G372&lt;&gt;"Exclude",H372&lt;&gt;"Exclude"),"Maybe",IF(J372&lt;&gt;"",J372,"Pending"))))))</f>
        <v/>
      </c>
      <c r="L372" s="28"/>
      <c r="M372" s="28"/>
      <c r="N372" s="28"/>
      <c r="O372" s="28"/>
      <c r="P372" s="28"/>
    </row>
    <row r="373" customFormat="false" ht="15" hidden="false" customHeight="false" outlineLevel="0" collapsed="false">
      <c r="A373" s="28"/>
      <c r="B373" s="28"/>
      <c r="C373" s="28"/>
      <c r="D373" s="28"/>
      <c r="E373" s="28"/>
      <c r="F373" s="28"/>
      <c r="G373" s="28"/>
      <c r="H373" s="28"/>
      <c r="I373" s="29" t="str">
        <f aca="false">IF(OR(G373="",H373=""),"",IF(G373=H373,"Yes","No"))</f>
        <v/>
      </c>
      <c r="J373" s="28"/>
      <c r="K373" s="29" t="str">
        <f aca="false">IF(E373="Snowballing","n/a",IF(AND(G373="",H373=""),"",IF(OR(G373="",H373=""),"Waiting",IF(G373=H373,G373,IF(AND(G373&lt;&gt;"Exclude",H373&lt;&gt;"Exclude"),"Maybe",IF(J373&lt;&gt;"",J373,"Pending"))))))</f>
        <v/>
      </c>
      <c r="L373" s="28"/>
      <c r="M373" s="28"/>
      <c r="N373" s="28"/>
      <c r="O373" s="28"/>
      <c r="P373" s="28"/>
    </row>
    <row r="374" customFormat="false" ht="15" hidden="false" customHeight="false" outlineLevel="0" collapsed="false">
      <c r="A374" s="28"/>
      <c r="B374" s="28"/>
      <c r="C374" s="28"/>
      <c r="D374" s="28"/>
      <c r="E374" s="28"/>
      <c r="F374" s="28"/>
      <c r="G374" s="28"/>
      <c r="H374" s="28"/>
      <c r="I374" s="29" t="str">
        <f aca="false">IF(OR(G374="",H374=""),"",IF(G374=H374,"Yes","No"))</f>
        <v/>
      </c>
      <c r="J374" s="28"/>
      <c r="K374" s="29" t="str">
        <f aca="false">IF(E374="Snowballing","n/a",IF(AND(G374="",H374=""),"",IF(OR(G374="",H374=""),"Waiting",IF(G374=H374,G374,IF(AND(G374&lt;&gt;"Exclude",H374&lt;&gt;"Exclude"),"Maybe",IF(J374&lt;&gt;"",J374,"Pending"))))))</f>
        <v/>
      </c>
      <c r="L374" s="28"/>
      <c r="M374" s="28"/>
      <c r="N374" s="28"/>
      <c r="O374" s="28"/>
      <c r="P374" s="28"/>
    </row>
    <row r="375" customFormat="false" ht="15" hidden="false" customHeight="false" outlineLevel="0" collapsed="false">
      <c r="A375" s="28"/>
      <c r="B375" s="28"/>
      <c r="C375" s="28"/>
      <c r="D375" s="28"/>
      <c r="E375" s="28"/>
      <c r="F375" s="28"/>
      <c r="G375" s="28"/>
      <c r="H375" s="28"/>
      <c r="I375" s="29" t="str">
        <f aca="false">IF(OR(G375="",H375=""),"",IF(G375=H375,"Yes","No"))</f>
        <v/>
      </c>
      <c r="J375" s="28"/>
      <c r="K375" s="29" t="str">
        <f aca="false">IF(E375="Snowballing","n/a",IF(AND(G375="",H375=""),"",IF(OR(G375="",H375=""),"Waiting",IF(G375=H375,G375,IF(AND(G375&lt;&gt;"Exclude",H375&lt;&gt;"Exclude"),"Maybe",IF(J375&lt;&gt;"",J375,"Pending"))))))</f>
        <v/>
      </c>
      <c r="L375" s="28"/>
      <c r="M375" s="28"/>
      <c r="N375" s="28"/>
      <c r="O375" s="28"/>
      <c r="P375" s="28"/>
    </row>
    <row r="376" customFormat="false" ht="15" hidden="false" customHeight="false" outlineLevel="0" collapsed="false">
      <c r="A376" s="28"/>
      <c r="B376" s="28"/>
      <c r="C376" s="28"/>
      <c r="D376" s="28"/>
      <c r="E376" s="28"/>
      <c r="F376" s="28"/>
      <c r="G376" s="28"/>
      <c r="H376" s="28"/>
      <c r="I376" s="29" t="str">
        <f aca="false">IF(OR(G376="",H376=""),"",IF(G376=H376,"Yes","No"))</f>
        <v/>
      </c>
      <c r="J376" s="28"/>
      <c r="K376" s="29" t="str">
        <f aca="false">IF(E376="Snowballing","n/a",IF(AND(G376="",H376=""),"",IF(OR(G376="",H376=""),"Waiting",IF(G376=H376,G376,IF(AND(G376&lt;&gt;"Exclude",H376&lt;&gt;"Exclude"),"Maybe",IF(J376&lt;&gt;"",J376,"Pending"))))))</f>
        <v/>
      </c>
      <c r="L376" s="28"/>
      <c r="M376" s="28"/>
      <c r="N376" s="28"/>
      <c r="O376" s="28"/>
      <c r="P376" s="28"/>
    </row>
    <row r="377" customFormat="false" ht="15" hidden="false" customHeight="false" outlineLevel="0" collapsed="false">
      <c r="A377" s="28"/>
      <c r="B377" s="28"/>
      <c r="C377" s="28"/>
      <c r="D377" s="28"/>
      <c r="E377" s="28"/>
      <c r="F377" s="28"/>
      <c r="G377" s="28"/>
      <c r="H377" s="28"/>
      <c r="I377" s="29" t="str">
        <f aca="false">IF(OR(G377="",H377=""),"",IF(G377=H377,"Yes","No"))</f>
        <v/>
      </c>
      <c r="J377" s="28"/>
      <c r="K377" s="29" t="str">
        <f aca="false">IF(E377="Snowballing","n/a",IF(AND(G377="",H377=""),"",IF(OR(G377="",H377=""),"Waiting",IF(G377=H377,G377,IF(AND(G377&lt;&gt;"Exclude",H377&lt;&gt;"Exclude"),"Maybe",IF(J377&lt;&gt;"",J377,"Pending"))))))</f>
        <v/>
      </c>
      <c r="L377" s="28"/>
      <c r="M377" s="28"/>
      <c r="N377" s="28"/>
      <c r="O377" s="28"/>
      <c r="P377" s="28"/>
    </row>
    <row r="378" customFormat="false" ht="15" hidden="false" customHeight="false" outlineLevel="0" collapsed="false">
      <c r="A378" s="28"/>
      <c r="B378" s="28"/>
      <c r="C378" s="28"/>
      <c r="D378" s="28"/>
      <c r="E378" s="28"/>
      <c r="F378" s="28"/>
      <c r="G378" s="28"/>
      <c r="H378" s="28"/>
      <c r="I378" s="29" t="str">
        <f aca="false">IF(OR(G378="",H378=""),"",IF(G378=H378,"Yes","No"))</f>
        <v/>
      </c>
      <c r="J378" s="28"/>
      <c r="K378" s="29" t="str">
        <f aca="false">IF(E378="Snowballing","n/a",IF(AND(G378="",H378=""),"",IF(OR(G378="",H378=""),"Waiting",IF(G378=H378,G378,IF(AND(G378&lt;&gt;"Exclude",H378&lt;&gt;"Exclude"),"Maybe",IF(J378&lt;&gt;"",J378,"Pending"))))))</f>
        <v/>
      </c>
      <c r="L378" s="28"/>
      <c r="M378" s="28"/>
      <c r="N378" s="28"/>
      <c r="O378" s="28"/>
      <c r="P378" s="28"/>
    </row>
    <row r="379" customFormat="false" ht="15" hidden="false" customHeight="false" outlineLevel="0" collapsed="false">
      <c r="A379" s="28"/>
      <c r="B379" s="28"/>
      <c r="C379" s="28"/>
      <c r="D379" s="28"/>
      <c r="E379" s="28"/>
      <c r="F379" s="28"/>
      <c r="G379" s="28"/>
      <c r="H379" s="28"/>
      <c r="I379" s="29" t="str">
        <f aca="false">IF(OR(G379="",H379=""),"",IF(G379=H379,"Yes","No"))</f>
        <v/>
      </c>
      <c r="J379" s="28"/>
      <c r="K379" s="29" t="str">
        <f aca="false">IF(E379="Snowballing","n/a",IF(AND(G379="",H379=""),"",IF(OR(G379="",H379=""),"Waiting",IF(G379=H379,G379,IF(AND(G379&lt;&gt;"Exclude",H379&lt;&gt;"Exclude"),"Maybe",IF(J379&lt;&gt;"",J379,"Pending"))))))</f>
        <v/>
      </c>
      <c r="L379" s="28"/>
      <c r="M379" s="28"/>
      <c r="N379" s="28"/>
      <c r="O379" s="28"/>
      <c r="P379" s="28"/>
    </row>
    <row r="380" customFormat="false" ht="15" hidden="false" customHeight="false" outlineLevel="0" collapsed="false">
      <c r="A380" s="28"/>
      <c r="B380" s="28"/>
      <c r="C380" s="28"/>
      <c r="D380" s="28"/>
      <c r="E380" s="28"/>
      <c r="F380" s="28"/>
      <c r="G380" s="28"/>
      <c r="H380" s="28"/>
      <c r="I380" s="29" t="str">
        <f aca="false">IF(OR(G380="",H380=""),"",IF(G380=H380,"Yes","No"))</f>
        <v/>
      </c>
      <c r="J380" s="28"/>
      <c r="K380" s="29" t="str">
        <f aca="false">IF(E380="Snowballing","n/a",IF(AND(G380="",H380=""),"",IF(OR(G380="",H380=""),"Waiting",IF(G380=H380,G380,IF(AND(G380&lt;&gt;"Exclude",H380&lt;&gt;"Exclude"),"Maybe",IF(J380&lt;&gt;"",J380,"Pending"))))))</f>
        <v/>
      </c>
      <c r="L380" s="28"/>
      <c r="M380" s="28"/>
      <c r="N380" s="28"/>
      <c r="O380" s="28"/>
      <c r="P380" s="28"/>
    </row>
    <row r="381" customFormat="false" ht="15" hidden="false" customHeight="false" outlineLevel="0" collapsed="false">
      <c r="A381" s="28"/>
      <c r="B381" s="28"/>
      <c r="C381" s="28"/>
      <c r="D381" s="28"/>
      <c r="E381" s="28"/>
      <c r="F381" s="28"/>
      <c r="G381" s="28"/>
      <c r="H381" s="28"/>
      <c r="I381" s="29" t="str">
        <f aca="false">IF(OR(G381="",H381=""),"",IF(G381=H381,"Yes","No"))</f>
        <v/>
      </c>
      <c r="J381" s="28"/>
      <c r="K381" s="29" t="str">
        <f aca="false">IF(E381="Snowballing","n/a",IF(AND(G381="",H381=""),"",IF(OR(G381="",H381=""),"Waiting",IF(G381=H381,G381,IF(AND(G381&lt;&gt;"Exclude",H381&lt;&gt;"Exclude"),"Maybe",IF(J381&lt;&gt;"",J381,"Pending"))))))</f>
        <v/>
      </c>
      <c r="L381" s="28"/>
      <c r="M381" s="28"/>
      <c r="N381" s="28"/>
      <c r="O381" s="28"/>
      <c r="P381" s="28"/>
    </row>
    <row r="382" customFormat="false" ht="15" hidden="false" customHeight="false" outlineLevel="0" collapsed="false">
      <c r="A382" s="28"/>
      <c r="B382" s="28"/>
      <c r="C382" s="28"/>
      <c r="D382" s="28"/>
      <c r="E382" s="28"/>
      <c r="F382" s="28"/>
      <c r="G382" s="28"/>
      <c r="H382" s="28"/>
      <c r="I382" s="29" t="str">
        <f aca="false">IF(OR(G382="",H382=""),"",IF(G382=H382,"Yes","No"))</f>
        <v/>
      </c>
      <c r="J382" s="28"/>
      <c r="K382" s="29" t="str">
        <f aca="false">IF(E382="Snowballing","n/a",IF(AND(G382="",H382=""),"",IF(OR(G382="",H382=""),"Waiting",IF(G382=H382,G382,IF(AND(G382&lt;&gt;"Exclude",H382&lt;&gt;"Exclude"),"Maybe",IF(J382&lt;&gt;"",J382,"Pending"))))))</f>
        <v/>
      </c>
      <c r="L382" s="28"/>
      <c r="M382" s="28"/>
      <c r="N382" s="28"/>
      <c r="O382" s="28"/>
      <c r="P382" s="28"/>
    </row>
    <row r="383" customFormat="false" ht="15" hidden="false" customHeight="false" outlineLevel="0" collapsed="false">
      <c r="A383" s="28"/>
      <c r="B383" s="28"/>
      <c r="C383" s="28"/>
      <c r="D383" s="28"/>
      <c r="E383" s="28"/>
      <c r="F383" s="28"/>
      <c r="G383" s="28"/>
      <c r="H383" s="28"/>
      <c r="I383" s="29" t="str">
        <f aca="false">IF(OR(G383="",H383=""),"",IF(G383=H383,"Yes","No"))</f>
        <v/>
      </c>
      <c r="J383" s="28"/>
      <c r="K383" s="29" t="str">
        <f aca="false">IF(E383="Snowballing","n/a",IF(AND(G383="",H383=""),"",IF(OR(G383="",H383=""),"Waiting",IF(G383=H383,G383,IF(AND(G383&lt;&gt;"Exclude",H383&lt;&gt;"Exclude"),"Maybe",IF(J383&lt;&gt;"",J383,"Pending"))))))</f>
        <v/>
      </c>
      <c r="L383" s="28"/>
      <c r="M383" s="28"/>
      <c r="N383" s="28"/>
      <c r="O383" s="28"/>
      <c r="P383" s="28"/>
    </row>
    <row r="384" customFormat="false" ht="15" hidden="false" customHeight="false" outlineLevel="0" collapsed="false">
      <c r="A384" s="28"/>
      <c r="B384" s="28"/>
      <c r="C384" s="28"/>
      <c r="D384" s="28"/>
      <c r="E384" s="28"/>
      <c r="F384" s="28"/>
      <c r="G384" s="28"/>
      <c r="H384" s="28"/>
      <c r="I384" s="29" t="str">
        <f aca="false">IF(OR(G384="",H384=""),"",IF(G384=H384,"Yes","No"))</f>
        <v/>
      </c>
      <c r="J384" s="28"/>
      <c r="K384" s="29" t="str">
        <f aca="false">IF(E384="Snowballing","n/a",IF(AND(G384="",H384=""),"",IF(OR(G384="",H384=""),"Waiting",IF(G384=H384,G384,IF(AND(G384&lt;&gt;"Exclude",H384&lt;&gt;"Exclude"),"Maybe",IF(J384&lt;&gt;"",J384,"Pending"))))))</f>
        <v/>
      </c>
      <c r="L384" s="28"/>
      <c r="M384" s="28"/>
      <c r="N384" s="28"/>
      <c r="O384" s="28"/>
      <c r="P384" s="28"/>
    </row>
    <row r="385" customFormat="false" ht="15" hidden="false" customHeight="false" outlineLevel="0" collapsed="false">
      <c r="A385" s="28"/>
      <c r="B385" s="28"/>
      <c r="C385" s="28"/>
      <c r="D385" s="28"/>
      <c r="E385" s="28"/>
      <c r="F385" s="28"/>
      <c r="G385" s="28"/>
      <c r="H385" s="28"/>
      <c r="I385" s="29" t="str">
        <f aca="false">IF(OR(G385="",H385=""),"",IF(G385=H385,"Yes","No"))</f>
        <v/>
      </c>
      <c r="J385" s="28"/>
      <c r="K385" s="29" t="str">
        <f aca="false">IF(E385="Snowballing","n/a",IF(AND(G385="",H385=""),"",IF(OR(G385="",H385=""),"Waiting",IF(G385=H385,G385,IF(AND(G385&lt;&gt;"Exclude",H385&lt;&gt;"Exclude"),"Maybe",IF(J385&lt;&gt;"",J385,"Pending"))))))</f>
        <v/>
      </c>
      <c r="L385" s="28"/>
      <c r="M385" s="28"/>
      <c r="N385" s="28"/>
      <c r="O385" s="28"/>
      <c r="P385" s="28"/>
    </row>
    <row r="386" customFormat="false" ht="15" hidden="false" customHeight="false" outlineLevel="0" collapsed="false">
      <c r="A386" s="28"/>
      <c r="B386" s="28"/>
      <c r="C386" s="28"/>
      <c r="D386" s="28"/>
      <c r="E386" s="28"/>
      <c r="F386" s="28"/>
      <c r="G386" s="28"/>
      <c r="H386" s="28"/>
      <c r="I386" s="29" t="str">
        <f aca="false">IF(OR(G386="",H386=""),"",IF(G386=H386,"Yes","No"))</f>
        <v/>
      </c>
      <c r="J386" s="28"/>
      <c r="K386" s="29" t="str">
        <f aca="false">IF(E386="Snowballing","n/a",IF(AND(G386="",H386=""),"",IF(OR(G386="",H386=""),"Waiting",IF(G386=H386,G386,IF(AND(G386&lt;&gt;"Exclude",H386&lt;&gt;"Exclude"),"Maybe",IF(J386&lt;&gt;"",J386,"Pending"))))))</f>
        <v/>
      </c>
      <c r="L386" s="28"/>
      <c r="M386" s="28"/>
      <c r="N386" s="28"/>
      <c r="O386" s="28"/>
      <c r="P386" s="28"/>
    </row>
    <row r="387" customFormat="false" ht="15" hidden="false" customHeight="false" outlineLevel="0" collapsed="false">
      <c r="A387" s="28"/>
      <c r="B387" s="28"/>
      <c r="C387" s="28"/>
      <c r="D387" s="28"/>
      <c r="E387" s="28"/>
      <c r="F387" s="28"/>
      <c r="G387" s="28"/>
      <c r="H387" s="28"/>
      <c r="I387" s="29" t="str">
        <f aca="false">IF(OR(G387="",H387=""),"",IF(G387=H387,"Yes","No"))</f>
        <v/>
      </c>
      <c r="J387" s="28"/>
      <c r="K387" s="29" t="str">
        <f aca="false">IF(E387="Snowballing","n/a",IF(AND(G387="",H387=""),"",IF(OR(G387="",H387=""),"Waiting",IF(G387=H387,G387,IF(AND(G387&lt;&gt;"Exclude",H387&lt;&gt;"Exclude"),"Maybe",IF(J387&lt;&gt;"",J387,"Pending"))))))</f>
        <v/>
      </c>
      <c r="L387" s="28"/>
      <c r="M387" s="28"/>
      <c r="N387" s="28"/>
      <c r="O387" s="28"/>
      <c r="P387" s="28"/>
    </row>
    <row r="388" customFormat="false" ht="15" hidden="false" customHeight="false" outlineLevel="0" collapsed="false">
      <c r="A388" s="28"/>
      <c r="B388" s="28"/>
      <c r="C388" s="28"/>
      <c r="D388" s="28"/>
      <c r="E388" s="28"/>
      <c r="F388" s="28"/>
      <c r="G388" s="28"/>
      <c r="H388" s="28"/>
      <c r="I388" s="29" t="str">
        <f aca="false">IF(OR(G388="",H388=""),"",IF(G388=H388,"Yes","No"))</f>
        <v/>
      </c>
      <c r="J388" s="28"/>
      <c r="K388" s="29" t="str">
        <f aca="false">IF(E388="Snowballing","n/a",IF(AND(G388="",H388=""),"",IF(OR(G388="",H388=""),"Waiting",IF(G388=H388,G388,IF(AND(G388&lt;&gt;"Exclude",H388&lt;&gt;"Exclude"),"Maybe",IF(J388&lt;&gt;"",J388,"Pending"))))))</f>
        <v/>
      </c>
      <c r="L388" s="28"/>
      <c r="M388" s="28"/>
      <c r="N388" s="28"/>
      <c r="O388" s="28"/>
      <c r="P388" s="28"/>
    </row>
    <row r="389" customFormat="false" ht="15" hidden="false" customHeight="false" outlineLevel="0" collapsed="false">
      <c r="A389" s="28"/>
      <c r="B389" s="28"/>
      <c r="C389" s="28"/>
      <c r="D389" s="28"/>
      <c r="E389" s="28"/>
      <c r="F389" s="28"/>
      <c r="G389" s="28"/>
      <c r="H389" s="28"/>
      <c r="I389" s="29" t="str">
        <f aca="false">IF(OR(G389="",H389=""),"",IF(G389=H389,"Yes","No"))</f>
        <v/>
      </c>
      <c r="J389" s="28"/>
      <c r="K389" s="29" t="str">
        <f aca="false">IF(E389="Snowballing","n/a",IF(AND(G389="",H389=""),"",IF(OR(G389="",H389=""),"Waiting",IF(G389=H389,G389,IF(AND(G389&lt;&gt;"Exclude",H389&lt;&gt;"Exclude"),"Maybe",IF(J389&lt;&gt;"",J389,"Pending"))))))</f>
        <v/>
      </c>
      <c r="L389" s="28"/>
      <c r="M389" s="28"/>
      <c r="N389" s="28"/>
      <c r="O389" s="28"/>
      <c r="P389" s="28"/>
    </row>
    <row r="390" customFormat="false" ht="15" hidden="false" customHeight="false" outlineLevel="0" collapsed="false">
      <c r="A390" s="28"/>
      <c r="B390" s="28"/>
      <c r="C390" s="28"/>
      <c r="D390" s="28"/>
      <c r="E390" s="28"/>
      <c r="F390" s="28"/>
      <c r="G390" s="28"/>
      <c r="H390" s="28"/>
      <c r="I390" s="29" t="str">
        <f aca="false">IF(OR(G390="",H390=""),"",IF(G390=H390,"Yes","No"))</f>
        <v/>
      </c>
      <c r="J390" s="28"/>
      <c r="K390" s="29" t="str">
        <f aca="false">IF(E390="Snowballing","n/a",IF(AND(G390="",H390=""),"",IF(OR(G390="",H390=""),"Waiting",IF(G390=H390,G390,IF(AND(G390&lt;&gt;"Exclude",H390&lt;&gt;"Exclude"),"Maybe",IF(J390&lt;&gt;"",J390,"Pending"))))))</f>
        <v/>
      </c>
      <c r="L390" s="28"/>
      <c r="M390" s="28"/>
      <c r="N390" s="28"/>
      <c r="O390" s="28"/>
      <c r="P390" s="28"/>
    </row>
    <row r="391" customFormat="false" ht="15" hidden="false" customHeight="false" outlineLevel="0" collapsed="false">
      <c r="A391" s="28"/>
      <c r="B391" s="28"/>
      <c r="C391" s="28"/>
      <c r="D391" s="28"/>
      <c r="E391" s="28"/>
      <c r="F391" s="28"/>
      <c r="G391" s="28"/>
      <c r="H391" s="28"/>
      <c r="I391" s="29" t="str">
        <f aca="false">IF(OR(G391="",H391=""),"",IF(G391=H391,"Yes","No"))</f>
        <v/>
      </c>
      <c r="J391" s="28"/>
      <c r="K391" s="29" t="str">
        <f aca="false">IF(E391="Snowballing","n/a",IF(AND(G391="",H391=""),"",IF(OR(G391="",H391=""),"Waiting",IF(G391=H391,G391,IF(AND(G391&lt;&gt;"Exclude",H391&lt;&gt;"Exclude"),"Maybe",IF(J391&lt;&gt;"",J391,"Pending"))))))</f>
        <v/>
      </c>
      <c r="L391" s="28"/>
      <c r="M391" s="28"/>
      <c r="N391" s="28"/>
      <c r="O391" s="28"/>
      <c r="P391" s="28"/>
    </row>
    <row r="392" customFormat="false" ht="15" hidden="false" customHeight="false" outlineLevel="0" collapsed="false">
      <c r="A392" s="28"/>
      <c r="B392" s="28"/>
      <c r="C392" s="28"/>
      <c r="D392" s="28"/>
      <c r="E392" s="28"/>
      <c r="F392" s="28"/>
      <c r="G392" s="28"/>
      <c r="H392" s="28"/>
      <c r="I392" s="29" t="str">
        <f aca="false">IF(OR(G392="",H392=""),"",IF(G392=H392,"Yes","No"))</f>
        <v/>
      </c>
      <c r="J392" s="28"/>
      <c r="K392" s="29" t="str">
        <f aca="false">IF(E392="Snowballing","n/a",IF(AND(G392="",H392=""),"",IF(OR(G392="",H392=""),"Waiting",IF(G392=H392,G392,IF(AND(G392&lt;&gt;"Exclude",H392&lt;&gt;"Exclude"),"Maybe",IF(J392&lt;&gt;"",J392,"Pending"))))))</f>
        <v/>
      </c>
      <c r="L392" s="28"/>
      <c r="M392" s="28"/>
      <c r="N392" s="28"/>
      <c r="O392" s="28"/>
      <c r="P392" s="28"/>
    </row>
    <row r="393" customFormat="false" ht="15" hidden="false" customHeight="false" outlineLevel="0" collapsed="false">
      <c r="A393" s="28"/>
      <c r="B393" s="28"/>
      <c r="C393" s="28"/>
      <c r="D393" s="28"/>
      <c r="E393" s="28"/>
      <c r="F393" s="28"/>
      <c r="G393" s="28"/>
      <c r="H393" s="28"/>
      <c r="I393" s="29" t="str">
        <f aca="false">IF(OR(G393="",H393=""),"",IF(G393=H393,"Yes","No"))</f>
        <v/>
      </c>
      <c r="J393" s="28"/>
      <c r="K393" s="29" t="str">
        <f aca="false">IF(E393="Snowballing","n/a",IF(AND(G393="",H393=""),"",IF(OR(G393="",H393=""),"Waiting",IF(G393=H393,G393,IF(AND(G393&lt;&gt;"Exclude",H393&lt;&gt;"Exclude"),"Maybe",IF(J393&lt;&gt;"",J393,"Pending"))))))</f>
        <v/>
      </c>
      <c r="L393" s="28"/>
      <c r="M393" s="28"/>
      <c r="N393" s="28"/>
      <c r="O393" s="28"/>
      <c r="P393" s="28"/>
    </row>
    <row r="394" customFormat="false" ht="15" hidden="false" customHeight="false" outlineLevel="0" collapsed="false">
      <c r="A394" s="28"/>
      <c r="B394" s="28"/>
      <c r="C394" s="28"/>
      <c r="D394" s="28"/>
      <c r="E394" s="28"/>
      <c r="F394" s="28"/>
      <c r="G394" s="28"/>
      <c r="H394" s="28"/>
      <c r="I394" s="29" t="str">
        <f aca="false">IF(OR(G394="",H394=""),"",IF(G394=H394,"Yes","No"))</f>
        <v/>
      </c>
      <c r="J394" s="28"/>
      <c r="K394" s="29" t="str">
        <f aca="false">IF(E394="Snowballing","n/a",IF(AND(G394="",H394=""),"",IF(OR(G394="",H394=""),"Waiting",IF(G394=H394,G394,IF(AND(G394&lt;&gt;"Exclude",H394&lt;&gt;"Exclude"),"Maybe",IF(J394&lt;&gt;"",J394,"Pending"))))))</f>
        <v/>
      </c>
      <c r="L394" s="28"/>
      <c r="M394" s="28"/>
      <c r="N394" s="28"/>
      <c r="O394" s="28"/>
      <c r="P394" s="28"/>
    </row>
    <row r="395" customFormat="false" ht="15" hidden="false" customHeight="false" outlineLevel="0" collapsed="false">
      <c r="A395" s="28"/>
      <c r="B395" s="28"/>
      <c r="C395" s="28"/>
      <c r="D395" s="28"/>
      <c r="E395" s="28"/>
      <c r="F395" s="28"/>
      <c r="G395" s="28"/>
      <c r="H395" s="28"/>
      <c r="I395" s="29" t="str">
        <f aca="false">IF(OR(G395="",H395=""),"",IF(G395=H395,"Yes","No"))</f>
        <v/>
      </c>
      <c r="J395" s="28"/>
      <c r="K395" s="29" t="str">
        <f aca="false">IF(E395="Snowballing","n/a",IF(AND(G395="",H395=""),"",IF(OR(G395="",H395=""),"Waiting",IF(G395=H395,G395,IF(AND(G395&lt;&gt;"Exclude",H395&lt;&gt;"Exclude"),"Maybe",IF(J395&lt;&gt;"",J395,"Pending"))))))</f>
        <v/>
      </c>
      <c r="L395" s="28"/>
      <c r="M395" s="28"/>
      <c r="N395" s="28"/>
      <c r="O395" s="28"/>
      <c r="P395" s="28"/>
    </row>
    <row r="396" customFormat="false" ht="15" hidden="false" customHeight="false" outlineLevel="0" collapsed="false">
      <c r="A396" s="28"/>
      <c r="B396" s="28"/>
      <c r="C396" s="28"/>
      <c r="D396" s="28"/>
      <c r="E396" s="28"/>
      <c r="F396" s="28"/>
      <c r="G396" s="28"/>
      <c r="H396" s="28"/>
      <c r="I396" s="29" t="str">
        <f aca="false">IF(OR(G396="",H396=""),"",IF(G396=H396,"Yes","No"))</f>
        <v/>
      </c>
      <c r="J396" s="28"/>
      <c r="K396" s="29" t="str">
        <f aca="false">IF(E396="Snowballing","n/a",IF(AND(G396="",H396=""),"",IF(OR(G396="",H396=""),"Waiting",IF(G396=H396,G396,IF(AND(G396&lt;&gt;"Exclude",H396&lt;&gt;"Exclude"),"Maybe",IF(J396&lt;&gt;"",J396,"Pending"))))))</f>
        <v/>
      </c>
      <c r="L396" s="28"/>
      <c r="M396" s="28"/>
      <c r="N396" s="28"/>
      <c r="O396" s="28"/>
      <c r="P396" s="28"/>
    </row>
    <row r="397" customFormat="false" ht="15" hidden="false" customHeight="false" outlineLevel="0" collapsed="false">
      <c r="A397" s="28"/>
      <c r="B397" s="28"/>
      <c r="C397" s="28"/>
      <c r="D397" s="28"/>
      <c r="E397" s="28"/>
      <c r="F397" s="28"/>
      <c r="G397" s="28"/>
      <c r="H397" s="28"/>
      <c r="I397" s="29" t="str">
        <f aca="false">IF(OR(G397="",H397=""),"",IF(G397=H397,"Yes","No"))</f>
        <v/>
      </c>
      <c r="J397" s="28"/>
      <c r="K397" s="29" t="str">
        <f aca="false">IF(E397="Snowballing","n/a",IF(AND(G397="",H397=""),"",IF(OR(G397="",H397=""),"Waiting",IF(G397=H397,G397,IF(AND(G397&lt;&gt;"Exclude",H397&lt;&gt;"Exclude"),"Maybe",IF(J397&lt;&gt;"",J397,"Pending"))))))</f>
        <v/>
      </c>
      <c r="L397" s="28"/>
      <c r="M397" s="28"/>
      <c r="N397" s="28"/>
      <c r="O397" s="28"/>
      <c r="P397" s="28"/>
    </row>
    <row r="398" customFormat="false" ht="15" hidden="false" customHeight="false" outlineLevel="0" collapsed="false">
      <c r="A398" s="28"/>
      <c r="B398" s="28"/>
      <c r="C398" s="28"/>
      <c r="D398" s="28"/>
      <c r="E398" s="28"/>
      <c r="F398" s="28"/>
      <c r="G398" s="28"/>
      <c r="H398" s="28"/>
      <c r="I398" s="29" t="str">
        <f aca="false">IF(OR(G398="",H398=""),"",IF(G398=H398,"Yes","No"))</f>
        <v/>
      </c>
      <c r="J398" s="28"/>
      <c r="K398" s="29" t="str">
        <f aca="false">IF(E398="Snowballing","n/a",IF(AND(G398="",H398=""),"",IF(OR(G398="",H398=""),"Waiting",IF(G398=H398,G398,IF(AND(G398&lt;&gt;"Exclude",H398&lt;&gt;"Exclude"),"Maybe",IF(J398&lt;&gt;"",J398,"Pending"))))))</f>
        <v/>
      </c>
      <c r="L398" s="28"/>
      <c r="M398" s="28"/>
      <c r="N398" s="28"/>
      <c r="O398" s="28"/>
      <c r="P398" s="28"/>
    </row>
    <row r="399" customFormat="false" ht="15" hidden="false" customHeight="false" outlineLevel="0" collapsed="false">
      <c r="A399" s="28"/>
      <c r="B399" s="28"/>
      <c r="C399" s="28"/>
      <c r="D399" s="28"/>
      <c r="E399" s="28"/>
      <c r="F399" s="28"/>
      <c r="G399" s="28"/>
      <c r="H399" s="28"/>
      <c r="I399" s="29" t="str">
        <f aca="false">IF(OR(G399="",H399=""),"",IF(G399=H399,"Yes","No"))</f>
        <v/>
      </c>
      <c r="J399" s="28"/>
      <c r="K399" s="29" t="str">
        <f aca="false">IF(E399="Snowballing","n/a",IF(AND(G399="",H399=""),"",IF(OR(G399="",H399=""),"Waiting",IF(G399=H399,G399,IF(AND(G399&lt;&gt;"Exclude",H399&lt;&gt;"Exclude"),"Maybe",IF(J399&lt;&gt;"",J399,"Pending"))))))</f>
        <v/>
      </c>
      <c r="L399" s="28"/>
      <c r="M399" s="28"/>
      <c r="N399" s="28"/>
      <c r="O399" s="28"/>
      <c r="P399" s="28"/>
    </row>
    <row r="400" customFormat="false" ht="15" hidden="false" customHeight="false" outlineLevel="0" collapsed="false">
      <c r="A400" s="28"/>
      <c r="B400" s="28"/>
      <c r="C400" s="28"/>
      <c r="D400" s="28"/>
      <c r="E400" s="28"/>
      <c r="F400" s="28"/>
      <c r="G400" s="28"/>
      <c r="H400" s="28"/>
      <c r="I400" s="29" t="str">
        <f aca="false">IF(OR(G400="",H400=""),"",IF(G400=H400,"Yes","No"))</f>
        <v/>
      </c>
      <c r="J400" s="28"/>
      <c r="K400" s="29" t="str">
        <f aca="false">IF(E400="Snowballing","n/a",IF(AND(G400="",H400=""),"",IF(OR(G400="",H400=""),"Waiting",IF(G400=H400,G400,IF(AND(G400&lt;&gt;"Exclude",H400&lt;&gt;"Exclude"),"Maybe",IF(J400&lt;&gt;"",J400,"Pending"))))))</f>
        <v/>
      </c>
      <c r="L400" s="28"/>
      <c r="M400" s="28"/>
      <c r="N400" s="28"/>
      <c r="O400" s="28"/>
      <c r="P400" s="28"/>
    </row>
    <row r="401" customFormat="false" ht="15" hidden="false" customHeight="false" outlineLevel="0" collapsed="false">
      <c r="A401" s="28"/>
      <c r="B401" s="28"/>
      <c r="C401" s="28"/>
      <c r="D401" s="28"/>
      <c r="E401" s="28"/>
      <c r="F401" s="28"/>
      <c r="G401" s="28"/>
      <c r="H401" s="28"/>
      <c r="I401" s="29" t="str">
        <f aca="false">IF(OR(G401="",H401=""),"",IF(G401=H401,"Yes","No"))</f>
        <v/>
      </c>
      <c r="J401" s="28"/>
      <c r="K401" s="29" t="str">
        <f aca="false">IF(E401="Snowballing","n/a",IF(AND(G401="",H401=""),"",IF(OR(G401="",H401=""),"Waiting",IF(G401=H401,G401,IF(AND(G401&lt;&gt;"Exclude",H401&lt;&gt;"Exclude"),"Maybe",IF(J401&lt;&gt;"",J401,"Pending"))))))</f>
        <v/>
      </c>
      <c r="L401" s="28"/>
      <c r="M401" s="28"/>
      <c r="N401" s="28"/>
      <c r="O401" s="28"/>
      <c r="P401" s="28"/>
    </row>
    <row r="402" customFormat="false" ht="15" hidden="false" customHeight="false" outlineLevel="0" collapsed="false">
      <c r="A402" s="28"/>
      <c r="B402" s="28"/>
      <c r="C402" s="28"/>
      <c r="D402" s="28"/>
      <c r="E402" s="28"/>
      <c r="F402" s="28"/>
      <c r="G402" s="28"/>
      <c r="H402" s="28"/>
      <c r="I402" s="29" t="str">
        <f aca="false">IF(OR(G402="",H402=""),"",IF(G402=H402,"Yes","No"))</f>
        <v/>
      </c>
      <c r="J402" s="28"/>
      <c r="K402" s="29" t="str">
        <f aca="false">IF(E402="Snowballing","n/a",IF(AND(G402="",H402=""),"",IF(OR(G402="",H402=""),"Waiting",IF(G402=H402,G402,IF(AND(G402&lt;&gt;"Exclude",H402&lt;&gt;"Exclude"),"Maybe",IF(J402&lt;&gt;"",J402,"Pending"))))))</f>
        <v/>
      </c>
      <c r="L402" s="28"/>
      <c r="M402" s="28"/>
      <c r="N402" s="28"/>
      <c r="O402" s="28"/>
      <c r="P402" s="28"/>
    </row>
    <row r="403" customFormat="false" ht="15" hidden="false" customHeight="false" outlineLevel="0" collapsed="false">
      <c r="A403" s="28"/>
      <c r="B403" s="28"/>
      <c r="C403" s="28"/>
      <c r="D403" s="28"/>
      <c r="E403" s="28"/>
      <c r="F403" s="28"/>
      <c r="G403" s="28"/>
      <c r="H403" s="28"/>
      <c r="I403" s="29" t="str">
        <f aca="false">IF(OR(G403="",H403=""),"",IF(G403=H403,"Yes","No"))</f>
        <v/>
      </c>
      <c r="J403" s="28"/>
      <c r="K403" s="29" t="str">
        <f aca="false">IF(E403="Snowballing","n/a",IF(AND(G403="",H403=""),"",IF(OR(G403="",H403=""),"Waiting",IF(G403=H403,G403,IF(AND(G403&lt;&gt;"Exclude",H403&lt;&gt;"Exclude"),"Maybe",IF(J403&lt;&gt;"",J403,"Pending"))))))</f>
        <v/>
      </c>
      <c r="L403" s="28"/>
      <c r="M403" s="28"/>
      <c r="N403" s="28"/>
      <c r="O403" s="28"/>
      <c r="P403" s="28"/>
    </row>
    <row r="404" customFormat="false" ht="15" hidden="false" customHeight="false" outlineLevel="0" collapsed="false">
      <c r="A404" s="28"/>
      <c r="B404" s="28"/>
      <c r="C404" s="28"/>
      <c r="D404" s="28"/>
      <c r="E404" s="28"/>
      <c r="F404" s="28"/>
      <c r="G404" s="28"/>
      <c r="H404" s="28"/>
      <c r="I404" s="29" t="str">
        <f aca="false">IF(OR(G404="",H404=""),"",IF(G404=H404,"Yes","No"))</f>
        <v/>
      </c>
      <c r="J404" s="28"/>
      <c r="K404" s="29" t="str">
        <f aca="false">IF(E404="Snowballing","n/a",IF(AND(G404="",H404=""),"",IF(OR(G404="",H404=""),"Waiting",IF(G404=H404,G404,IF(AND(G404&lt;&gt;"Exclude",H404&lt;&gt;"Exclude"),"Maybe",IF(J404&lt;&gt;"",J404,"Pending"))))))</f>
        <v/>
      </c>
      <c r="L404" s="28"/>
      <c r="M404" s="28"/>
      <c r="N404" s="28"/>
      <c r="O404" s="28"/>
      <c r="P404" s="28"/>
    </row>
    <row r="405" customFormat="false" ht="15" hidden="false" customHeight="false" outlineLevel="0" collapsed="false">
      <c r="A405" s="28"/>
      <c r="B405" s="28"/>
      <c r="C405" s="28"/>
      <c r="D405" s="28"/>
      <c r="E405" s="28"/>
      <c r="F405" s="28"/>
      <c r="G405" s="28"/>
      <c r="H405" s="28"/>
      <c r="I405" s="29" t="str">
        <f aca="false">IF(OR(G405="",H405=""),"",IF(G405=H405,"Yes","No"))</f>
        <v/>
      </c>
      <c r="J405" s="28"/>
      <c r="K405" s="29" t="str">
        <f aca="false">IF(E405="Snowballing","n/a",IF(AND(G405="",H405=""),"",IF(OR(G405="",H405=""),"Waiting",IF(G405=H405,G405,IF(AND(G405&lt;&gt;"Exclude",H405&lt;&gt;"Exclude"),"Maybe",IF(J405&lt;&gt;"",J405,"Pending"))))))</f>
        <v/>
      </c>
      <c r="L405" s="28"/>
      <c r="M405" s="28"/>
      <c r="N405" s="28"/>
      <c r="O405" s="28"/>
      <c r="P405" s="28"/>
    </row>
    <row r="406" customFormat="false" ht="15" hidden="false" customHeight="false" outlineLevel="0" collapsed="false">
      <c r="A406" s="28"/>
      <c r="B406" s="28"/>
      <c r="C406" s="28"/>
      <c r="D406" s="28"/>
      <c r="E406" s="28"/>
      <c r="F406" s="28"/>
      <c r="G406" s="28"/>
      <c r="H406" s="28"/>
      <c r="I406" s="29" t="str">
        <f aca="false">IF(OR(G406="",H406=""),"",IF(G406=H406,"Yes","No"))</f>
        <v/>
      </c>
      <c r="J406" s="28"/>
      <c r="K406" s="29" t="str">
        <f aca="false">IF(E406="Snowballing","n/a",IF(AND(G406="",H406=""),"",IF(OR(G406="",H406=""),"Waiting",IF(G406=H406,G406,IF(AND(G406&lt;&gt;"Exclude",H406&lt;&gt;"Exclude"),"Maybe",IF(J406&lt;&gt;"",J406,"Pending"))))))</f>
        <v/>
      </c>
      <c r="L406" s="28"/>
      <c r="M406" s="28"/>
      <c r="N406" s="28"/>
      <c r="O406" s="28"/>
      <c r="P406" s="28"/>
    </row>
    <row r="407" customFormat="false" ht="15" hidden="false" customHeight="false" outlineLevel="0" collapsed="false">
      <c r="A407" s="28"/>
      <c r="B407" s="28"/>
      <c r="C407" s="28"/>
      <c r="D407" s="28"/>
      <c r="E407" s="28"/>
      <c r="F407" s="28"/>
      <c r="G407" s="28"/>
      <c r="H407" s="28"/>
      <c r="I407" s="29" t="str">
        <f aca="false">IF(OR(G407="",H407=""),"",IF(G407=H407,"Yes","No"))</f>
        <v/>
      </c>
      <c r="J407" s="28"/>
      <c r="K407" s="29" t="str">
        <f aca="false">IF(E407="Snowballing","n/a",IF(AND(G407="",H407=""),"",IF(OR(G407="",H407=""),"Waiting",IF(G407=H407,G407,IF(AND(G407&lt;&gt;"Exclude",H407&lt;&gt;"Exclude"),"Maybe",IF(J407&lt;&gt;"",J407,"Pending"))))))</f>
        <v/>
      </c>
      <c r="L407" s="28"/>
      <c r="M407" s="28"/>
      <c r="N407" s="28"/>
      <c r="O407" s="28"/>
      <c r="P407" s="28"/>
    </row>
    <row r="408" customFormat="false" ht="15" hidden="false" customHeight="false" outlineLevel="0" collapsed="false">
      <c r="A408" s="28"/>
      <c r="B408" s="28"/>
      <c r="C408" s="28"/>
      <c r="D408" s="28"/>
      <c r="E408" s="28"/>
      <c r="F408" s="28"/>
      <c r="G408" s="28"/>
      <c r="H408" s="28"/>
      <c r="I408" s="29" t="str">
        <f aca="false">IF(OR(G408="",H408=""),"",IF(G408=H408,"Yes","No"))</f>
        <v/>
      </c>
      <c r="J408" s="28"/>
      <c r="K408" s="29" t="str">
        <f aca="false">IF(E408="Snowballing","n/a",IF(AND(G408="",H408=""),"",IF(OR(G408="",H408=""),"Waiting",IF(G408=H408,G408,IF(AND(G408&lt;&gt;"Exclude",H408&lt;&gt;"Exclude"),"Maybe",IF(J408&lt;&gt;"",J408,"Pending"))))))</f>
        <v/>
      </c>
      <c r="L408" s="28"/>
      <c r="M408" s="28"/>
      <c r="N408" s="28"/>
      <c r="O408" s="28"/>
      <c r="P408" s="28"/>
    </row>
    <row r="409" customFormat="false" ht="15" hidden="false" customHeight="false" outlineLevel="0" collapsed="false">
      <c r="A409" s="28"/>
      <c r="B409" s="28"/>
      <c r="C409" s="28"/>
      <c r="D409" s="28"/>
      <c r="E409" s="28"/>
      <c r="F409" s="28"/>
      <c r="G409" s="28"/>
      <c r="H409" s="28"/>
      <c r="I409" s="29" t="str">
        <f aca="false">IF(OR(G409="",H409=""),"",IF(G409=H409,"Yes","No"))</f>
        <v/>
      </c>
      <c r="J409" s="28"/>
      <c r="K409" s="29" t="str">
        <f aca="false">IF(E409="Snowballing","n/a",IF(AND(G409="",H409=""),"",IF(OR(G409="",H409=""),"Waiting",IF(G409=H409,G409,IF(AND(G409&lt;&gt;"Exclude",H409&lt;&gt;"Exclude"),"Maybe",IF(J409&lt;&gt;"",J409,"Pending"))))))</f>
        <v/>
      </c>
      <c r="L409" s="28"/>
      <c r="M409" s="28"/>
      <c r="N409" s="28"/>
      <c r="O409" s="28"/>
      <c r="P409" s="28"/>
    </row>
    <row r="410" customFormat="false" ht="15" hidden="false" customHeight="false" outlineLevel="0" collapsed="false">
      <c r="A410" s="28"/>
      <c r="B410" s="28"/>
      <c r="C410" s="28"/>
      <c r="D410" s="28"/>
      <c r="E410" s="28"/>
      <c r="F410" s="28"/>
      <c r="G410" s="28"/>
      <c r="H410" s="28"/>
      <c r="I410" s="29" t="str">
        <f aca="false">IF(OR(G410="",H410=""),"",IF(G410=H410,"Yes","No"))</f>
        <v/>
      </c>
      <c r="J410" s="28"/>
      <c r="K410" s="29" t="str">
        <f aca="false">IF(E410="Snowballing","n/a",IF(AND(G410="",H410=""),"",IF(OR(G410="",H410=""),"Waiting",IF(G410=H410,G410,IF(AND(G410&lt;&gt;"Exclude",H410&lt;&gt;"Exclude"),"Maybe",IF(J410&lt;&gt;"",J410,"Pending"))))))</f>
        <v/>
      </c>
      <c r="L410" s="28"/>
      <c r="M410" s="28"/>
      <c r="N410" s="28"/>
      <c r="O410" s="28"/>
      <c r="P410" s="28"/>
    </row>
    <row r="411" customFormat="false" ht="15" hidden="false" customHeight="false" outlineLevel="0" collapsed="false">
      <c r="A411" s="28"/>
      <c r="B411" s="28"/>
      <c r="C411" s="28"/>
      <c r="D411" s="28"/>
      <c r="E411" s="28"/>
      <c r="F411" s="28"/>
      <c r="G411" s="28"/>
      <c r="H411" s="28"/>
      <c r="I411" s="29" t="str">
        <f aca="false">IF(OR(G411="",H411=""),"",IF(G411=H411,"Yes","No"))</f>
        <v/>
      </c>
      <c r="J411" s="28"/>
      <c r="K411" s="29" t="str">
        <f aca="false">IF(E411="Snowballing","n/a",IF(AND(G411="",H411=""),"",IF(OR(G411="",H411=""),"Waiting",IF(G411=H411,G411,IF(AND(G411&lt;&gt;"Exclude",H411&lt;&gt;"Exclude"),"Maybe",IF(J411&lt;&gt;"",J411,"Pending"))))))</f>
        <v/>
      </c>
      <c r="L411" s="28"/>
      <c r="M411" s="28"/>
      <c r="N411" s="28"/>
      <c r="O411" s="28"/>
      <c r="P411" s="28"/>
    </row>
    <row r="412" customFormat="false" ht="15" hidden="false" customHeight="false" outlineLevel="0" collapsed="false">
      <c r="A412" s="28"/>
      <c r="B412" s="28"/>
      <c r="C412" s="28"/>
      <c r="D412" s="28"/>
      <c r="E412" s="28"/>
      <c r="F412" s="28"/>
      <c r="G412" s="28"/>
      <c r="H412" s="28"/>
      <c r="I412" s="29" t="str">
        <f aca="false">IF(OR(G412="",H412=""),"",IF(G412=H412,"Yes","No"))</f>
        <v/>
      </c>
      <c r="J412" s="28"/>
      <c r="K412" s="29" t="str">
        <f aca="false">IF(E412="Snowballing","n/a",IF(AND(G412="",H412=""),"",IF(OR(G412="",H412=""),"Waiting",IF(G412=H412,G412,IF(AND(G412&lt;&gt;"Exclude",H412&lt;&gt;"Exclude"),"Maybe",IF(J412&lt;&gt;"",J412,"Pending"))))))</f>
        <v/>
      </c>
      <c r="L412" s="28"/>
      <c r="M412" s="28"/>
      <c r="N412" s="28"/>
      <c r="O412" s="28"/>
      <c r="P412" s="28"/>
    </row>
    <row r="413" customFormat="false" ht="15" hidden="false" customHeight="false" outlineLevel="0" collapsed="false">
      <c r="A413" s="28"/>
      <c r="B413" s="28"/>
      <c r="C413" s="28"/>
      <c r="D413" s="28"/>
      <c r="E413" s="28"/>
      <c r="F413" s="28"/>
      <c r="G413" s="28"/>
      <c r="H413" s="28"/>
      <c r="I413" s="29" t="str">
        <f aca="false">IF(OR(G413="",H413=""),"",IF(G413=H413,"Yes","No"))</f>
        <v/>
      </c>
      <c r="J413" s="28"/>
      <c r="K413" s="29" t="str">
        <f aca="false">IF(E413="Snowballing","n/a",IF(AND(G413="",H413=""),"",IF(OR(G413="",H413=""),"Waiting",IF(G413=H413,G413,IF(AND(G413&lt;&gt;"Exclude",H413&lt;&gt;"Exclude"),"Maybe",IF(J413&lt;&gt;"",J413,"Pending"))))))</f>
        <v/>
      </c>
      <c r="L413" s="28"/>
      <c r="M413" s="28"/>
      <c r="N413" s="28"/>
      <c r="O413" s="28"/>
      <c r="P413" s="28"/>
    </row>
    <row r="414" customFormat="false" ht="15" hidden="false" customHeight="false" outlineLevel="0" collapsed="false">
      <c r="A414" s="28"/>
      <c r="B414" s="28"/>
      <c r="C414" s="28"/>
      <c r="D414" s="28"/>
      <c r="E414" s="28"/>
      <c r="F414" s="28"/>
      <c r="G414" s="28"/>
      <c r="H414" s="28"/>
      <c r="I414" s="29" t="str">
        <f aca="false">IF(OR(G414="",H414=""),"",IF(G414=H414,"Yes","No"))</f>
        <v/>
      </c>
      <c r="J414" s="28"/>
      <c r="K414" s="29" t="str">
        <f aca="false">IF(E414="Snowballing","n/a",IF(AND(G414="",H414=""),"",IF(OR(G414="",H414=""),"Waiting",IF(G414=H414,G414,IF(AND(G414&lt;&gt;"Exclude",H414&lt;&gt;"Exclude"),"Maybe",IF(J414&lt;&gt;"",J414,"Pending"))))))</f>
        <v/>
      </c>
      <c r="L414" s="28"/>
      <c r="M414" s="28"/>
      <c r="N414" s="28"/>
      <c r="O414" s="28"/>
      <c r="P414" s="28"/>
    </row>
    <row r="415" customFormat="false" ht="15" hidden="false" customHeight="false" outlineLevel="0" collapsed="false">
      <c r="A415" s="28"/>
      <c r="B415" s="28"/>
      <c r="C415" s="28"/>
      <c r="D415" s="28"/>
      <c r="E415" s="28"/>
      <c r="F415" s="28"/>
      <c r="G415" s="28"/>
      <c r="H415" s="28"/>
      <c r="I415" s="29" t="str">
        <f aca="false">IF(OR(G415="",H415=""),"",IF(G415=H415,"Yes","No"))</f>
        <v/>
      </c>
      <c r="J415" s="28"/>
      <c r="K415" s="29" t="str">
        <f aca="false">IF(E415="Snowballing","n/a",IF(AND(G415="",H415=""),"",IF(OR(G415="",H415=""),"Waiting",IF(G415=H415,G415,IF(AND(G415&lt;&gt;"Exclude",H415&lt;&gt;"Exclude"),"Maybe",IF(J415&lt;&gt;"",J415,"Pending"))))))</f>
        <v/>
      </c>
      <c r="L415" s="28"/>
      <c r="M415" s="28"/>
      <c r="N415" s="28"/>
      <c r="O415" s="28"/>
      <c r="P415" s="28"/>
    </row>
    <row r="416" customFormat="false" ht="15" hidden="false" customHeight="false" outlineLevel="0" collapsed="false">
      <c r="A416" s="28"/>
      <c r="B416" s="28"/>
      <c r="C416" s="28"/>
      <c r="D416" s="28"/>
      <c r="E416" s="28"/>
      <c r="F416" s="28"/>
      <c r="G416" s="28"/>
      <c r="H416" s="28"/>
      <c r="I416" s="29" t="str">
        <f aca="false">IF(OR(G416="",H416=""),"",IF(G416=H416,"Yes","No"))</f>
        <v/>
      </c>
      <c r="J416" s="28"/>
      <c r="K416" s="29" t="str">
        <f aca="false">IF(E416="Snowballing","n/a",IF(AND(G416="",H416=""),"",IF(OR(G416="",H416=""),"Waiting",IF(G416=H416,G416,IF(AND(G416&lt;&gt;"Exclude",H416&lt;&gt;"Exclude"),"Maybe",IF(J416&lt;&gt;"",J416,"Pending"))))))</f>
        <v/>
      </c>
      <c r="L416" s="28"/>
      <c r="M416" s="28"/>
      <c r="N416" s="28"/>
      <c r="O416" s="28"/>
      <c r="P416" s="28"/>
    </row>
    <row r="417" customFormat="false" ht="15" hidden="false" customHeight="false" outlineLevel="0" collapsed="false">
      <c r="A417" s="28"/>
      <c r="B417" s="28"/>
      <c r="C417" s="28"/>
      <c r="D417" s="28"/>
      <c r="E417" s="28"/>
      <c r="F417" s="28"/>
      <c r="G417" s="28"/>
      <c r="H417" s="28"/>
      <c r="I417" s="29" t="str">
        <f aca="false">IF(OR(G417="",H417=""),"",IF(G417=H417,"Yes","No"))</f>
        <v/>
      </c>
      <c r="J417" s="28"/>
      <c r="K417" s="29" t="str">
        <f aca="false">IF(E417="Snowballing","n/a",IF(AND(G417="",H417=""),"",IF(OR(G417="",H417=""),"Waiting",IF(G417=H417,G417,IF(AND(G417&lt;&gt;"Exclude",H417&lt;&gt;"Exclude"),"Maybe",IF(J417&lt;&gt;"",J417,"Pending"))))))</f>
        <v/>
      </c>
      <c r="L417" s="28"/>
      <c r="M417" s="28"/>
      <c r="N417" s="28"/>
      <c r="O417" s="28"/>
      <c r="P417" s="28"/>
    </row>
    <row r="418" customFormat="false" ht="15" hidden="false" customHeight="false" outlineLevel="0" collapsed="false">
      <c r="A418" s="28"/>
      <c r="B418" s="28"/>
      <c r="C418" s="28"/>
      <c r="D418" s="28"/>
      <c r="E418" s="28"/>
      <c r="F418" s="28"/>
      <c r="G418" s="28"/>
      <c r="H418" s="28"/>
      <c r="I418" s="29" t="str">
        <f aca="false">IF(OR(G418="",H418=""),"",IF(G418=H418,"Yes","No"))</f>
        <v/>
      </c>
      <c r="J418" s="28"/>
      <c r="K418" s="29" t="str">
        <f aca="false">IF(E418="Snowballing","n/a",IF(AND(G418="",H418=""),"",IF(OR(G418="",H418=""),"Waiting",IF(G418=H418,G418,IF(AND(G418&lt;&gt;"Exclude",H418&lt;&gt;"Exclude"),"Maybe",IF(J418&lt;&gt;"",J418,"Pending"))))))</f>
        <v/>
      </c>
      <c r="L418" s="28"/>
      <c r="M418" s="28"/>
      <c r="N418" s="28"/>
      <c r="O418" s="28"/>
      <c r="P418" s="28"/>
    </row>
    <row r="419" customFormat="false" ht="15" hidden="false" customHeight="false" outlineLevel="0" collapsed="false">
      <c r="A419" s="28"/>
      <c r="B419" s="28"/>
      <c r="C419" s="28"/>
      <c r="D419" s="28"/>
      <c r="E419" s="28"/>
      <c r="F419" s="28"/>
      <c r="G419" s="28"/>
      <c r="H419" s="28"/>
      <c r="I419" s="29" t="str">
        <f aca="false">IF(OR(G419="",H419=""),"",IF(G419=H419,"Yes","No"))</f>
        <v/>
      </c>
      <c r="J419" s="28"/>
      <c r="K419" s="29" t="str">
        <f aca="false">IF(E419="Snowballing","n/a",IF(AND(G419="",H419=""),"",IF(OR(G419="",H419=""),"Waiting",IF(G419=H419,G419,IF(AND(G419&lt;&gt;"Exclude",H419&lt;&gt;"Exclude"),"Maybe",IF(J419&lt;&gt;"",J419,"Pending"))))))</f>
        <v/>
      </c>
      <c r="L419" s="28"/>
      <c r="M419" s="28"/>
      <c r="N419" s="28"/>
      <c r="O419" s="28"/>
      <c r="P419" s="28"/>
    </row>
    <row r="420" customFormat="false" ht="15" hidden="false" customHeight="false" outlineLevel="0" collapsed="false">
      <c r="A420" s="28"/>
      <c r="B420" s="28"/>
      <c r="C420" s="28"/>
      <c r="D420" s="28"/>
      <c r="E420" s="28"/>
      <c r="F420" s="28"/>
      <c r="G420" s="28"/>
      <c r="H420" s="28"/>
      <c r="I420" s="29" t="str">
        <f aca="false">IF(OR(G420="",H420=""),"",IF(G420=H420,"Yes","No"))</f>
        <v/>
      </c>
      <c r="J420" s="28"/>
      <c r="K420" s="29" t="str">
        <f aca="false">IF(E420="Snowballing","n/a",IF(AND(G420="",H420=""),"",IF(OR(G420="",H420=""),"Waiting",IF(G420=H420,G420,IF(AND(G420&lt;&gt;"Exclude",H420&lt;&gt;"Exclude"),"Maybe",IF(J420&lt;&gt;"",J420,"Pending"))))))</f>
        <v/>
      </c>
      <c r="L420" s="28"/>
      <c r="M420" s="28"/>
      <c r="N420" s="28"/>
      <c r="O420" s="28"/>
      <c r="P420" s="28"/>
    </row>
    <row r="421" customFormat="false" ht="15" hidden="false" customHeight="false" outlineLevel="0" collapsed="false">
      <c r="A421" s="28"/>
      <c r="B421" s="28"/>
      <c r="C421" s="28"/>
      <c r="D421" s="28"/>
      <c r="E421" s="28"/>
      <c r="F421" s="28"/>
      <c r="G421" s="28"/>
      <c r="H421" s="28"/>
      <c r="I421" s="29" t="str">
        <f aca="false">IF(OR(G421="",H421=""),"",IF(G421=H421,"Yes","No"))</f>
        <v/>
      </c>
      <c r="J421" s="28"/>
      <c r="K421" s="29" t="str">
        <f aca="false">IF(E421="Snowballing","n/a",IF(AND(G421="",H421=""),"",IF(OR(G421="",H421=""),"Waiting",IF(G421=H421,G421,IF(AND(G421&lt;&gt;"Exclude",H421&lt;&gt;"Exclude"),"Maybe",IF(J421&lt;&gt;"",J421,"Pending"))))))</f>
        <v/>
      </c>
      <c r="L421" s="28"/>
      <c r="M421" s="28"/>
      <c r="N421" s="28"/>
      <c r="O421" s="28"/>
      <c r="P421" s="28"/>
    </row>
    <row r="422" customFormat="false" ht="15" hidden="false" customHeight="false" outlineLevel="0" collapsed="false">
      <c r="A422" s="28"/>
      <c r="B422" s="28"/>
      <c r="C422" s="28"/>
      <c r="D422" s="28"/>
      <c r="E422" s="28"/>
      <c r="F422" s="28"/>
      <c r="G422" s="28"/>
      <c r="H422" s="28"/>
      <c r="I422" s="29" t="str">
        <f aca="false">IF(OR(G422="",H422=""),"",IF(G422=H422,"Yes","No"))</f>
        <v/>
      </c>
      <c r="J422" s="28"/>
      <c r="K422" s="29" t="str">
        <f aca="false">IF(E422="Snowballing","n/a",IF(AND(G422="",H422=""),"",IF(OR(G422="",H422=""),"Waiting",IF(G422=H422,G422,IF(AND(G422&lt;&gt;"Exclude",H422&lt;&gt;"Exclude"),"Maybe",IF(J422&lt;&gt;"",J422,"Pending"))))))</f>
        <v/>
      </c>
      <c r="L422" s="28"/>
      <c r="M422" s="28"/>
      <c r="N422" s="28"/>
      <c r="O422" s="28"/>
      <c r="P422" s="28"/>
    </row>
    <row r="423" customFormat="false" ht="15" hidden="false" customHeight="false" outlineLevel="0" collapsed="false">
      <c r="A423" s="28"/>
      <c r="B423" s="28"/>
      <c r="C423" s="28"/>
      <c r="D423" s="28"/>
      <c r="E423" s="28"/>
      <c r="F423" s="28"/>
      <c r="G423" s="28"/>
      <c r="H423" s="28"/>
      <c r="I423" s="29" t="str">
        <f aca="false">IF(OR(G423="",H423=""),"",IF(G423=H423,"Yes","No"))</f>
        <v/>
      </c>
      <c r="J423" s="28"/>
      <c r="K423" s="29" t="str">
        <f aca="false">IF(E423="Snowballing","n/a",IF(AND(G423="",H423=""),"",IF(OR(G423="",H423=""),"Waiting",IF(G423=H423,G423,IF(AND(G423&lt;&gt;"Exclude",H423&lt;&gt;"Exclude"),"Maybe",IF(J423&lt;&gt;"",J423,"Pending"))))))</f>
        <v/>
      </c>
      <c r="L423" s="28"/>
      <c r="M423" s="28"/>
      <c r="N423" s="28"/>
      <c r="O423" s="28"/>
      <c r="P423" s="28"/>
    </row>
    <row r="424" customFormat="false" ht="15" hidden="false" customHeight="false" outlineLevel="0" collapsed="false">
      <c r="A424" s="28"/>
      <c r="B424" s="28"/>
      <c r="C424" s="28"/>
      <c r="D424" s="28"/>
      <c r="E424" s="28"/>
      <c r="F424" s="28"/>
      <c r="G424" s="28"/>
      <c r="H424" s="28"/>
      <c r="I424" s="29" t="str">
        <f aca="false">IF(OR(G424="",H424=""),"",IF(G424=H424,"Yes","No"))</f>
        <v/>
      </c>
      <c r="J424" s="28"/>
      <c r="K424" s="29" t="str">
        <f aca="false">IF(E424="Snowballing","n/a",IF(AND(G424="",H424=""),"",IF(OR(G424="",H424=""),"Waiting",IF(G424=H424,G424,IF(AND(G424&lt;&gt;"Exclude",H424&lt;&gt;"Exclude"),"Maybe",IF(J424&lt;&gt;"",J424,"Pending"))))))</f>
        <v/>
      </c>
      <c r="L424" s="28"/>
      <c r="M424" s="28"/>
      <c r="N424" s="28"/>
      <c r="O424" s="28"/>
      <c r="P424" s="28"/>
    </row>
    <row r="425" customFormat="false" ht="15" hidden="false" customHeight="false" outlineLevel="0" collapsed="false">
      <c r="A425" s="28"/>
      <c r="B425" s="28"/>
      <c r="C425" s="28"/>
      <c r="D425" s="28"/>
      <c r="E425" s="28"/>
      <c r="F425" s="28"/>
      <c r="G425" s="28"/>
      <c r="H425" s="28"/>
      <c r="I425" s="29" t="str">
        <f aca="false">IF(OR(G425="",H425=""),"",IF(G425=H425,"Yes","No"))</f>
        <v/>
      </c>
      <c r="J425" s="28"/>
      <c r="K425" s="29" t="str">
        <f aca="false">IF(E425="Snowballing","n/a",IF(AND(G425="",H425=""),"",IF(OR(G425="",H425=""),"Waiting",IF(G425=H425,G425,IF(AND(G425&lt;&gt;"Exclude",H425&lt;&gt;"Exclude"),"Maybe",IF(J425&lt;&gt;"",J425,"Pending"))))))</f>
        <v/>
      </c>
      <c r="L425" s="28"/>
      <c r="M425" s="28"/>
      <c r="N425" s="28"/>
      <c r="O425" s="28"/>
      <c r="P425" s="28"/>
    </row>
    <row r="426" customFormat="false" ht="15" hidden="false" customHeight="false" outlineLevel="0" collapsed="false">
      <c r="A426" s="28"/>
      <c r="B426" s="28"/>
      <c r="C426" s="28"/>
      <c r="D426" s="28"/>
      <c r="E426" s="28"/>
      <c r="F426" s="28"/>
      <c r="G426" s="28"/>
      <c r="H426" s="28"/>
      <c r="I426" s="29" t="str">
        <f aca="false">IF(OR(G426="",H426=""),"",IF(G426=H426,"Yes","No"))</f>
        <v/>
      </c>
      <c r="J426" s="28"/>
      <c r="K426" s="29" t="str">
        <f aca="false">IF(E426="Snowballing","n/a",IF(AND(G426="",H426=""),"",IF(OR(G426="",H426=""),"Waiting",IF(G426=H426,G426,IF(AND(G426&lt;&gt;"Exclude",H426&lt;&gt;"Exclude"),"Maybe",IF(J426&lt;&gt;"",J426,"Pending"))))))</f>
        <v/>
      </c>
      <c r="L426" s="28"/>
      <c r="M426" s="28"/>
      <c r="N426" s="28"/>
      <c r="O426" s="28"/>
      <c r="P426" s="28"/>
    </row>
    <row r="427" customFormat="false" ht="15" hidden="false" customHeight="false" outlineLevel="0" collapsed="false">
      <c r="A427" s="28"/>
      <c r="B427" s="28"/>
      <c r="C427" s="28"/>
      <c r="D427" s="28"/>
      <c r="E427" s="28"/>
      <c r="F427" s="28"/>
      <c r="G427" s="28"/>
      <c r="H427" s="28"/>
      <c r="I427" s="29" t="str">
        <f aca="false">IF(OR(G427="",H427=""),"",IF(G427=H427,"Yes","No"))</f>
        <v/>
      </c>
      <c r="J427" s="28"/>
      <c r="K427" s="29" t="str">
        <f aca="false">IF(E427="Snowballing","n/a",IF(AND(G427="",H427=""),"",IF(OR(G427="",H427=""),"Waiting",IF(G427=H427,G427,IF(AND(G427&lt;&gt;"Exclude",H427&lt;&gt;"Exclude"),"Maybe",IF(J427&lt;&gt;"",J427,"Pending"))))))</f>
        <v/>
      </c>
      <c r="L427" s="28"/>
      <c r="M427" s="28"/>
      <c r="N427" s="28"/>
      <c r="O427" s="28"/>
      <c r="P427" s="28"/>
    </row>
    <row r="428" customFormat="false" ht="15" hidden="false" customHeight="false" outlineLevel="0" collapsed="false">
      <c r="A428" s="28"/>
      <c r="B428" s="28"/>
      <c r="C428" s="28"/>
      <c r="D428" s="28"/>
      <c r="E428" s="28"/>
      <c r="F428" s="28"/>
      <c r="G428" s="28"/>
      <c r="H428" s="28"/>
      <c r="I428" s="29" t="str">
        <f aca="false">IF(OR(G428="",H428=""),"",IF(G428=H428,"Yes","No"))</f>
        <v/>
      </c>
      <c r="J428" s="28"/>
      <c r="K428" s="29" t="str">
        <f aca="false">IF(E428="Snowballing","n/a",IF(AND(G428="",H428=""),"",IF(OR(G428="",H428=""),"Waiting",IF(G428=H428,G428,IF(AND(G428&lt;&gt;"Exclude",H428&lt;&gt;"Exclude"),"Maybe",IF(J428&lt;&gt;"",J428,"Pending"))))))</f>
        <v/>
      </c>
      <c r="L428" s="28"/>
      <c r="M428" s="28"/>
      <c r="N428" s="28"/>
      <c r="O428" s="28"/>
      <c r="P428" s="28"/>
    </row>
    <row r="429" customFormat="false" ht="15" hidden="false" customHeight="false" outlineLevel="0" collapsed="false">
      <c r="A429" s="28"/>
      <c r="B429" s="28"/>
      <c r="C429" s="28"/>
      <c r="D429" s="28"/>
      <c r="E429" s="28"/>
      <c r="F429" s="28"/>
      <c r="G429" s="28"/>
      <c r="H429" s="28"/>
      <c r="I429" s="29" t="str">
        <f aca="false">IF(OR(G429="",H429=""),"",IF(G429=H429,"Yes","No"))</f>
        <v/>
      </c>
      <c r="J429" s="28"/>
      <c r="K429" s="29" t="str">
        <f aca="false">IF(E429="Snowballing","n/a",IF(AND(G429="",H429=""),"",IF(OR(G429="",H429=""),"Waiting",IF(G429=H429,G429,IF(AND(G429&lt;&gt;"Exclude",H429&lt;&gt;"Exclude"),"Maybe",IF(J429&lt;&gt;"",J429,"Pending"))))))</f>
        <v/>
      </c>
      <c r="L429" s="28"/>
      <c r="M429" s="28"/>
      <c r="N429" s="28"/>
      <c r="O429" s="28"/>
      <c r="P429" s="28"/>
    </row>
    <row r="430" customFormat="false" ht="15" hidden="false" customHeight="false" outlineLevel="0" collapsed="false">
      <c r="A430" s="28"/>
      <c r="B430" s="28"/>
      <c r="C430" s="28"/>
      <c r="D430" s="28"/>
      <c r="E430" s="28"/>
      <c r="F430" s="28"/>
      <c r="G430" s="28"/>
      <c r="H430" s="28"/>
      <c r="I430" s="29" t="str">
        <f aca="false">IF(OR(G430="",H430=""),"",IF(G430=H430,"Yes","No"))</f>
        <v/>
      </c>
      <c r="J430" s="28"/>
      <c r="K430" s="29" t="str">
        <f aca="false">IF(E430="Snowballing","n/a",IF(AND(G430="",H430=""),"",IF(OR(G430="",H430=""),"Waiting",IF(G430=H430,G430,IF(AND(G430&lt;&gt;"Exclude",H430&lt;&gt;"Exclude"),"Maybe",IF(J430&lt;&gt;"",J430,"Pending"))))))</f>
        <v/>
      </c>
      <c r="L430" s="28"/>
      <c r="M430" s="28"/>
      <c r="N430" s="28"/>
      <c r="O430" s="28"/>
      <c r="P430" s="28"/>
    </row>
    <row r="431" customFormat="false" ht="15" hidden="false" customHeight="false" outlineLevel="0" collapsed="false">
      <c r="A431" s="28"/>
      <c r="B431" s="28"/>
      <c r="C431" s="28"/>
      <c r="D431" s="28"/>
      <c r="E431" s="28"/>
      <c r="F431" s="28"/>
      <c r="G431" s="28"/>
      <c r="H431" s="28"/>
      <c r="I431" s="29" t="str">
        <f aca="false">IF(OR(G431="",H431=""),"",IF(G431=H431,"Yes","No"))</f>
        <v/>
      </c>
      <c r="J431" s="28"/>
      <c r="K431" s="29" t="str">
        <f aca="false">IF(E431="Snowballing","n/a",IF(AND(G431="",H431=""),"",IF(OR(G431="",H431=""),"Waiting",IF(G431=H431,G431,IF(AND(G431&lt;&gt;"Exclude",H431&lt;&gt;"Exclude"),"Maybe",IF(J431&lt;&gt;"",J431,"Pending"))))))</f>
        <v/>
      </c>
      <c r="L431" s="28"/>
      <c r="M431" s="28"/>
      <c r="N431" s="28"/>
      <c r="O431" s="28"/>
      <c r="P431" s="28"/>
    </row>
    <row r="432" customFormat="false" ht="15" hidden="false" customHeight="false" outlineLevel="0" collapsed="false">
      <c r="A432" s="28"/>
      <c r="B432" s="28"/>
      <c r="C432" s="28"/>
      <c r="D432" s="28"/>
      <c r="E432" s="28"/>
      <c r="F432" s="28"/>
      <c r="G432" s="28"/>
      <c r="H432" s="28"/>
      <c r="I432" s="29" t="str">
        <f aca="false">IF(OR(G432="",H432=""),"",IF(G432=H432,"Yes","No"))</f>
        <v/>
      </c>
      <c r="J432" s="28"/>
      <c r="K432" s="29" t="str">
        <f aca="false">IF(E432="Snowballing","n/a",IF(AND(G432="",H432=""),"",IF(OR(G432="",H432=""),"Waiting",IF(G432=H432,G432,IF(AND(G432&lt;&gt;"Exclude",H432&lt;&gt;"Exclude"),"Maybe",IF(J432&lt;&gt;"",J432,"Pending"))))))</f>
        <v/>
      </c>
      <c r="L432" s="28"/>
      <c r="M432" s="28"/>
      <c r="N432" s="28"/>
      <c r="O432" s="28"/>
      <c r="P432" s="28"/>
    </row>
    <row r="433" customFormat="false" ht="15" hidden="false" customHeight="false" outlineLevel="0" collapsed="false">
      <c r="A433" s="28"/>
      <c r="B433" s="28"/>
      <c r="C433" s="28"/>
      <c r="D433" s="28"/>
      <c r="E433" s="28"/>
      <c r="F433" s="28"/>
      <c r="G433" s="28"/>
      <c r="H433" s="28"/>
      <c r="I433" s="29" t="str">
        <f aca="false">IF(OR(G433="",H433=""),"",IF(G433=H433,"Yes","No"))</f>
        <v/>
      </c>
      <c r="J433" s="28"/>
      <c r="K433" s="29" t="str">
        <f aca="false">IF(E433="Snowballing","n/a",IF(AND(G433="",H433=""),"",IF(OR(G433="",H433=""),"Waiting",IF(G433=H433,G433,IF(AND(G433&lt;&gt;"Exclude",H433&lt;&gt;"Exclude"),"Maybe",IF(J433&lt;&gt;"",J433,"Pending"))))))</f>
        <v/>
      </c>
      <c r="L433" s="28"/>
      <c r="M433" s="28"/>
      <c r="N433" s="28"/>
      <c r="O433" s="28"/>
      <c r="P433" s="28"/>
    </row>
    <row r="434" customFormat="false" ht="15" hidden="false" customHeight="false" outlineLevel="0" collapsed="false">
      <c r="A434" s="28"/>
      <c r="B434" s="28"/>
      <c r="C434" s="28"/>
      <c r="D434" s="28"/>
      <c r="E434" s="28"/>
      <c r="F434" s="28"/>
      <c r="G434" s="28"/>
      <c r="H434" s="28"/>
      <c r="I434" s="29" t="str">
        <f aca="false">IF(OR(G434="",H434=""),"",IF(G434=H434,"Yes","No"))</f>
        <v/>
      </c>
      <c r="J434" s="28"/>
      <c r="K434" s="29" t="str">
        <f aca="false">IF(E434="Snowballing","n/a",IF(AND(G434="",H434=""),"",IF(OR(G434="",H434=""),"Waiting",IF(G434=H434,G434,IF(AND(G434&lt;&gt;"Exclude",H434&lt;&gt;"Exclude"),"Maybe",IF(J434&lt;&gt;"",J434,"Pending"))))))</f>
        <v/>
      </c>
      <c r="L434" s="28"/>
      <c r="M434" s="28"/>
      <c r="N434" s="28"/>
      <c r="O434" s="28"/>
      <c r="P434" s="28"/>
    </row>
    <row r="435" customFormat="false" ht="15" hidden="false" customHeight="false" outlineLevel="0" collapsed="false">
      <c r="A435" s="28"/>
      <c r="B435" s="28"/>
      <c r="C435" s="28"/>
      <c r="D435" s="28"/>
      <c r="E435" s="28"/>
      <c r="F435" s="28"/>
      <c r="G435" s="28"/>
      <c r="H435" s="28"/>
      <c r="I435" s="29" t="str">
        <f aca="false">IF(OR(G435="",H435=""),"",IF(G435=H435,"Yes","No"))</f>
        <v/>
      </c>
      <c r="J435" s="28"/>
      <c r="K435" s="29" t="str">
        <f aca="false">IF(E435="Snowballing","n/a",IF(AND(G435="",H435=""),"",IF(OR(G435="",H435=""),"Waiting",IF(G435=H435,G435,IF(AND(G435&lt;&gt;"Exclude",H435&lt;&gt;"Exclude"),"Maybe",IF(J435&lt;&gt;"",J435,"Pending"))))))</f>
        <v/>
      </c>
      <c r="L435" s="28"/>
      <c r="M435" s="28"/>
      <c r="N435" s="28"/>
      <c r="O435" s="28"/>
      <c r="P435" s="28"/>
    </row>
    <row r="436" customFormat="false" ht="15" hidden="false" customHeight="false" outlineLevel="0" collapsed="false">
      <c r="A436" s="28"/>
      <c r="B436" s="28"/>
      <c r="C436" s="28"/>
      <c r="D436" s="28"/>
      <c r="E436" s="28"/>
      <c r="F436" s="28"/>
      <c r="G436" s="28"/>
      <c r="H436" s="28"/>
      <c r="I436" s="29" t="str">
        <f aca="false">IF(OR(G436="",H436=""),"",IF(G436=H436,"Yes","No"))</f>
        <v/>
      </c>
      <c r="J436" s="28"/>
      <c r="K436" s="29" t="str">
        <f aca="false">IF(E436="Snowballing","n/a",IF(AND(G436="",H436=""),"",IF(OR(G436="",H436=""),"Waiting",IF(G436=H436,G436,IF(AND(G436&lt;&gt;"Exclude",H436&lt;&gt;"Exclude"),"Maybe",IF(J436&lt;&gt;"",J436,"Pending"))))))</f>
        <v/>
      </c>
      <c r="L436" s="28"/>
      <c r="M436" s="28"/>
      <c r="N436" s="28"/>
      <c r="O436" s="28"/>
      <c r="P436" s="28"/>
    </row>
    <row r="437" customFormat="false" ht="15" hidden="false" customHeight="false" outlineLevel="0" collapsed="false">
      <c r="A437" s="28"/>
      <c r="B437" s="28"/>
      <c r="C437" s="28"/>
      <c r="D437" s="28"/>
      <c r="E437" s="28"/>
      <c r="F437" s="28"/>
      <c r="G437" s="28"/>
      <c r="H437" s="28"/>
      <c r="I437" s="29" t="str">
        <f aca="false">IF(OR(G437="",H437=""),"",IF(G437=H437,"Yes","No"))</f>
        <v/>
      </c>
      <c r="J437" s="28"/>
      <c r="K437" s="29" t="str">
        <f aca="false">IF(E437="Snowballing","n/a",IF(AND(G437="",H437=""),"",IF(OR(G437="",H437=""),"Waiting",IF(G437=H437,G437,IF(AND(G437&lt;&gt;"Exclude",H437&lt;&gt;"Exclude"),"Maybe",IF(J437&lt;&gt;"",J437,"Pending"))))))</f>
        <v/>
      </c>
      <c r="L437" s="28"/>
      <c r="M437" s="28"/>
      <c r="N437" s="28"/>
      <c r="O437" s="28"/>
      <c r="P437" s="28"/>
    </row>
    <row r="438" customFormat="false" ht="15" hidden="false" customHeight="false" outlineLevel="0" collapsed="false">
      <c r="A438" s="28"/>
      <c r="B438" s="28"/>
      <c r="C438" s="28"/>
      <c r="D438" s="28"/>
      <c r="E438" s="28"/>
      <c r="F438" s="28"/>
      <c r="G438" s="28"/>
      <c r="H438" s="28"/>
      <c r="I438" s="29" t="str">
        <f aca="false">IF(OR(G438="",H438=""),"",IF(G438=H438,"Yes","No"))</f>
        <v/>
      </c>
      <c r="J438" s="28"/>
      <c r="K438" s="29" t="str">
        <f aca="false">IF(E438="Snowballing","n/a",IF(AND(G438="",H438=""),"",IF(OR(G438="",H438=""),"Waiting",IF(G438=H438,G438,IF(AND(G438&lt;&gt;"Exclude",H438&lt;&gt;"Exclude"),"Maybe",IF(J438&lt;&gt;"",J438,"Pending"))))))</f>
        <v/>
      </c>
      <c r="L438" s="28"/>
      <c r="M438" s="28"/>
      <c r="N438" s="28"/>
      <c r="O438" s="28"/>
      <c r="P438" s="28"/>
    </row>
    <row r="439" customFormat="false" ht="15" hidden="false" customHeight="false" outlineLevel="0" collapsed="false">
      <c r="A439" s="28"/>
      <c r="B439" s="28"/>
      <c r="C439" s="28"/>
      <c r="D439" s="28"/>
      <c r="E439" s="28"/>
      <c r="F439" s="28"/>
      <c r="G439" s="28"/>
      <c r="H439" s="28"/>
      <c r="I439" s="29" t="str">
        <f aca="false">IF(OR(G439="",H439=""),"",IF(G439=H439,"Yes","No"))</f>
        <v/>
      </c>
      <c r="J439" s="28"/>
      <c r="K439" s="29" t="str">
        <f aca="false">IF(E439="Snowballing","n/a",IF(AND(G439="",H439=""),"",IF(OR(G439="",H439=""),"Waiting",IF(G439=H439,G439,IF(AND(G439&lt;&gt;"Exclude",H439&lt;&gt;"Exclude"),"Maybe",IF(J439&lt;&gt;"",J439,"Pending"))))))</f>
        <v/>
      </c>
      <c r="L439" s="28"/>
      <c r="M439" s="28"/>
      <c r="N439" s="28"/>
      <c r="O439" s="28"/>
      <c r="P439" s="28"/>
    </row>
    <row r="440" customFormat="false" ht="15" hidden="false" customHeight="false" outlineLevel="0" collapsed="false">
      <c r="A440" s="28"/>
      <c r="B440" s="28"/>
      <c r="C440" s="28"/>
      <c r="D440" s="28"/>
      <c r="E440" s="28"/>
      <c r="F440" s="28"/>
      <c r="G440" s="28"/>
      <c r="H440" s="28"/>
      <c r="I440" s="29" t="str">
        <f aca="false">IF(OR(G440="",H440=""),"",IF(G440=H440,"Yes","No"))</f>
        <v/>
      </c>
      <c r="J440" s="28"/>
      <c r="K440" s="29" t="str">
        <f aca="false">IF(E440="Snowballing","n/a",IF(AND(G440="",H440=""),"",IF(OR(G440="",H440=""),"Waiting",IF(G440=H440,G440,IF(AND(G440&lt;&gt;"Exclude",H440&lt;&gt;"Exclude"),"Maybe",IF(J440&lt;&gt;"",J440,"Pending"))))))</f>
        <v/>
      </c>
      <c r="L440" s="28"/>
      <c r="M440" s="28"/>
      <c r="N440" s="28"/>
      <c r="O440" s="28"/>
      <c r="P440" s="28"/>
    </row>
    <row r="441" customFormat="false" ht="15" hidden="false" customHeight="false" outlineLevel="0" collapsed="false">
      <c r="A441" s="28"/>
      <c r="B441" s="28"/>
      <c r="C441" s="28"/>
      <c r="D441" s="28"/>
      <c r="E441" s="28"/>
      <c r="F441" s="28"/>
      <c r="G441" s="28"/>
      <c r="H441" s="28"/>
      <c r="I441" s="29" t="str">
        <f aca="false">IF(OR(G441="",H441=""),"",IF(G441=H441,"Yes","No"))</f>
        <v/>
      </c>
      <c r="J441" s="28"/>
      <c r="K441" s="29" t="str">
        <f aca="false">IF(E441="Snowballing","n/a",IF(AND(G441="",H441=""),"",IF(OR(G441="",H441=""),"Waiting",IF(G441=H441,G441,IF(AND(G441&lt;&gt;"Exclude",H441&lt;&gt;"Exclude"),"Maybe",IF(J441&lt;&gt;"",J441,"Pending"))))))</f>
        <v/>
      </c>
      <c r="L441" s="28"/>
      <c r="M441" s="28"/>
      <c r="N441" s="28"/>
      <c r="O441" s="28"/>
      <c r="P441" s="28"/>
    </row>
    <row r="442" customFormat="false" ht="15" hidden="false" customHeight="false" outlineLevel="0" collapsed="false">
      <c r="A442" s="28"/>
      <c r="B442" s="28"/>
      <c r="C442" s="28"/>
      <c r="D442" s="28"/>
      <c r="E442" s="28"/>
      <c r="F442" s="28"/>
      <c r="G442" s="28"/>
      <c r="H442" s="28"/>
      <c r="I442" s="29" t="str">
        <f aca="false">IF(OR(G442="",H442=""),"",IF(G442=H442,"Yes","No"))</f>
        <v/>
      </c>
      <c r="J442" s="28"/>
      <c r="K442" s="29" t="str">
        <f aca="false">IF(E442="Snowballing","n/a",IF(AND(G442="",H442=""),"",IF(OR(G442="",H442=""),"Waiting",IF(G442=H442,G442,IF(AND(G442&lt;&gt;"Exclude",H442&lt;&gt;"Exclude"),"Maybe",IF(J442&lt;&gt;"",J442,"Pending"))))))</f>
        <v/>
      </c>
      <c r="L442" s="28"/>
      <c r="M442" s="28"/>
      <c r="N442" s="28"/>
      <c r="O442" s="28"/>
      <c r="P442" s="28"/>
    </row>
    <row r="443" customFormat="false" ht="15" hidden="false" customHeight="false" outlineLevel="0" collapsed="false">
      <c r="A443" s="28"/>
      <c r="B443" s="28"/>
      <c r="C443" s="28"/>
      <c r="D443" s="28"/>
      <c r="E443" s="28"/>
      <c r="F443" s="28"/>
      <c r="G443" s="28"/>
      <c r="H443" s="28"/>
      <c r="I443" s="29" t="str">
        <f aca="false">IF(OR(G443="",H443=""),"",IF(G443=H443,"Yes","No"))</f>
        <v/>
      </c>
      <c r="J443" s="28"/>
      <c r="K443" s="29" t="str">
        <f aca="false">IF(E443="Snowballing","n/a",IF(AND(G443="",H443=""),"",IF(OR(G443="",H443=""),"Waiting",IF(G443=H443,G443,IF(AND(G443&lt;&gt;"Exclude",H443&lt;&gt;"Exclude"),"Maybe",IF(J443&lt;&gt;"",J443,"Pending"))))))</f>
        <v/>
      </c>
      <c r="L443" s="28"/>
      <c r="M443" s="28"/>
      <c r="N443" s="28"/>
      <c r="O443" s="28"/>
      <c r="P443" s="28"/>
    </row>
    <row r="444" customFormat="false" ht="15" hidden="false" customHeight="false" outlineLevel="0" collapsed="false">
      <c r="A444" s="28"/>
      <c r="B444" s="28"/>
      <c r="C444" s="28"/>
      <c r="D444" s="28"/>
      <c r="E444" s="28"/>
      <c r="F444" s="28"/>
      <c r="G444" s="28"/>
      <c r="H444" s="28"/>
      <c r="I444" s="29" t="str">
        <f aca="false">IF(OR(G444="",H444=""),"",IF(G444=H444,"Yes","No"))</f>
        <v/>
      </c>
      <c r="J444" s="28"/>
      <c r="K444" s="29" t="str">
        <f aca="false">IF(E444="Snowballing","n/a",IF(AND(G444="",H444=""),"",IF(OR(G444="",H444=""),"Waiting",IF(G444=H444,G444,IF(AND(G444&lt;&gt;"Exclude",H444&lt;&gt;"Exclude"),"Maybe",IF(J444&lt;&gt;"",J444,"Pending"))))))</f>
        <v/>
      </c>
      <c r="L444" s="28"/>
      <c r="M444" s="28"/>
      <c r="N444" s="28"/>
      <c r="O444" s="28"/>
      <c r="P444" s="28"/>
    </row>
    <row r="445" customFormat="false" ht="15" hidden="false" customHeight="false" outlineLevel="0" collapsed="false">
      <c r="A445" s="28"/>
      <c r="B445" s="28"/>
      <c r="C445" s="28"/>
      <c r="D445" s="28"/>
      <c r="E445" s="28"/>
      <c r="F445" s="28"/>
      <c r="G445" s="28"/>
      <c r="H445" s="28"/>
      <c r="I445" s="29" t="str">
        <f aca="false">IF(OR(G445="",H445=""),"",IF(G445=H445,"Yes","No"))</f>
        <v/>
      </c>
      <c r="J445" s="28"/>
      <c r="K445" s="29" t="str">
        <f aca="false">IF(E445="Snowballing","n/a",IF(AND(G445="",H445=""),"",IF(OR(G445="",H445=""),"Waiting",IF(G445=H445,G445,IF(AND(G445&lt;&gt;"Exclude",H445&lt;&gt;"Exclude"),"Maybe",IF(J445&lt;&gt;"",J445,"Pending"))))))</f>
        <v/>
      </c>
      <c r="L445" s="28"/>
      <c r="M445" s="28"/>
      <c r="N445" s="28"/>
      <c r="O445" s="28"/>
      <c r="P445" s="28"/>
    </row>
    <row r="446" customFormat="false" ht="15" hidden="false" customHeight="false" outlineLevel="0" collapsed="false">
      <c r="A446" s="28"/>
      <c r="B446" s="28"/>
      <c r="C446" s="28"/>
      <c r="D446" s="28"/>
      <c r="E446" s="28"/>
      <c r="F446" s="28"/>
      <c r="G446" s="28"/>
      <c r="H446" s="28"/>
      <c r="I446" s="29" t="str">
        <f aca="false">IF(OR(G446="",H446=""),"",IF(G446=H446,"Yes","No"))</f>
        <v/>
      </c>
      <c r="J446" s="28"/>
      <c r="K446" s="29" t="str">
        <f aca="false">IF(E446="Snowballing","n/a",IF(AND(G446="",H446=""),"",IF(OR(G446="",H446=""),"Waiting",IF(G446=H446,G446,IF(AND(G446&lt;&gt;"Exclude",H446&lt;&gt;"Exclude"),"Maybe",IF(J446&lt;&gt;"",J446,"Pending"))))))</f>
        <v/>
      </c>
      <c r="L446" s="28"/>
      <c r="M446" s="28"/>
      <c r="N446" s="28"/>
      <c r="O446" s="28"/>
      <c r="P446" s="28"/>
    </row>
    <row r="447" customFormat="false" ht="15" hidden="false" customHeight="false" outlineLevel="0" collapsed="false">
      <c r="A447" s="28"/>
      <c r="B447" s="28"/>
      <c r="C447" s="28"/>
      <c r="D447" s="28"/>
      <c r="E447" s="28"/>
      <c r="F447" s="28"/>
      <c r="G447" s="28"/>
      <c r="H447" s="28"/>
      <c r="I447" s="29" t="str">
        <f aca="false">IF(OR(G447="",H447=""),"",IF(G447=H447,"Yes","No"))</f>
        <v/>
      </c>
      <c r="J447" s="28"/>
      <c r="K447" s="29" t="str">
        <f aca="false">IF(E447="Snowballing","n/a",IF(AND(G447="",H447=""),"",IF(OR(G447="",H447=""),"Waiting",IF(G447=H447,G447,IF(AND(G447&lt;&gt;"Exclude",H447&lt;&gt;"Exclude"),"Maybe",IF(J447&lt;&gt;"",J447,"Pending"))))))</f>
        <v/>
      </c>
      <c r="L447" s="28"/>
      <c r="M447" s="28"/>
      <c r="N447" s="28"/>
      <c r="O447" s="28"/>
      <c r="P447" s="28"/>
    </row>
    <row r="448" customFormat="false" ht="15" hidden="false" customHeight="false" outlineLevel="0" collapsed="false">
      <c r="A448" s="28"/>
      <c r="B448" s="28"/>
      <c r="C448" s="28"/>
      <c r="D448" s="28"/>
      <c r="E448" s="28"/>
      <c r="F448" s="28"/>
      <c r="G448" s="28"/>
      <c r="H448" s="28"/>
      <c r="I448" s="29" t="str">
        <f aca="false">IF(OR(G448="",H448=""),"",IF(G448=H448,"Yes","No"))</f>
        <v/>
      </c>
      <c r="J448" s="28"/>
      <c r="K448" s="29" t="str">
        <f aca="false">IF(E448="Snowballing","n/a",IF(AND(G448="",H448=""),"",IF(OR(G448="",H448=""),"Waiting",IF(G448=H448,G448,IF(AND(G448&lt;&gt;"Exclude",H448&lt;&gt;"Exclude"),"Maybe",IF(J448&lt;&gt;"",J448,"Pending"))))))</f>
        <v/>
      </c>
      <c r="L448" s="28"/>
      <c r="M448" s="28"/>
      <c r="N448" s="28"/>
      <c r="O448" s="28"/>
      <c r="P448" s="28"/>
    </row>
    <row r="449" customFormat="false" ht="15" hidden="false" customHeight="false" outlineLevel="0" collapsed="false">
      <c r="A449" s="28"/>
      <c r="B449" s="28"/>
      <c r="C449" s="28"/>
      <c r="D449" s="28"/>
      <c r="E449" s="28"/>
      <c r="F449" s="28"/>
      <c r="G449" s="28"/>
      <c r="H449" s="28"/>
      <c r="I449" s="29" t="str">
        <f aca="false">IF(OR(G449="",H449=""),"",IF(G449=H449,"Yes","No"))</f>
        <v/>
      </c>
      <c r="J449" s="28"/>
      <c r="K449" s="29" t="str">
        <f aca="false">IF(E449="Snowballing","n/a",IF(AND(G449="",H449=""),"",IF(OR(G449="",H449=""),"Waiting",IF(G449=H449,G449,IF(AND(G449&lt;&gt;"Exclude",H449&lt;&gt;"Exclude"),"Maybe",IF(J449&lt;&gt;"",J449,"Pending"))))))</f>
        <v/>
      </c>
      <c r="L449" s="28"/>
      <c r="M449" s="28"/>
      <c r="N449" s="28"/>
      <c r="O449" s="28"/>
      <c r="P449" s="28"/>
    </row>
    <row r="450" customFormat="false" ht="15" hidden="false" customHeight="false" outlineLevel="0" collapsed="false">
      <c r="A450" s="28"/>
      <c r="B450" s="28"/>
      <c r="C450" s="28"/>
      <c r="D450" s="28"/>
      <c r="E450" s="28"/>
      <c r="F450" s="28"/>
      <c r="G450" s="28"/>
      <c r="H450" s="28"/>
      <c r="I450" s="29" t="str">
        <f aca="false">IF(OR(G450="",H450=""),"",IF(G450=H450,"Yes","No"))</f>
        <v/>
      </c>
      <c r="J450" s="28"/>
      <c r="K450" s="29" t="str">
        <f aca="false">IF(E450="Snowballing","n/a",IF(AND(G450="",H450=""),"",IF(OR(G450="",H450=""),"Waiting",IF(G450=H450,G450,IF(AND(G450&lt;&gt;"Exclude",H450&lt;&gt;"Exclude"),"Maybe",IF(J450&lt;&gt;"",J450,"Pending"))))))</f>
        <v/>
      </c>
      <c r="L450" s="28"/>
      <c r="M450" s="28"/>
      <c r="N450" s="28"/>
      <c r="O450" s="28"/>
      <c r="P450" s="28"/>
    </row>
    <row r="451" customFormat="false" ht="15" hidden="false" customHeight="false" outlineLevel="0" collapsed="false">
      <c r="A451" s="28"/>
      <c r="B451" s="28"/>
      <c r="C451" s="28"/>
      <c r="D451" s="28"/>
      <c r="E451" s="28"/>
      <c r="F451" s="28"/>
      <c r="G451" s="28"/>
      <c r="H451" s="28"/>
      <c r="I451" s="29" t="str">
        <f aca="false">IF(OR(G451="",H451=""),"",IF(G451=H451,"Yes","No"))</f>
        <v/>
      </c>
      <c r="J451" s="28"/>
      <c r="K451" s="29" t="str">
        <f aca="false">IF(E451="Snowballing","n/a",IF(AND(G451="",H451=""),"",IF(OR(G451="",H451=""),"Waiting",IF(G451=H451,G451,IF(AND(G451&lt;&gt;"Exclude",H451&lt;&gt;"Exclude"),"Maybe",IF(J451&lt;&gt;"",J451,"Pending"))))))</f>
        <v/>
      </c>
      <c r="L451" s="28"/>
      <c r="M451" s="28"/>
      <c r="N451" s="28"/>
      <c r="O451" s="28"/>
      <c r="P451" s="28"/>
    </row>
    <row r="452" customFormat="false" ht="15" hidden="false" customHeight="false" outlineLevel="0" collapsed="false">
      <c r="A452" s="28"/>
      <c r="B452" s="28"/>
      <c r="C452" s="28"/>
      <c r="D452" s="28"/>
      <c r="E452" s="28"/>
      <c r="F452" s="28"/>
      <c r="G452" s="28"/>
      <c r="H452" s="28"/>
      <c r="I452" s="29" t="str">
        <f aca="false">IF(OR(G452="",H452=""),"",IF(G452=H452,"Yes","No"))</f>
        <v/>
      </c>
      <c r="J452" s="28"/>
      <c r="K452" s="29" t="str">
        <f aca="false">IF(E452="Snowballing","n/a",IF(AND(G452="",H452=""),"",IF(OR(G452="",H452=""),"Waiting",IF(G452=H452,G452,IF(AND(G452&lt;&gt;"Exclude",H452&lt;&gt;"Exclude"),"Maybe",IF(J452&lt;&gt;"",J452,"Pending"))))))</f>
        <v/>
      </c>
      <c r="L452" s="28"/>
      <c r="M452" s="28"/>
      <c r="N452" s="28"/>
      <c r="O452" s="28"/>
      <c r="P452" s="28"/>
    </row>
    <row r="453" customFormat="false" ht="15" hidden="false" customHeight="false" outlineLevel="0" collapsed="false">
      <c r="A453" s="28"/>
      <c r="B453" s="28"/>
      <c r="C453" s="28"/>
      <c r="D453" s="28"/>
      <c r="E453" s="28"/>
      <c r="F453" s="28"/>
      <c r="G453" s="28"/>
      <c r="H453" s="28"/>
      <c r="I453" s="29" t="str">
        <f aca="false">IF(OR(G453="",H453=""),"",IF(G453=H453,"Yes","No"))</f>
        <v/>
      </c>
      <c r="J453" s="28"/>
      <c r="K453" s="29" t="str">
        <f aca="false">IF(E453="Snowballing","n/a",IF(AND(G453="",H453=""),"",IF(OR(G453="",H453=""),"Waiting",IF(G453=H453,G453,IF(AND(G453&lt;&gt;"Exclude",H453&lt;&gt;"Exclude"),"Maybe",IF(J453&lt;&gt;"",J453,"Pending"))))))</f>
        <v/>
      </c>
      <c r="L453" s="28"/>
      <c r="M453" s="28"/>
      <c r="N453" s="28"/>
      <c r="O453" s="28"/>
      <c r="P453" s="28"/>
    </row>
    <row r="454" customFormat="false" ht="15" hidden="false" customHeight="false" outlineLevel="0" collapsed="false">
      <c r="A454" s="28"/>
      <c r="B454" s="28"/>
      <c r="C454" s="28"/>
      <c r="D454" s="28"/>
      <c r="E454" s="28"/>
      <c r="F454" s="28"/>
      <c r="G454" s="28"/>
      <c r="H454" s="28"/>
      <c r="I454" s="29" t="str">
        <f aca="false">IF(OR(G454="",H454=""),"",IF(G454=H454,"Yes","No"))</f>
        <v/>
      </c>
      <c r="J454" s="28"/>
      <c r="K454" s="29" t="str">
        <f aca="false">IF(E454="Snowballing","n/a",IF(AND(G454="",H454=""),"",IF(OR(G454="",H454=""),"Waiting",IF(G454=H454,G454,IF(AND(G454&lt;&gt;"Exclude",H454&lt;&gt;"Exclude"),"Maybe",IF(J454&lt;&gt;"",J454,"Pending"))))))</f>
        <v/>
      </c>
      <c r="L454" s="28"/>
      <c r="M454" s="28"/>
      <c r="N454" s="28"/>
      <c r="O454" s="28"/>
      <c r="P454" s="28"/>
    </row>
    <row r="455" customFormat="false" ht="15" hidden="false" customHeight="false" outlineLevel="0" collapsed="false">
      <c r="A455" s="28"/>
      <c r="B455" s="28"/>
      <c r="C455" s="28"/>
      <c r="D455" s="28"/>
      <c r="E455" s="28"/>
      <c r="F455" s="28"/>
      <c r="G455" s="28"/>
      <c r="H455" s="28"/>
      <c r="I455" s="29" t="str">
        <f aca="false">IF(OR(G455="",H455=""),"",IF(G455=H455,"Yes","No"))</f>
        <v/>
      </c>
      <c r="J455" s="28"/>
      <c r="K455" s="29" t="str">
        <f aca="false">IF(E455="Snowballing","n/a",IF(AND(G455="",H455=""),"",IF(OR(G455="",H455=""),"Waiting",IF(G455=H455,G455,IF(AND(G455&lt;&gt;"Exclude",H455&lt;&gt;"Exclude"),"Maybe",IF(J455&lt;&gt;"",J455,"Pending"))))))</f>
        <v/>
      </c>
      <c r="L455" s="28"/>
      <c r="M455" s="28"/>
      <c r="N455" s="28"/>
      <c r="O455" s="28"/>
      <c r="P455" s="28"/>
    </row>
    <row r="456" customFormat="false" ht="15" hidden="false" customHeight="false" outlineLevel="0" collapsed="false">
      <c r="A456" s="28"/>
      <c r="B456" s="28"/>
      <c r="C456" s="28"/>
      <c r="D456" s="28"/>
      <c r="E456" s="28"/>
      <c r="F456" s="28"/>
      <c r="G456" s="28"/>
      <c r="H456" s="28"/>
      <c r="I456" s="29" t="str">
        <f aca="false">IF(OR(G456="",H456=""),"",IF(G456=H456,"Yes","No"))</f>
        <v/>
      </c>
      <c r="J456" s="28"/>
      <c r="K456" s="29" t="str">
        <f aca="false">IF(E456="Snowballing","n/a",IF(AND(G456="",H456=""),"",IF(OR(G456="",H456=""),"Waiting",IF(G456=H456,G456,IF(AND(G456&lt;&gt;"Exclude",H456&lt;&gt;"Exclude"),"Maybe",IF(J456&lt;&gt;"",J456,"Pending"))))))</f>
        <v/>
      </c>
      <c r="L456" s="28"/>
      <c r="M456" s="28"/>
      <c r="N456" s="28"/>
      <c r="O456" s="28"/>
      <c r="P456" s="28"/>
    </row>
    <row r="457" customFormat="false" ht="15" hidden="false" customHeight="false" outlineLevel="0" collapsed="false">
      <c r="A457" s="28"/>
      <c r="B457" s="28"/>
      <c r="C457" s="28"/>
      <c r="D457" s="28"/>
      <c r="E457" s="28"/>
      <c r="F457" s="28"/>
      <c r="G457" s="28"/>
      <c r="H457" s="28"/>
      <c r="I457" s="29" t="str">
        <f aca="false">IF(OR(G457="",H457=""),"",IF(G457=H457,"Yes","No"))</f>
        <v/>
      </c>
      <c r="J457" s="28"/>
      <c r="K457" s="29" t="str">
        <f aca="false">IF(E457="Snowballing","n/a",IF(AND(G457="",H457=""),"",IF(OR(G457="",H457=""),"Waiting",IF(G457=H457,G457,IF(AND(G457&lt;&gt;"Exclude",H457&lt;&gt;"Exclude"),"Maybe",IF(J457&lt;&gt;"",J457,"Pending"))))))</f>
        <v/>
      </c>
      <c r="L457" s="28"/>
      <c r="M457" s="28"/>
      <c r="N457" s="28"/>
      <c r="O457" s="28"/>
      <c r="P457" s="28"/>
    </row>
    <row r="458" customFormat="false" ht="15" hidden="false" customHeight="false" outlineLevel="0" collapsed="false">
      <c r="A458" s="28"/>
      <c r="B458" s="28"/>
      <c r="C458" s="28"/>
      <c r="D458" s="28"/>
      <c r="E458" s="28"/>
      <c r="F458" s="28"/>
      <c r="G458" s="28"/>
      <c r="H458" s="28"/>
      <c r="I458" s="29" t="str">
        <f aca="false">IF(OR(G458="",H458=""),"",IF(G458=H458,"Yes","No"))</f>
        <v/>
      </c>
      <c r="J458" s="28"/>
      <c r="K458" s="29" t="str">
        <f aca="false">IF(E458="Snowballing","n/a",IF(AND(G458="",H458=""),"",IF(OR(G458="",H458=""),"Waiting",IF(G458=H458,G458,IF(AND(G458&lt;&gt;"Exclude",H458&lt;&gt;"Exclude"),"Maybe",IF(J458&lt;&gt;"",J458,"Pending"))))))</f>
        <v/>
      </c>
      <c r="L458" s="28"/>
      <c r="M458" s="28"/>
      <c r="N458" s="28"/>
      <c r="O458" s="28"/>
      <c r="P458" s="28"/>
    </row>
    <row r="459" customFormat="false" ht="15" hidden="false" customHeight="false" outlineLevel="0" collapsed="false">
      <c r="A459" s="28"/>
      <c r="B459" s="28"/>
      <c r="C459" s="28"/>
      <c r="D459" s="28"/>
      <c r="E459" s="28"/>
      <c r="F459" s="28"/>
      <c r="G459" s="28"/>
      <c r="H459" s="28"/>
      <c r="I459" s="29" t="str">
        <f aca="false">IF(OR(G459="",H459=""),"",IF(G459=H459,"Yes","No"))</f>
        <v/>
      </c>
      <c r="J459" s="28"/>
      <c r="K459" s="29" t="str">
        <f aca="false">IF(E459="Snowballing","n/a",IF(AND(G459="",H459=""),"",IF(OR(G459="",H459=""),"Waiting",IF(G459=H459,G459,IF(AND(G459&lt;&gt;"Exclude",H459&lt;&gt;"Exclude"),"Maybe",IF(J459&lt;&gt;"",J459,"Pending"))))))</f>
        <v/>
      </c>
      <c r="L459" s="28"/>
      <c r="M459" s="28"/>
      <c r="N459" s="28"/>
      <c r="O459" s="28"/>
      <c r="P459" s="28"/>
    </row>
    <row r="460" customFormat="false" ht="15" hidden="false" customHeight="false" outlineLevel="0" collapsed="false">
      <c r="A460" s="28"/>
      <c r="B460" s="28"/>
      <c r="C460" s="28"/>
      <c r="D460" s="28"/>
      <c r="E460" s="28"/>
      <c r="F460" s="28"/>
      <c r="G460" s="28"/>
      <c r="H460" s="28"/>
      <c r="I460" s="29" t="str">
        <f aca="false">IF(OR(G460="",H460=""),"",IF(G460=H460,"Yes","No"))</f>
        <v/>
      </c>
      <c r="J460" s="28"/>
      <c r="K460" s="29" t="str">
        <f aca="false">IF(E460="Snowballing","n/a",IF(AND(G460="",H460=""),"",IF(OR(G460="",H460=""),"Waiting",IF(G460=H460,G460,IF(AND(G460&lt;&gt;"Exclude",H460&lt;&gt;"Exclude"),"Maybe",IF(J460&lt;&gt;"",J460,"Pending"))))))</f>
        <v/>
      </c>
      <c r="L460" s="28"/>
      <c r="M460" s="28"/>
      <c r="N460" s="28"/>
      <c r="O460" s="28"/>
      <c r="P460" s="28"/>
    </row>
    <row r="461" customFormat="false" ht="15" hidden="false" customHeight="false" outlineLevel="0" collapsed="false">
      <c r="A461" s="28"/>
      <c r="B461" s="28"/>
      <c r="C461" s="28"/>
      <c r="D461" s="28"/>
      <c r="E461" s="28"/>
      <c r="F461" s="28"/>
      <c r="G461" s="28"/>
      <c r="H461" s="28"/>
      <c r="I461" s="29" t="str">
        <f aca="false">IF(OR(G461="",H461=""),"",IF(G461=H461,"Yes","No"))</f>
        <v/>
      </c>
      <c r="J461" s="28"/>
      <c r="K461" s="29" t="str">
        <f aca="false">IF(E461="Snowballing","n/a",IF(AND(G461="",H461=""),"",IF(OR(G461="",H461=""),"Waiting",IF(G461=H461,G461,IF(AND(G461&lt;&gt;"Exclude",H461&lt;&gt;"Exclude"),"Maybe",IF(J461&lt;&gt;"",J461,"Pending"))))))</f>
        <v/>
      </c>
      <c r="L461" s="28"/>
      <c r="M461" s="28"/>
      <c r="N461" s="28"/>
      <c r="O461" s="28"/>
      <c r="P461" s="28"/>
    </row>
    <row r="462" customFormat="false" ht="15" hidden="false" customHeight="false" outlineLevel="0" collapsed="false">
      <c r="A462" s="28"/>
      <c r="B462" s="28"/>
      <c r="C462" s="28"/>
      <c r="D462" s="28"/>
      <c r="E462" s="28"/>
      <c r="F462" s="28"/>
      <c r="G462" s="28"/>
      <c r="H462" s="28"/>
      <c r="I462" s="29" t="str">
        <f aca="false">IF(OR(G462="",H462=""),"",IF(G462=H462,"Yes","No"))</f>
        <v/>
      </c>
      <c r="J462" s="28"/>
      <c r="K462" s="29" t="str">
        <f aca="false">IF(E462="Snowballing","n/a",IF(AND(G462="",H462=""),"",IF(OR(G462="",H462=""),"Waiting",IF(G462=H462,G462,IF(AND(G462&lt;&gt;"Exclude",H462&lt;&gt;"Exclude"),"Maybe",IF(J462&lt;&gt;"",J462,"Pending"))))))</f>
        <v/>
      </c>
      <c r="L462" s="28"/>
      <c r="M462" s="28"/>
      <c r="N462" s="28"/>
      <c r="O462" s="28"/>
      <c r="P462" s="28"/>
    </row>
    <row r="463" customFormat="false" ht="15" hidden="false" customHeight="false" outlineLevel="0" collapsed="false">
      <c r="A463" s="28"/>
      <c r="B463" s="28"/>
      <c r="C463" s="28"/>
      <c r="D463" s="28"/>
      <c r="E463" s="28"/>
      <c r="F463" s="28"/>
      <c r="G463" s="28"/>
      <c r="H463" s="28"/>
      <c r="I463" s="29" t="str">
        <f aca="false">IF(OR(G463="",H463=""),"",IF(G463=H463,"Yes","No"))</f>
        <v/>
      </c>
      <c r="J463" s="28"/>
      <c r="K463" s="29" t="str">
        <f aca="false">IF(E463="Snowballing","n/a",IF(AND(G463="",H463=""),"",IF(OR(G463="",H463=""),"Waiting",IF(G463=H463,G463,IF(AND(G463&lt;&gt;"Exclude",H463&lt;&gt;"Exclude"),"Maybe",IF(J463&lt;&gt;"",J463,"Pending"))))))</f>
        <v/>
      </c>
      <c r="L463" s="28"/>
      <c r="M463" s="28"/>
      <c r="N463" s="28"/>
      <c r="O463" s="28"/>
      <c r="P463" s="28"/>
    </row>
    <row r="464" customFormat="false" ht="15" hidden="false" customHeight="false" outlineLevel="0" collapsed="false">
      <c r="A464" s="28"/>
      <c r="B464" s="28"/>
      <c r="C464" s="28"/>
      <c r="D464" s="28"/>
      <c r="E464" s="28"/>
      <c r="F464" s="28"/>
      <c r="G464" s="28"/>
      <c r="H464" s="28"/>
      <c r="I464" s="29" t="str">
        <f aca="false">IF(OR(G464="",H464=""),"",IF(G464=H464,"Yes","No"))</f>
        <v/>
      </c>
      <c r="J464" s="28"/>
      <c r="K464" s="29" t="str">
        <f aca="false">IF(E464="Snowballing","n/a",IF(AND(G464="",H464=""),"",IF(OR(G464="",H464=""),"Waiting",IF(G464=H464,G464,IF(AND(G464&lt;&gt;"Exclude",H464&lt;&gt;"Exclude"),"Maybe",IF(J464&lt;&gt;"",J464,"Pending"))))))</f>
        <v/>
      </c>
      <c r="L464" s="28"/>
      <c r="M464" s="28"/>
      <c r="N464" s="28"/>
      <c r="O464" s="28"/>
      <c r="P464" s="28"/>
    </row>
    <row r="465" customFormat="false" ht="15" hidden="false" customHeight="false" outlineLevel="0" collapsed="false">
      <c r="A465" s="28"/>
      <c r="B465" s="28"/>
      <c r="C465" s="28"/>
      <c r="D465" s="28"/>
      <c r="E465" s="28"/>
      <c r="F465" s="28"/>
      <c r="G465" s="28"/>
      <c r="H465" s="28"/>
      <c r="I465" s="29" t="str">
        <f aca="false">IF(OR(G465="",H465=""),"",IF(G465=H465,"Yes","No"))</f>
        <v/>
      </c>
      <c r="J465" s="28"/>
      <c r="K465" s="29" t="str">
        <f aca="false">IF(E465="Snowballing","n/a",IF(AND(G465="",H465=""),"",IF(OR(G465="",H465=""),"Waiting",IF(G465=H465,G465,IF(AND(G465&lt;&gt;"Exclude",H465&lt;&gt;"Exclude"),"Maybe",IF(J465&lt;&gt;"",J465,"Pending"))))))</f>
        <v/>
      </c>
      <c r="L465" s="28"/>
      <c r="M465" s="28"/>
      <c r="N465" s="28"/>
      <c r="O465" s="28"/>
      <c r="P465" s="28"/>
    </row>
    <row r="466" customFormat="false" ht="15" hidden="false" customHeight="false" outlineLevel="0" collapsed="false">
      <c r="A466" s="28"/>
      <c r="B466" s="28"/>
      <c r="C466" s="28"/>
      <c r="D466" s="28"/>
      <c r="E466" s="28"/>
      <c r="F466" s="28"/>
      <c r="G466" s="28"/>
      <c r="H466" s="28"/>
      <c r="I466" s="29" t="str">
        <f aca="false">IF(OR(G466="",H466=""),"",IF(G466=H466,"Yes","No"))</f>
        <v/>
      </c>
      <c r="J466" s="28"/>
      <c r="K466" s="29" t="str">
        <f aca="false">IF(E466="Snowballing","n/a",IF(AND(G466="",H466=""),"",IF(OR(G466="",H466=""),"Waiting",IF(G466=H466,G466,IF(AND(G466&lt;&gt;"Exclude",H466&lt;&gt;"Exclude"),"Maybe",IF(J466&lt;&gt;"",J466,"Pending"))))))</f>
        <v/>
      </c>
      <c r="L466" s="28"/>
      <c r="M466" s="28"/>
      <c r="N466" s="28"/>
      <c r="O466" s="28"/>
      <c r="P466" s="28"/>
    </row>
    <row r="467" customFormat="false" ht="15" hidden="false" customHeight="false" outlineLevel="0" collapsed="false">
      <c r="A467" s="28"/>
      <c r="B467" s="28"/>
      <c r="C467" s="28"/>
      <c r="D467" s="28"/>
      <c r="E467" s="28"/>
      <c r="F467" s="28"/>
      <c r="G467" s="28"/>
      <c r="H467" s="28"/>
      <c r="I467" s="29" t="str">
        <f aca="false">IF(OR(G467="",H467=""),"",IF(G467=H467,"Yes","No"))</f>
        <v/>
      </c>
      <c r="J467" s="28"/>
      <c r="K467" s="29" t="str">
        <f aca="false">IF(E467="Snowballing","n/a",IF(AND(G467="",H467=""),"",IF(OR(G467="",H467=""),"Waiting",IF(G467=H467,G467,IF(AND(G467&lt;&gt;"Exclude",H467&lt;&gt;"Exclude"),"Maybe",IF(J467&lt;&gt;"",J467,"Pending"))))))</f>
        <v/>
      </c>
      <c r="L467" s="28"/>
      <c r="M467" s="28"/>
      <c r="N467" s="28"/>
      <c r="O467" s="28"/>
      <c r="P467" s="28"/>
    </row>
    <row r="468" customFormat="false" ht="15" hidden="false" customHeight="false" outlineLevel="0" collapsed="false">
      <c r="A468" s="28"/>
      <c r="B468" s="28"/>
      <c r="C468" s="28"/>
      <c r="D468" s="28"/>
      <c r="E468" s="28"/>
      <c r="F468" s="28"/>
      <c r="G468" s="28"/>
      <c r="H468" s="28"/>
      <c r="I468" s="29" t="str">
        <f aca="false">IF(OR(G468="",H468=""),"",IF(G468=H468,"Yes","No"))</f>
        <v/>
      </c>
      <c r="J468" s="28"/>
      <c r="K468" s="29" t="str">
        <f aca="false">IF(E468="Snowballing","n/a",IF(AND(G468="",H468=""),"",IF(OR(G468="",H468=""),"Waiting",IF(G468=H468,G468,IF(AND(G468&lt;&gt;"Exclude",H468&lt;&gt;"Exclude"),"Maybe",IF(J468&lt;&gt;"",J468,"Pending"))))))</f>
        <v/>
      </c>
      <c r="L468" s="28"/>
      <c r="M468" s="28"/>
      <c r="N468" s="28"/>
      <c r="O468" s="28"/>
      <c r="P468" s="28"/>
    </row>
    <row r="469" customFormat="false" ht="15" hidden="false" customHeight="false" outlineLevel="0" collapsed="false">
      <c r="A469" s="28"/>
      <c r="B469" s="28"/>
      <c r="C469" s="28"/>
      <c r="D469" s="28"/>
      <c r="E469" s="28"/>
      <c r="F469" s="28"/>
      <c r="G469" s="28"/>
      <c r="H469" s="28"/>
      <c r="I469" s="29" t="str">
        <f aca="false">IF(OR(G469="",H469=""),"",IF(G469=H469,"Yes","No"))</f>
        <v/>
      </c>
      <c r="J469" s="28"/>
      <c r="K469" s="29" t="str">
        <f aca="false">IF(E469="Snowballing","n/a",IF(AND(G469="",H469=""),"",IF(OR(G469="",H469=""),"Waiting",IF(G469=H469,G469,IF(AND(G469&lt;&gt;"Exclude",H469&lt;&gt;"Exclude"),"Maybe",IF(J469&lt;&gt;"",J469,"Pending"))))))</f>
        <v/>
      </c>
      <c r="L469" s="28"/>
      <c r="M469" s="28"/>
      <c r="N469" s="28"/>
      <c r="O469" s="28"/>
      <c r="P469" s="28"/>
    </row>
    <row r="470" customFormat="false" ht="15" hidden="false" customHeight="false" outlineLevel="0" collapsed="false">
      <c r="A470" s="28"/>
      <c r="B470" s="28"/>
      <c r="C470" s="28"/>
      <c r="D470" s="28"/>
      <c r="E470" s="28"/>
      <c r="F470" s="28"/>
      <c r="G470" s="28"/>
      <c r="H470" s="28"/>
      <c r="I470" s="29" t="str">
        <f aca="false">IF(OR(G470="",H470=""),"",IF(G470=H470,"Yes","No"))</f>
        <v/>
      </c>
      <c r="J470" s="28"/>
      <c r="K470" s="29" t="str">
        <f aca="false">IF(E470="Snowballing","n/a",IF(AND(G470="",H470=""),"",IF(OR(G470="",H470=""),"Waiting",IF(G470=H470,G470,IF(AND(G470&lt;&gt;"Exclude",H470&lt;&gt;"Exclude"),"Maybe",IF(J470&lt;&gt;"",J470,"Pending"))))))</f>
        <v/>
      </c>
      <c r="L470" s="28"/>
      <c r="M470" s="28"/>
      <c r="N470" s="28"/>
      <c r="O470" s="28"/>
      <c r="P470" s="28"/>
    </row>
    <row r="471" customFormat="false" ht="15" hidden="false" customHeight="false" outlineLevel="0" collapsed="false">
      <c r="A471" s="28"/>
      <c r="B471" s="28"/>
      <c r="C471" s="28"/>
      <c r="D471" s="28"/>
      <c r="E471" s="28"/>
      <c r="F471" s="28"/>
      <c r="G471" s="28"/>
      <c r="H471" s="28"/>
      <c r="I471" s="29" t="str">
        <f aca="false">IF(OR(G471="",H471=""),"",IF(G471=H471,"Yes","No"))</f>
        <v/>
      </c>
      <c r="J471" s="28"/>
      <c r="K471" s="29" t="str">
        <f aca="false">IF(E471="Snowballing","n/a",IF(AND(G471="",H471=""),"",IF(OR(G471="",H471=""),"Waiting",IF(G471=H471,G471,IF(AND(G471&lt;&gt;"Exclude",H471&lt;&gt;"Exclude"),"Maybe",IF(J471&lt;&gt;"",J471,"Pending"))))))</f>
        <v/>
      </c>
      <c r="L471" s="28"/>
      <c r="M471" s="28"/>
      <c r="N471" s="28"/>
      <c r="O471" s="28"/>
      <c r="P471" s="28"/>
    </row>
    <row r="472" customFormat="false" ht="15" hidden="false" customHeight="false" outlineLevel="0" collapsed="false">
      <c r="A472" s="28"/>
      <c r="B472" s="28"/>
      <c r="C472" s="28"/>
      <c r="D472" s="28"/>
      <c r="E472" s="28"/>
      <c r="F472" s="28"/>
      <c r="G472" s="28"/>
      <c r="H472" s="28"/>
      <c r="I472" s="29" t="str">
        <f aca="false">IF(OR(G472="",H472=""),"",IF(G472=H472,"Yes","No"))</f>
        <v/>
      </c>
      <c r="J472" s="28"/>
      <c r="K472" s="29" t="str">
        <f aca="false">IF(E472="Snowballing","n/a",IF(AND(G472="",H472=""),"",IF(OR(G472="",H472=""),"Waiting",IF(G472=H472,G472,IF(AND(G472&lt;&gt;"Exclude",H472&lt;&gt;"Exclude"),"Maybe",IF(J472&lt;&gt;"",J472,"Pending"))))))</f>
        <v/>
      </c>
      <c r="L472" s="28"/>
      <c r="M472" s="28"/>
      <c r="N472" s="28"/>
      <c r="O472" s="28"/>
      <c r="P472" s="28"/>
    </row>
    <row r="473" customFormat="false" ht="15" hidden="false" customHeight="false" outlineLevel="0" collapsed="false">
      <c r="A473" s="28"/>
      <c r="B473" s="28"/>
      <c r="C473" s="28"/>
      <c r="D473" s="28"/>
      <c r="E473" s="28"/>
      <c r="F473" s="28"/>
      <c r="G473" s="28"/>
      <c r="H473" s="28"/>
      <c r="I473" s="29" t="str">
        <f aca="false">IF(OR(G473="",H473=""),"",IF(G473=H473,"Yes","No"))</f>
        <v/>
      </c>
      <c r="J473" s="28"/>
      <c r="K473" s="29" t="str">
        <f aca="false">IF(E473="Snowballing","n/a",IF(AND(G473="",H473=""),"",IF(OR(G473="",H473=""),"Waiting",IF(G473=H473,G473,IF(AND(G473&lt;&gt;"Exclude",H473&lt;&gt;"Exclude"),"Maybe",IF(J473&lt;&gt;"",J473,"Pending"))))))</f>
        <v/>
      </c>
      <c r="L473" s="28"/>
      <c r="M473" s="28"/>
      <c r="N473" s="28"/>
      <c r="O473" s="28"/>
      <c r="P473" s="28"/>
    </row>
    <row r="474" customFormat="false" ht="15" hidden="false" customHeight="false" outlineLevel="0" collapsed="false">
      <c r="A474" s="28"/>
      <c r="B474" s="28"/>
      <c r="C474" s="28"/>
      <c r="D474" s="28"/>
      <c r="E474" s="28"/>
      <c r="F474" s="28"/>
      <c r="G474" s="28"/>
      <c r="H474" s="28"/>
      <c r="I474" s="29" t="str">
        <f aca="false">IF(OR(G474="",H474=""),"",IF(G474=H474,"Yes","No"))</f>
        <v/>
      </c>
      <c r="J474" s="28"/>
      <c r="K474" s="29" t="str">
        <f aca="false">IF(E474="Snowballing","n/a",IF(AND(G474="",H474=""),"",IF(OR(G474="",H474=""),"Waiting",IF(G474=H474,G474,IF(AND(G474&lt;&gt;"Exclude",H474&lt;&gt;"Exclude"),"Maybe",IF(J474&lt;&gt;"",J474,"Pending"))))))</f>
        <v/>
      </c>
      <c r="L474" s="28"/>
      <c r="M474" s="28"/>
      <c r="N474" s="28"/>
      <c r="O474" s="28"/>
      <c r="P474" s="28"/>
    </row>
    <row r="475" customFormat="false" ht="15" hidden="false" customHeight="false" outlineLevel="0" collapsed="false">
      <c r="A475" s="28"/>
      <c r="B475" s="28"/>
      <c r="C475" s="28"/>
      <c r="D475" s="28"/>
      <c r="E475" s="28"/>
      <c r="F475" s="28"/>
      <c r="G475" s="28"/>
      <c r="H475" s="28"/>
      <c r="I475" s="29" t="str">
        <f aca="false">IF(OR(G475="",H475=""),"",IF(G475=H475,"Yes","No"))</f>
        <v/>
      </c>
      <c r="J475" s="28"/>
      <c r="K475" s="29" t="str">
        <f aca="false">IF(E475="Snowballing","n/a",IF(AND(G475="",H475=""),"",IF(OR(G475="",H475=""),"Waiting",IF(G475=H475,G475,IF(AND(G475&lt;&gt;"Exclude",H475&lt;&gt;"Exclude"),"Maybe",IF(J475&lt;&gt;"",J475,"Pending"))))))</f>
        <v/>
      </c>
      <c r="L475" s="28"/>
      <c r="M475" s="28"/>
      <c r="N475" s="28"/>
      <c r="O475" s="28"/>
      <c r="P475" s="28"/>
    </row>
    <row r="476" customFormat="false" ht="15" hidden="false" customHeight="false" outlineLevel="0" collapsed="false">
      <c r="A476" s="28"/>
      <c r="B476" s="28"/>
      <c r="C476" s="28"/>
      <c r="D476" s="28"/>
      <c r="E476" s="28"/>
      <c r="F476" s="28"/>
      <c r="G476" s="28"/>
      <c r="H476" s="28"/>
      <c r="I476" s="29" t="str">
        <f aca="false">IF(OR(G476="",H476=""),"",IF(G476=H476,"Yes","No"))</f>
        <v/>
      </c>
      <c r="J476" s="28"/>
      <c r="K476" s="29" t="str">
        <f aca="false">IF(E476="Snowballing","n/a",IF(AND(G476="",H476=""),"",IF(OR(G476="",H476=""),"Waiting",IF(G476=H476,G476,IF(AND(G476&lt;&gt;"Exclude",H476&lt;&gt;"Exclude"),"Maybe",IF(J476&lt;&gt;"",J476,"Pending"))))))</f>
        <v/>
      </c>
      <c r="L476" s="28"/>
      <c r="M476" s="28"/>
      <c r="N476" s="28"/>
      <c r="O476" s="28"/>
      <c r="P476" s="28"/>
    </row>
    <row r="477" customFormat="false" ht="15" hidden="false" customHeight="false" outlineLevel="0" collapsed="false">
      <c r="A477" s="28"/>
      <c r="B477" s="28"/>
      <c r="C477" s="28"/>
      <c r="D477" s="28"/>
      <c r="E477" s="28"/>
      <c r="F477" s="28"/>
      <c r="G477" s="28"/>
      <c r="H477" s="28"/>
      <c r="I477" s="29" t="str">
        <f aca="false">IF(OR(G477="",H477=""),"",IF(G477=H477,"Yes","No"))</f>
        <v/>
      </c>
      <c r="J477" s="28"/>
      <c r="K477" s="29" t="str">
        <f aca="false">IF(E477="Snowballing","n/a",IF(AND(G477="",H477=""),"",IF(OR(G477="",H477=""),"Waiting",IF(G477=H477,G477,IF(AND(G477&lt;&gt;"Exclude",H477&lt;&gt;"Exclude"),"Maybe",IF(J477&lt;&gt;"",J477,"Pending"))))))</f>
        <v/>
      </c>
      <c r="L477" s="28"/>
      <c r="M477" s="28"/>
      <c r="N477" s="28"/>
      <c r="O477" s="28"/>
      <c r="P477" s="28"/>
    </row>
    <row r="478" customFormat="false" ht="15" hidden="false" customHeight="false" outlineLevel="0" collapsed="false">
      <c r="A478" s="28"/>
      <c r="B478" s="28"/>
      <c r="C478" s="28"/>
      <c r="D478" s="28"/>
      <c r="E478" s="28"/>
      <c r="F478" s="28"/>
      <c r="G478" s="28"/>
      <c r="H478" s="28"/>
      <c r="I478" s="29" t="str">
        <f aca="false">IF(OR(G478="",H478=""),"",IF(G478=H478,"Yes","No"))</f>
        <v/>
      </c>
      <c r="J478" s="28"/>
      <c r="K478" s="29" t="str">
        <f aca="false">IF(E478="Snowballing","n/a",IF(AND(G478="",H478=""),"",IF(OR(G478="",H478=""),"Waiting",IF(G478=H478,G478,IF(AND(G478&lt;&gt;"Exclude",H478&lt;&gt;"Exclude"),"Maybe",IF(J478&lt;&gt;"",J478,"Pending"))))))</f>
        <v/>
      </c>
      <c r="L478" s="28"/>
      <c r="M478" s="28"/>
      <c r="N478" s="28"/>
      <c r="O478" s="28"/>
      <c r="P478" s="28"/>
    </row>
    <row r="479" customFormat="false" ht="15" hidden="false" customHeight="false" outlineLevel="0" collapsed="false">
      <c r="A479" s="28"/>
      <c r="B479" s="28"/>
      <c r="C479" s="28"/>
      <c r="D479" s="28"/>
      <c r="E479" s="28"/>
      <c r="F479" s="28"/>
      <c r="G479" s="28"/>
      <c r="H479" s="28"/>
      <c r="I479" s="29" t="str">
        <f aca="false">IF(OR(G479="",H479=""),"",IF(G479=H479,"Yes","No"))</f>
        <v/>
      </c>
      <c r="J479" s="28"/>
      <c r="K479" s="29" t="str">
        <f aca="false">IF(E479="Snowballing","n/a",IF(AND(G479="",H479=""),"",IF(OR(G479="",H479=""),"Waiting",IF(G479=H479,G479,IF(AND(G479&lt;&gt;"Exclude",H479&lt;&gt;"Exclude"),"Maybe",IF(J479&lt;&gt;"",J479,"Pending"))))))</f>
        <v/>
      </c>
      <c r="L479" s="28"/>
      <c r="M479" s="28"/>
      <c r="N479" s="28"/>
      <c r="O479" s="28"/>
      <c r="P479" s="28"/>
    </row>
    <row r="480" customFormat="false" ht="15" hidden="false" customHeight="false" outlineLevel="0" collapsed="false">
      <c r="A480" s="28"/>
      <c r="B480" s="28"/>
      <c r="C480" s="28"/>
      <c r="D480" s="28"/>
      <c r="E480" s="28"/>
      <c r="F480" s="28"/>
      <c r="G480" s="28"/>
      <c r="H480" s="28"/>
      <c r="I480" s="29" t="str">
        <f aca="false">IF(OR(G480="",H480=""),"",IF(G480=H480,"Yes","No"))</f>
        <v/>
      </c>
      <c r="J480" s="28"/>
      <c r="K480" s="29" t="str">
        <f aca="false">IF(E480="Snowballing","n/a",IF(AND(G480="",H480=""),"",IF(OR(G480="",H480=""),"Waiting",IF(G480=H480,G480,IF(AND(G480&lt;&gt;"Exclude",H480&lt;&gt;"Exclude"),"Maybe",IF(J480&lt;&gt;"",J480,"Pending"))))))</f>
        <v/>
      </c>
      <c r="L480" s="28"/>
      <c r="M480" s="28"/>
      <c r="N480" s="28"/>
      <c r="O480" s="28"/>
      <c r="P480" s="28"/>
    </row>
    <row r="481" customFormat="false" ht="15" hidden="false" customHeight="false" outlineLevel="0" collapsed="false">
      <c r="A481" s="28"/>
      <c r="B481" s="28"/>
      <c r="C481" s="28"/>
      <c r="D481" s="28"/>
      <c r="E481" s="28"/>
      <c r="F481" s="28"/>
      <c r="G481" s="28"/>
      <c r="H481" s="28"/>
      <c r="I481" s="29" t="str">
        <f aca="false">IF(OR(G481="",H481=""),"",IF(G481=H481,"Yes","No"))</f>
        <v/>
      </c>
      <c r="J481" s="28"/>
      <c r="K481" s="29" t="str">
        <f aca="false">IF(E481="Snowballing","n/a",IF(AND(G481="",H481=""),"",IF(OR(G481="",H481=""),"Waiting",IF(G481=H481,G481,IF(AND(G481&lt;&gt;"Exclude",H481&lt;&gt;"Exclude"),"Maybe",IF(J481&lt;&gt;"",J481,"Pending"))))))</f>
        <v/>
      </c>
      <c r="L481" s="28"/>
      <c r="M481" s="28"/>
      <c r="N481" s="28"/>
      <c r="O481" s="28"/>
      <c r="P481" s="28"/>
    </row>
    <row r="482" customFormat="false" ht="15" hidden="false" customHeight="false" outlineLevel="0" collapsed="false">
      <c r="A482" s="28"/>
      <c r="B482" s="28"/>
      <c r="C482" s="28"/>
      <c r="D482" s="28"/>
      <c r="E482" s="28"/>
      <c r="F482" s="28"/>
      <c r="G482" s="28"/>
      <c r="H482" s="28"/>
      <c r="I482" s="29" t="str">
        <f aca="false">IF(OR(G482="",H482=""),"",IF(G482=H482,"Yes","No"))</f>
        <v/>
      </c>
      <c r="J482" s="28"/>
      <c r="K482" s="29" t="str">
        <f aca="false">IF(E482="Snowballing","n/a",IF(AND(G482="",H482=""),"",IF(OR(G482="",H482=""),"Waiting",IF(G482=H482,G482,IF(AND(G482&lt;&gt;"Exclude",H482&lt;&gt;"Exclude"),"Maybe",IF(J482&lt;&gt;"",J482,"Pending"))))))</f>
        <v/>
      </c>
      <c r="L482" s="28"/>
      <c r="M482" s="28"/>
      <c r="N482" s="28"/>
      <c r="O482" s="28"/>
      <c r="P482" s="28"/>
    </row>
    <row r="483" customFormat="false" ht="15" hidden="false" customHeight="false" outlineLevel="0" collapsed="false">
      <c r="A483" s="28"/>
      <c r="B483" s="28"/>
      <c r="C483" s="28"/>
      <c r="D483" s="28"/>
      <c r="E483" s="28"/>
      <c r="F483" s="28"/>
      <c r="G483" s="28"/>
      <c r="H483" s="28"/>
      <c r="I483" s="29" t="str">
        <f aca="false">IF(OR(G483="",H483=""),"",IF(G483=H483,"Yes","No"))</f>
        <v/>
      </c>
      <c r="J483" s="28"/>
      <c r="K483" s="29" t="str">
        <f aca="false">IF(E483="Snowballing","n/a",IF(AND(G483="",H483=""),"",IF(OR(G483="",H483=""),"Waiting",IF(G483=H483,G483,IF(AND(G483&lt;&gt;"Exclude",H483&lt;&gt;"Exclude"),"Maybe",IF(J483&lt;&gt;"",J483,"Pending"))))))</f>
        <v/>
      </c>
      <c r="L483" s="28"/>
      <c r="M483" s="28"/>
      <c r="N483" s="28"/>
      <c r="O483" s="28"/>
      <c r="P483" s="28"/>
    </row>
    <row r="484" customFormat="false" ht="15" hidden="false" customHeight="false" outlineLevel="0" collapsed="false">
      <c r="A484" s="28"/>
      <c r="B484" s="28"/>
      <c r="C484" s="28"/>
      <c r="D484" s="28"/>
      <c r="E484" s="28"/>
      <c r="F484" s="28"/>
      <c r="G484" s="28"/>
      <c r="H484" s="28"/>
      <c r="I484" s="29" t="str">
        <f aca="false">IF(OR(G484="",H484=""),"",IF(G484=H484,"Yes","No"))</f>
        <v/>
      </c>
      <c r="J484" s="28"/>
      <c r="K484" s="29" t="str">
        <f aca="false">IF(E484="Snowballing","n/a",IF(AND(G484="",H484=""),"",IF(OR(G484="",H484=""),"Waiting",IF(G484=H484,G484,IF(AND(G484&lt;&gt;"Exclude",H484&lt;&gt;"Exclude"),"Maybe",IF(J484&lt;&gt;"",J484,"Pending"))))))</f>
        <v/>
      </c>
      <c r="L484" s="28"/>
      <c r="M484" s="28"/>
      <c r="N484" s="28"/>
      <c r="O484" s="28"/>
      <c r="P484" s="28"/>
    </row>
    <row r="485" customFormat="false" ht="15" hidden="false" customHeight="false" outlineLevel="0" collapsed="false">
      <c r="A485" s="28"/>
      <c r="B485" s="28"/>
      <c r="C485" s="28"/>
      <c r="D485" s="28"/>
      <c r="E485" s="28"/>
      <c r="F485" s="28"/>
      <c r="G485" s="28"/>
      <c r="H485" s="28"/>
      <c r="I485" s="29" t="str">
        <f aca="false">IF(OR(G485="",H485=""),"",IF(G485=H485,"Yes","No"))</f>
        <v/>
      </c>
      <c r="J485" s="28"/>
      <c r="K485" s="29" t="str">
        <f aca="false">IF(E485="Snowballing","n/a",IF(AND(G485="",H485=""),"",IF(OR(G485="",H485=""),"Waiting",IF(G485=H485,G485,IF(AND(G485&lt;&gt;"Exclude",H485&lt;&gt;"Exclude"),"Maybe",IF(J485&lt;&gt;"",J485,"Pending"))))))</f>
        <v/>
      </c>
      <c r="L485" s="28"/>
      <c r="M485" s="28"/>
      <c r="N485" s="28"/>
      <c r="O485" s="28"/>
      <c r="P485" s="28"/>
    </row>
    <row r="486" customFormat="false" ht="15" hidden="false" customHeight="false" outlineLevel="0" collapsed="false">
      <c r="A486" s="28"/>
      <c r="B486" s="28"/>
      <c r="C486" s="28"/>
      <c r="D486" s="28"/>
      <c r="E486" s="28"/>
      <c r="F486" s="28"/>
      <c r="G486" s="28"/>
      <c r="H486" s="28"/>
      <c r="I486" s="29" t="str">
        <f aca="false">IF(OR(G486="",H486=""),"",IF(G486=H486,"Yes","No"))</f>
        <v/>
      </c>
      <c r="J486" s="28"/>
      <c r="K486" s="29" t="str">
        <f aca="false">IF(E486="Snowballing","n/a",IF(AND(G486="",H486=""),"",IF(OR(G486="",H486=""),"Waiting",IF(G486=H486,G486,IF(AND(G486&lt;&gt;"Exclude",H486&lt;&gt;"Exclude"),"Maybe",IF(J486&lt;&gt;"",J486,"Pending"))))))</f>
        <v/>
      </c>
      <c r="L486" s="28"/>
      <c r="M486" s="28"/>
      <c r="N486" s="28"/>
      <c r="O486" s="28"/>
      <c r="P486" s="28"/>
    </row>
    <row r="487" customFormat="false" ht="15" hidden="false" customHeight="false" outlineLevel="0" collapsed="false">
      <c r="A487" s="28"/>
      <c r="B487" s="28"/>
      <c r="C487" s="28"/>
      <c r="D487" s="28"/>
      <c r="E487" s="28"/>
      <c r="F487" s="28"/>
      <c r="G487" s="28"/>
      <c r="H487" s="28"/>
      <c r="I487" s="29" t="str">
        <f aca="false">IF(OR(G487="",H487=""),"",IF(G487=H487,"Yes","No"))</f>
        <v/>
      </c>
      <c r="J487" s="28"/>
      <c r="K487" s="29" t="str">
        <f aca="false">IF(E487="Snowballing","n/a",IF(AND(G487="",H487=""),"",IF(OR(G487="",H487=""),"Waiting",IF(G487=H487,G487,IF(AND(G487&lt;&gt;"Exclude",H487&lt;&gt;"Exclude"),"Maybe",IF(J487&lt;&gt;"",J487,"Pending"))))))</f>
        <v/>
      </c>
      <c r="L487" s="28"/>
      <c r="M487" s="28"/>
      <c r="N487" s="28"/>
      <c r="O487" s="28"/>
      <c r="P487" s="28"/>
    </row>
    <row r="488" customFormat="false" ht="15" hidden="false" customHeight="false" outlineLevel="0" collapsed="false">
      <c r="A488" s="28"/>
      <c r="B488" s="28"/>
      <c r="C488" s="28"/>
      <c r="D488" s="28"/>
      <c r="E488" s="28"/>
      <c r="F488" s="28"/>
      <c r="G488" s="28"/>
      <c r="H488" s="28"/>
      <c r="I488" s="29" t="str">
        <f aca="false">IF(OR(G488="",H488=""),"",IF(G488=H488,"Yes","No"))</f>
        <v/>
      </c>
      <c r="J488" s="28"/>
      <c r="K488" s="29" t="str">
        <f aca="false">IF(E488="Snowballing","n/a",IF(AND(G488="",H488=""),"",IF(OR(G488="",H488=""),"Waiting",IF(G488=H488,G488,IF(AND(G488&lt;&gt;"Exclude",H488&lt;&gt;"Exclude"),"Maybe",IF(J488&lt;&gt;"",J488,"Pending"))))))</f>
        <v/>
      </c>
      <c r="L488" s="28"/>
      <c r="M488" s="28"/>
      <c r="N488" s="28"/>
      <c r="O488" s="28"/>
      <c r="P488" s="28"/>
    </row>
    <row r="489" customFormat="false" ht="15" hidden="false" customHeight="false" outlineLevel="0" collapsed="false">
      <c r="A489" s="28"/>
      <c r="B489" s="28"/>
      <c r="C489" s="28"/>
      <c r="D489" s="28"/>
      <c r="E489" s="28"/>
      <c r="F489" s="28"/>
      <c r="G489" s="28"/>
      <c r="H489" s="28"/>
      <c r="I489" s="29" t="str">
        <f aca="false">IF(OR(G489="",H489=""),"",IF(G489=H489,"Yes","No"))</f>
        <v/>
      </c>
      <c r="J489" s="28"/>
      <c r="K489" s="29" t="str">
        <f aca="false">IF(E489="Snowballing","n/a",IF(AND(G489="",H489=""),"",IF(OR(G489="",H489=""),"Waiting",IF(G489=H489,G489,IF(AND(G489&lt;&gt;"Exclude",H489&lt;&gt;"Exclude"),"Maybe",IF(J489&lt;&gt;"",J489,"Pending"))))))</f>
        <v/>
      </c>
      <c r="L489" s="28"/>
      <c r="M489" s="28"/>
      <c r="N489" s="28"/>
      <c r="O489" s="28"/>
      <c r="P489" s="28"/>
    </row>
    <row r="490" customFormat="false" ht="15" hidden="false" customHeight="false" outlineLevel="0" collapsed="false">
      <c r="A490" s="28"/>
      <c r="B490" s="28"/>
      <c r="C490" s="28"/>
      <c r="D490" s="28"/>
      <c r="E490" s="28"/>
      <c r="F490" s="28"/>
      <c r="G490" s="28"/>
      <c r="H490" s="28"/>
      <c r="I490" s="29" t="str">
        <f aca="false">IF(OR(G490="",H490=""),"",IF(G490=H490,"Yes","No"))</f>
        <v/>
      </c>
      <c r="J490" s="28"/>
      <c r="K490" s="29" t="str">
        <f aca="false">IF(E490="Snowballing","n/a",IF(AND(G490="",H490=""),"",IF(OR(G490="",H490=""),"Waiting",IF(G490=H490,G490,IF(AND(G490&lt;&gt;"Exclude",H490&lt;&gt;"Exclude"),"Maybe",IF(J490&lt;&gt;"",J490,"Pending"))))))</f>
        <v/>
      </c>
      <c r="L490" s="28"/>
      <c r="M490" s="28"/>
      <c r="N490" s="28"/>
      <c r="O490" s="28"/>
      <c r="P490" s="28"/>
    </row>
    <row r="491" customFormat="false" ht="15" hidden="false" customHeight="false" outlineLevel="0" collapsed="false">
      <c r="A491" s="28"/>
      <c r="B491" s="28"/>
      <c r="C491" s="28"/>
      <c r="D491" s="28"/>
      <c r="E491" s="28"/>
      <c r="F491" s="28"/>
      <c r="G491" s="28"/>
      <c r="H491" s="28"/>
      <c r="I491" s="29" t="str">
        <f aca="false">IF(OR(G491="",H491=""),"",IF(G491=H491,"Yes","No"))</f>
        <v/>
      </c>
      <c r="J491" s="28"/>
      <c r="K491" s="29" t="str">
        <f aca="false">IF(E491="Snowballing","n/a",IF(AND(G491="",H491=""),"",IF(OR(G491="",H491=""),"Waiting",IF(G491=H491,G491,IF(AND(G491&lt;&gt;"Exclude",H491&lt;&gt;"Exclude"),"Maybe",IF(J491&lt;&gt;"",J491,"Pending"))))))</f>
        <v/>
      </c>
      <c r="L491" s="28"/>
      <c r="M491" s="28"/>
      <c r="N491" s="28"/>
      <c r="O491" s="28"/>
      <c r="P491" s="28"/>
    </row>
    <row r="492" customFormat="false" ht="15" hidden="false" customHeight="false" outlineLevel="0" collapsed="false">
      <c r="A492" s="28"/>
      <c r="B492" s="28"/>
      <c r="C492" s="28"/>
      <c r="D492" s="28"/>
      <c r="E492" s="28"/>
      <c r="F492" s="28"/>
      <c r="G492" s="28"/>
      <c r="H492" s="28"/>
      <c r="I492" s="29" t="str">
        <f aca="false">IF(OR(G492="",H492=""),"",IF(G492=H492,"Yes","No"))</f>
        <v/>
      </c>
      <c r="J492" s="28"/>
      <c r="K492" s="29" t="str">
        <f aca="false">IF(E492="Snowballing","n/a",IF(AND(G492="",H492=""),"",IF(OR(G492="",H492=""),"Waiting",IF(G492=H492,G492,IF(AND(G492&lt;&gt;"Exclude",H492&lt;&gt;"Exclude"),"Maybe",IF(J492&lt;&gt;"",J492,"Pending"))))))</f>
        <v/>
      </c>
      <c r="L492" s="28"/>
      <c r="M492" s="28"/>
      <c r="N492" s="28"/>
      <c r="O492" s="28"/>
      <c r="P492" s="28"/>
    </row>
    <row r="493" customFormat="false" ht="15" hidden="false" customHeight="false" outlineLevel="0" collapsed="false">
      <c r="A493" s="28"/>
      <c r="B493" s="28"/>
      <c r="C493" s="28"/>
      <c r="D493" s="28"/>
      <c r="E493" s="28"/>
      <c r="F493" s="28"/>
      <c r="G493" s="28"/>
      <c r="H493" s="28"/>
      <c r="I493" s="29" t="str">
        <f aca="false">IF(OR(G493="",H493=""),"",IF(G493=H493,"Yes","No"))</f>
        <v/>
      </c>
      <c r="J493" s="28"/>
      <c r="K493" s="29" t="str">
        <f aca="false">IF(E493="Snowballing","n/a",IF(AND(G493="",H493=""),"",IF(OR(G493="",H493=""),"Waiting",IF(G493=H493,G493,IF(AND(G493&lt;&gt;"Exclude",H493&lt;&gt;"Exclude"),"Maybe",IF(J493&lt;&gt;"",J493,"Pending"))))))</f>
        <v/>
      </c>
      <c r="L493" s="28"/>
      <c r="M493" s="28"/>
      <c r="N493" s="28"/>
      <c r="O493" s="28"/>
      <c r="P493" s="28"/>
    </row>
    <row r="494" customFormat="false" ht="15" hidden="false" customHeight="false" outlineLevel="0" collapsed="false">
      <c r="A494" s="28"/>
      <c r="B494" s="28"/>
      <c r="C494" s="28"/>
      <c r="D494" s="28"/>
      <c r="E494" s="28"/>
      <c r="F494" s="28"/>
      <c r="G494" s="28"/>
      <c r="H494" s="28"/>
      <c r="I494" s="29" t="str">
        <f aca="false">IF(OR(G494="",H494=""),"",IF(G494=H494,"Yes","No"))</f>
        <v/>
      </c>
      <c r="J494" s="28"/>
      <c r="K494" s="29" t="str">
        <f aca="false">IF(E494="Snowballing","n/a",IF(AND(G494="",H494=""),"",IF(OR(G494="",H494=""),"Waiting",IF(G494=H494,G494,IF(AND(G494&lt;&gt;"Exclude",H494&lt;&gt;"Exclude"),"Maybe",IF(J494&lt;&gt;"",J494,"Pending"))))))</f>
        <v/>
      </c>
      <c r="L494" s="28"/>
      <c r="M494" s="28"/>
      <c r="N494" s="28"/>
      <c r="O494" s="28"/>
      <c r="P494" s="28"/>
    </row>
    <row r="495" customFormat="false" ht="15" hidden="false" customHeight="false" outlineLevel="0" collapsed="false">
      <c r="A495" s="28"/>
      <c r="B495" s="28"/>
      <c r="C495" s="28"/>
      <c r="D495" s="28"/>
      <c r="E495" s="28"/>
      <c r="F495" s="28"/>
      <c r="G495" s="28"/>
      <c r="H495" s="28"/>
      <c r="I495" s="29" t="str">
        <f aca="false">IF(OR(G495="",H495=""),"",IF(G495=H495,"Yes","No"))</f>
        <v/>
      </c>
      <c r="J495" s="28"/>
      <c r="K495" s="29" t="str">
        <f aca="false">IF(E495="Snowballing","n/a",IF(AND(G495="",H495=""),"",IF(OR(G495="",H495=""),"Waiting",IF(G495=H495,G495,IF(AND(G495&lt;&gt;"Exclude",H495&lt;&gt;"Exclude"),"Maybe",IF(J495&lt;&gt;"",J495,"Pending"))))))</f>
        <v/>
      </c>
      <c r="L495" s="28"/>
      <c r="M495" s="28"/>
      <c r="N495" s="28"/>
      <c r="O495" s="28"/>
      <c r="P495" s="28"/>
    </row>
    <row r="496" customFormat="false" ht="15" hidden="false" customHeight="false" outlineLevel="0" collapsed="false">
      <c r="A496" s="28"/>
      <c r="B496" s="28"/>
      <c r="C496" s="28"/>
      <c r="D496" s="28"/>
      <c r="E496" s="28"/>
      <c r="F496" s="28"/>
      <c r="G496" s="28"/>
      <c r="H496" s="28"/>
      <c r="I496" s="29" t="str">
        <f aca="false">IF(OR(G496="",H496=""),"",IF(G496=H496,"Yes","No"))</f>
        <v/>
      </c>
      <c r="J496" s="28"/>
      <c r="K496" s="29" t="str">
        <f aca="false">IF(E496="Snowballing","n/a",IF(AND(G496="",H496=""),"",IF(OR(G496="",H496=""),"Waiting",IF(G496=H496,G496,IF(AND(G496&lt;&gt;"Exclude",H496&lt;&gt;"Exclude"),"Maybe",IF(J496&lt;&gt;"",J496,"Pending"))))))</f>
        <v/>
      </c>
      <c r="L496" s="28"/>
      <c r="M496" s="28"/>
      <c r="N496" s="28"/>
      <c r="O496" s="28"/>
      <c r="P496" s="28"/>
    </row>
    <row r="497" customFormat="false" ht="15" hidden="false" customHeight="false" outlineLevel="0" collapsed="false">
      <c r="A497" s="28"/>
      <c r="B497" s="28"/>
      <c r="C497" s="28"/>
      <c r="D497" s="28"/>
      <c r="E497" s="28"/>
      <c r="F497" s="28"/>
      <c r="G497" s="28"/>
      <c r="H497" s="28"/>
      <c r="I497" s="29" t="str">
        <f aca="false">IF(OR(G497="",H497=""),"",IF(G497=H497,"Yes","No"))</f>
        <v/>
      </c>
      <c r="J497" s="28"/>
      <c r="K497" s="29" t="str">
        <f aca="false">IF(E497="Snowballing","n/a",IF(AND(G497="",H497=""),"",IF(OR(G497="",H497=""),"Waiting",IF(G497=H497,G497,IF(AND(G497&lt;&gt;"Exclude",H497&lt;&gt;"Exclude"),"Maybe",IF(J497&lt;&gt;"",J497,"Pending"))))))</f>
        <v/>
      </c>
      <c r="L497" s="28"/>
      <c r="M497" s="28"/>
      <c r="N497" s="28"/>
      <c r="O497" s="28"/>
      <c r="P497" s="28"/>
    </row>
    <row r="498" customFormat="false" ht="15" hidden="false" customHeight="false" outlineLevel="0" collapsed="false">
      <c r="A498" s="28"/>
      <c r="B498" s="28"/>
      <c r="C498" s="28"/>
      <c r="D498" s="28"/>
      <c r="E498" s="28"/>
      <c r="F498" s="28"/>
      <c r="G498" s="28"/>
      <c r="H498" s="28"/>
      <c r="I498" s="29" t="str">
        <f aca="false">IF(OR(G498="",H498=""),"",IF(G498=H498,"Yes","No"))</f>
        <v/>
      </c>
      <c r="J498" s="28"/>
      <c r="K498" s="29" t="str">
        <f aca="false">IF(E498="Snowballing","n/a",IF(AND(G498="",H498=""),"",IF(OR(G498="",H498=""),"Waiting",IF(G498=H498,G498,IF(AND(G498&lt;&gt;"Exclude",H498&lt;&gt;"Exclude"),"Maybe",IF(J498&lt;&gt;"",J498,"Pending"))))))</f>
        <v/>
      </c>
      <c r="L498" s="28"/>
      <c r="M498" s="28"/>
      <c r="N498" s="28"/>
      <c r="O498" s="28"/>
      <c r="P498" s="28"/>
    </row>
    <row r="499" customFormat="false" ht="15" hidden="false" customHeight="false" outlineLevel="0" collapsed="false">
      <c r="A499" s="28"/>
      <c r="B499" s="28"/>
      <c r="C499" s="28"/>
      <c r="D499" s="28"/>
      <c r="E499" s="28"/>
      <c r="F499" s="28"/>
      <c r="G499" s="28"/>
      <c r="H499" s="28"/>
      <c r="I499" s="29" t="str">
        <f aca="false">IF(OR(G499="",H499=""),"",IF(G499=H499,"Yes","No"))</f>
        <v/>
      </c>
      <c r="J499" s="28"/>
      <c r="K499" s="29" t="str">
        <f aca="false">IF(E499="Snowballing","n/a",IF(AND(G499="",H499=""),"",IF(OR(G499="",H499=""),"Waiting",IF(G499=H499,G499,IF(AND(G499&lt;&gt;"Exclude",H499&lt;&gt;"Exclude"),"Maybe",IF(J499&lt;&gt;"",J499,"Pending"))))))</f>
        <v/>
      </c>
      <c r="L499" s="28"/>
      <c r="M499" s="28"/>
      <c r="N499" s="28"/>
      <c r="O499" s="28"/>
      <c r="P499" s="28"/>
    </row>
    <row r="500" customFormat="false" ht="15" hidden="false" customHeight="false" outlineLevel="0" collapsed="false">
      <c r="A500" s="28"/>
      <c r="B500" s="28"/>
      <c r="C500" s="28"/>
      <c r="D500" s="28"/>
      <c r="E500" s="28"/>
      <c r="F500" s="28"/>
      <c r="G500" s="28"/>
      <c r="H500" s="28"/>
      <c r="I500" s="29" t="str">
        <f aca="false">IF(OR(G500="",H500=""),"",IF(G500=H500,"Yes","No"))</f>
        <v/>
      </c>
      <c r="J500" s="28"/>
      <c r="K500" s="29" t="str">
        <f aca="false">IF(E500="Snowballing","n/a",IF(AND(G500="",H500=""),"",IF(OR(G500="",H500=""),"Waiting",IF(G500=H500,G500,IF(AND(G500&lt;&gt;"Exclude",H500&lt;&gt;"Exclude"),"Maybe",IF(J500&lt;&gt;"",J500,"Pending"))))))</f>
        <v/>
      </c>
      <c r="L500" s="28"/>
      <c r="M500" s="28"/>
      <c r="N500" s="28"/>
      <c r="O500" s="28"/>
      <c r="P500" s="28"/>
    </row>
    <row r="501" customFormat="false" ht="15" hidden="false" customHeight="false" outlineLevel="0" collapsed="false">
      <c r="A501" s="28"/>
      <c r="B501" s="28"/>
      <c r="C501" s="28"/>
      <c r="D501" s="28"/>
      <c r="E501" s="28"/>
      <c r="F501" s="28"/>
      <c r="G501" s="28"/>
      <c r="H501" s="28"/>
      <c r="I501" s="29" t="str">
        <f aca="false">IF(OR(G501="",H501=""),"",IF(G501=H501,"Yes","No"))</f>
        <v/>
      </c>
      <c r="J501" s="28"/>
      <c r="K501" s="29" t="str">
        <f aca="false">IF(E501="Snowballing","n/a",IF(AND(G501="",H501=""),"",IF(OR(G501="",H501=""),"Waiting",IF(G501=H501,G501,IF(AND(G501&lt;&gt;"Exclude",H501&lt;&gt;"Exclude"),"Maybe",IF(J501&lt;&gt;"",J501,"Pending"))))))</f>
        <v/>
      </c>
      <c r="L501" s="28"/>
      <c r="M501" s="28"/>
      <c r="N501" s="28"/>
      <c r="O501" s="28"/>
      <c r="P501" s="28"/>
    </row>
    <row r="502" customFormat="false" ht="15" hidden="false" customHeight="false" outlineLevel="0" collapsed="false">
      <c r="A502" s="28"/>
      <c r="B502" s="28"/>
      <c r="C502" s="28"/>
      <c r="D502" s="28"/>
      <c r="E502" s="28"/>
      <c r="F502" s="28"/>
      <c r="G502" s="28"/>
      <c r="H502" s="28"/>
      <c r="I502" s="29" t="str">
        <f aca="false">IF(OR(G502="",H502=""),"",IF(G502=H502,"Yes","No"))</f>
        <v/>
      </c>
      <c r="J502" s="28"/>
      <c r="K502" s="29" t="str">
        <f aca="false">IF(E502="Snowballing","n/a",IF(AND(G502="",H502=""),"",IF(OR(G502="",H502=""),"Waiting",IF(G502=H502,G502,IF(AND(G502&lt;&gt;"Exclude",H502&lt;&gt;"Exclude"),"Maybe",IF(J502&lt;&gt;"",J502,"Pending"))))))</f>
        <v/>
      </c>
      <c r="L502" s="28"/>
      <c r="M502" s="28"/>
      <c r="N502" s="28"/>
      <c r="O502" s="28"/>
      <c r="P502" s="28"/>
    </row>
    <row r="503" customFormat="false" ht="15" hidden="false" customHeight="false" outlineLevel="0" collapsed="false">
      <c r="A503" s="28"/>
      <c r="B503" s="28"/>
      <c r="C503" s="28"/>
      <c r="D503" s="28"/>
      <c r="E503" s="28"/>
      <c r="F503" s="28"/>
      <c r="G503" s="28"/>
      <c r="H503" s="28"/>
      <c r="I503" s="29" t="str">
        <f aca="false">IF(OR(G503="",H503=""),"",IF(G503=H503,"Yes","No"))</f>
        <v/>
      </c>
      <c r="J503" s="28"/>
      <c r="K503" s="29" t="str">
        <f aca="false">IF(E503="Snowballing","n/a",IF(AND(G503="",H503=""),"",IF(OR(G503="",H503=""),"Waiting",IF(G503=H503,G503,IF(AND(G503&lt;&gt;"Exclude",H503&lt;&gt;"Exclude"),"Maybe",IF(J503&lt;&gt;"",J503,"Pending"))))))</f>
        <v/>
      </c>
      <c r="L503" s="28"/>
      <c r="M503" s="28"/>
      <c r="N503" s="28"/>
      <c r="O503" s="28"/>
      <c r="P503" s="28"/>
    </row>
    <row r="504" customFormat="false" ht="15" hidden="false" customHeight="false" outlineLevel="0" collapsed="false">
      <c r="A504" s="28"/>
      <c r="B504" s="28"/>
      <c r="C504" s="28"/>
      <c r="D504" s="28"/>
      <c r="E504" s="28"/>
      <c r="F504" s="28"/>
      <c r="G504" s="28"/>
      <c r="H504" s="28"/>
      <c r="I504" s="29" t="str">
        <f aca="false">IF(OR(G504="",H504=""),"",IF(G504=H504,"Yes","No"))</f>
        <v/>
      </c>
      <c r="J504" s="28"/>
      <c r="K504" s="29" t="str">
        <f aca="false">IF(E504="Snowballing","n/a",IF(AND(G504="",H504=""),"",IF(OR(G504="",H504=""),"Waiting",IF(G504=H504,G504,IF(AND(G504&lt;&gt;"Exclude",H504&lt;&gt;"Exclude"),"Maybe",IF(J504&lt;&gt;"",J504,"Pending"))))))</f>
        <v/>
      </c>
      <c r="L504" s="28"/>
      <c r="M504" s="28"/>
      <c r="N504" s="28"/>
      <c r="O504" s="28"/>
      <c r="P504" s="28"/>
    </row>
    <row r="505" customFormat="false" ht="15" hidden="false" customHeight="false" outlineLevel="0" collapsed="false">
      <c r="A505" s="28"/>
      <c r="B505" s="28"/>
      <c r="C505" s="28"/>
      <c r="D505" s="28"/>
      <c r="E505" s="28"/>
      <c r="F505" s="28"/>
      <c r="G505" s="28"/>
      <c r="H505" s="28"/>
      <c r="I505" s="29" t="str">
        <f aca="false">IF(OR(G505="",H505=""),"",IF(G505=H505,"Yes","No"))</f>
        <v/>
      </c>
      <c r="J505" s="28"/>
      <c r="K505" s="29" t="str">
        <f aca="false">IF(E505="Snowballing","n/a",IF(AND(G505="",H505=""),"",IF(OR(G505="",H505=""),"Waiting",IF(G505=H505,G505,IF(AND(G505&lt;&gt;"Exclude",H505&lt;&gt;"Exclude"),"Maybe",IF(J505&lt;&gt;"",J505,"Pending"))))))</f>
        <v/>
      </c>
      <c r="L505" s="28"/>
      <c r="M505" s="28"/>
      <c r="N505" s="28"/>
      <c r="O505" s="28"/>
      <c r="P505" s="28"/>
    </row>
    <row r="506" customFormat="false" ht="15" hidden="false" customHeight="false" outlineLevel="0" collapsed="false">
      <c r="A506" s="28"/>
      <c r="B506" s="28"/>
      <c r="C506" s="28"/>
      <c r="D506" s="28"/>
      <c r="E506" s="28"/>
      <c r="F506" s="28"/>
      <c r="G506" s="28"/>
      <c r="H506" s="28"/>
      <c r="I506" s="29" t="str">
        <f aca="false">IF(OR(G506="",H506=""),"",IF(G506=H506,"Yes","No"))</f>
        <v/>
      </c>
      <c r="J506" s="28"/>
      <c r="K506" s="29" t="str">
        <f aca="false">IF(E506="Snowballing","n/a",IF(AND(G506="",H506=""),"",IF(OR(G506="",H506=""),"Waiting",IF(G506=H506,G506,IF(AND(G506&lt;&gt;"Exclude",H506&lt;&gt;"Exclude"),"Maybe",IF(J506&lt;&gt;"",J506,"Pending"))))))</f>
        <v/>
      </c>
      <c r="L506" s="28"/>
      <c r="M506" s="28"/>
      <c r="N506" s="28"/>
      <c r="O506" s="28"/>
      <c r="P506" s="28"/>
    </row>
    <row r="507" customFormat="false" ht="15" hidden="false" customHeight="false" outlineLevel="0" collapsed="false">
      <c r="A507" s="28"/>
      <c r="B507" s="28"/>
      <c r="C507" s="28"/>
      <c r="D507" s="28"/>
      <c r="E507" s="28"/>
      <c r="F507" s="28"/>
      <c r="G507" s="28"/>
      <c r="H507" s="28"/>
      <c r="I507" s="29" t="str">
        <f aca="false">IF(OR(G507="",H507=""),"",IF(G507=H507,"Yes","No"))</f>
        <v/>
      </c>
      <c r="J507" s="28"/>
      <c r="K507" s="29" t="str">
        <f aca="false">IF(E507="Snowballing","n/a",IF(AND(G507="",H507=""),"",IF(OR(G507="",H507=""),"Waiting",IF(G507=H507,G507,IF(AND(G507&lt;&gt;"Exclude",H507&lt;&gt;"Exclude"),"Maybe",IF(J507&lt;&gt;"",J507,"Pending"))))))</f>
        <v/>
      </c>
      <c r="L507" s="28"/>
      <c r="M507" s="28"/>
      <c r="N507" s="28"/>
      <c r="O507" s="28"/>
      <c r="P507" s="28"/>
    </row>
    <row r="508" customFormat="false" ht="15" hidden="false" customHeight="false" outlineLevel="0" collapsed="false">
      <c r="A508" s="28"/>
      <c r="B508" s="28"/>
      <c r="C508" s="28"/>
      <c r="D508" s="28"/>
      <c r="E508" s="28"/>
      <c r="F508" s="28"/>
      <c r="G508" s="28"/>
      <c r="H508" s="28"/>
      <c r="I508" s="29" t="str">
        <f aca="false">IF(OR(G508="",H508=""),"",IF(G508=H508,"Yes","No"))</f>
        <v/>
      </c>
      <c r="J508" s="28"/>
      <c r="K508" s="29" t="str">
        <f aca="false">IF(E508="Snowballing","n/a",IF(AND(G508="",H508=""),"",IF(OR(G508="",H508=""),"Waiting",IF(G508=H508,G508,IF(AND(G508&lt;&gt;"Exclude",H508&lt;&gt;"Exclude"),"Maybe",IF(J508&lt;&gt;"",J508,"Pending"))))))</f>
        <v/>
      </c>
      <c r="L508" s="28"/>
      <c r="M508" s="28"/>
      <c r="N508" s="28"/>
      <c r="O508" s="28"/>
      <c r="P508" s="28"/>
    </row>
    <row r="509" customFormat="false" ht="15" hidden="false" customHeight="false" outlineLevel="0" collapsed="false">
      <c r="A509" s="28"/>
      <c r="B509" s="28"/>
      <c r="C509" s="28"/>
      <c r="D509" s="28"/>
      <c r="E509" s="28"/>
      <c r="F509" s="28"/>
      <c r="G509" s="28"/>
      <c r="H509" s="28"/>
      <c r="I509" s="29" t="str">
        <f aca="false">IF(OR(G509="",H509=""),"",IF(G509=H509,"Yes","No"))</f>
        <v/>
      </c>
      <c r="J509" s="28"/>
      <c r="K509" s="29" t="str">
        <f aca="false">IF(E509="Snowballing","n/a",IF(AND(G509="",H509=""),"",IF(OR(G509="",H509=""),"Waiting",IF(G509=H509,G509,IF(AND(G509&lt;&gt;"Exclude",H509&lt;&gt;"Exclude"),"Maybe",IF(J509&lt;&gt;"",J509,"Pending"))))))</f>
        <v/>
      </c>
      <c r="L509" s="28"/>
      <c r="M509" s="28"/>
      <c r="N509" s="28"/>
      <c r="O509" s="28"/>
      <c r="P509" s="28"/>
    </row>
    <row r="510" customFormat="false" ht="15" hidden="false" customHeight="false" outlineLevel="0" collapsed="false">
      <c r="A510" s="28"/>
      <c r="B510" s="28"/>
      <c r="C510" s="28"/>
      <c r="D510" s="28"/>
      <c r="E510" s="28"/>
      <c r="F510" s="28"/>
      <c r="G510" s="28"/>
      <c r="H510" s="28"/>
      <c r="I510" s="29" t="str">
        <f aca="false">IF(OR(G510="",H510=""),"",IF(G510=H510,"Yes","No"))</f>
        <v/>
      </c>
      <c r="J510" s="28"/>
      <c r="K510" s="29" t="str">
        <f aca="false">IF(E510="Snowballing","n/a",IF(AND(G510="",H510=""),"",IF(OR(G510="",H510=""),"Waiting",IF(G510=H510,G510,IF(AND(G510&lt;&gt;"Exclude",H510&lt;&gt;"Exclude"),"Maybe",IF(J510&lt;&gt;"",J510,"Pending"))))))</f>
        <v/>
      </c>
      <c r="L510" s="28"/>
      <c r="M510" s="28"/>
      <c r="N510" s="28"/>
      <c r="O510" s="28"/>
      <c r="P510" s="28"/>
    </row>
    <row r="511" customFormat="false" ht="15" hidden="false" customHeight="false" outlineLevel="0" collapsed="false">
      <c r="A511" s="28"/>
      <c r="B511" s="28"/>
      <c r="C511" s="28"/>
      <c r="D511" s="28"/>
      <c r="E511" s="28"/>
      <c r="F511" s="28"/>
      <c r="G511" s="28"/>
      <c r="H511" s="28"/>
      <c r="I511" s="29" t="str">
        <f aca="false">IF(OR(G511="",H511=""),"",IF(G511=H511,"Yes","No"))</f>
        <v/>
      </c>
      <c r="J511" s="28"/>
      <c r="K511" s="29" t="str">
        <f aca="false">IF(E511="Snowballing","n/a",IF(AND(G511="",H511=""),"",IF(OR(G511="",H511=""),"Waiting",IF(G511=H511,G511,IF(AND(G511&lt;&gt;"Exclude",H511&lt;&gt;"Exclude"),"Maybe",IF(J511&lt;&gt;"",J511,"Pending"))))))</f>
        <v/>
      </c>
      <c r="L511" s="28"/>
      <c r="M511" s="28"/>
      <c r="N511" s="28"/>
      <c r="O511" s="28"/>
      <c r="P511" s="28"/>
    </row>
    <row r="512" customFormat="false" ht="15" hidden="false" customHeight="false" outlineLevel="0" collapsed="false">
      <c r="A512" s="28"/>
      <c r="B512" s="28"/>
      <c r="C512" s="28"/>
      <c r="D512" s="28"/>
      <c r="E512" s="28"/>
      <c r="F512" s="28"/>
      <c r="G512" s="28"/>
      <c r="H512" s="28"/>
      <c r="I512" s="29" t="str">
        <f aca="false">IF(OR(G512="",H512=""),"",IF(G512=H512,"Yes","No"))</f>
        <v/>
      </c>
      <c r="J512" s="28"/>
      <c r="K512" s="29" t="str">
        <f aca="false">IF(E512="Snowballing","n/a",IF(AND(G512="",H512=""),"",IF(OR(G512="",H512=""),"Waiting",IF(G512=H512,G512,IF(AND(G512&lt;&gt;"Exclude",H512&lt;&gt;"Exclude"),"Maybe",IF(J512&lt;&gt;"",J512,"Pending"))))))</f>
        <v/>
      </c>
      <c r="L512" s="28"/>
      <c r="M512" s="28"/>
      <c r="N512" s="28"/>
      <c r="O512" s="28"/>
      <c r="P512" s="28"/>
    </row>
    <row r="513" customFormat="false" ht="15" hidden="false" customHeight="false" outlineLevel="0" collapsed="false">
      <c r="A513" s="28"/>
      <c r="B513" s="28"/>
      <c r="C513" s="28"/>
      <c r="D513" s="28"/>
      <c r="E513" s="28"/>
      <c r="F513" s="28"/>
      <c r="G513" s="28"/>
      <c r="H513" s="28"/>
      <c r="I513" s="29" t="str">
        <f aca="false">IF(OR(G513="",H513=""),"",IF(G513=H513,"Yes","No"))</f>
        <v/>
      </c>
      <c r="J513" s="28"/>
      <c r="K513" s="29" t="str">
        <f aca="false">IF(E513="Snowballing","n/a",IF(AND(G513="",H513=""),"",IF(OR(G513="",H513=""),"Waiting",IF(G513=H513,G513,IF(AND(G513&lt;&gt;"Exclude",H513&lt;&gt;"Exclude"),"Maybe",IF(J513&lt;&gt;"",J513,"Pending"))))))</f>
        <v/>
      </c>
      <c r="L513" s="28"/>
      <c r="M513" s="28"/>
      <c r="N513" s="28"/>
      <c r="O513" s="28"/>
      <c r="P513" s="28"/>
    </row>
    <row r="514" customFormat="false" ht="15" hidden="false" customHeight="false" outlineLevel="0" collapsed="false">
      <c r="A514" s="28"/>
      <c r="B514" s="28"/>
      <c r="C514" s="28"/>
      <c r="D514" s="28"/>
      <c r="E514" s="28"/>
      <c r="F514" s="28"/>
      <c r="G514" s="28"/>
      <c r="H514" s="28"/>
      <c r="I514" s="29" t="str">
        <f aca="false">IF(OR(G514="",H514=""),"",IF(G514=H514,"Yes","No"))</f>
        <v/>
      </c>
      <c r="J514" s="28"/>
      <c r="K514" s="29" t="str">
        <f aca="false">IF(E514="Snowballing","n/a",IF(AND(G514="",H514=""),"",IF(OR(G514="",H514=""),"Waiting",IF(G514=H514,G514,IF(AND(G514&lt;&gt;"Exclude",H514&lt;&gt;"Exclude"),"Maybe",IF(J514&lt;&gt;"",J514,"Pending"))))))</f>
        <v/>
      </c>
      <c r="L514" s="28"/>
      <c r="M514" s="28"/>
      <c r="N514" s="28"/>
      <c r="O514" s="28"/>
      <c r="P514" s="28"/>
    </row>
    <row r="515" customFormat="false" ht="15" hidden="false" customHeight="false" outlineLevel="0" collapsed="false">
      <c r="A515" s="28"/>
      <c r="B515" s="28"/>
      <c r="C515" s="28"/>
      <c r="D515" s="28"/>
      <c r="E515" s="28"/>
      <c r="F515" s="28"/>
      <c r="G515" s="28"/>
      <c r="H515" s="28"/>
      <c r="I515" s="29" t="str">
        <f aca="false">IF(OR(G515="",H515=""),"",IF(G515=H515,"Yes","No"))</f>
        <v/>
      </c>
      <c r="J515" s="28"/>
      <c r="K515" s="29" t="str">
        <f aca="false">IF(E515="Snowballing","n/a",IF(AND(G515="",H515=""),"",IF(OR(G515="",H515=""),"Waiting",IF(G515=H515,G515,IF(AND(G515&lt;&gt;"Exclude",H515&lt;&gt;"Exclude"),"Maybe",IF(J515&lt;&gt;"",J515,"Pending"))))))</f>
        <v/>
      </c>
      <c r="L515" s="28"/>
      <c r="M515" s="28"/>
      <c r="N515" s="28"/>
      <c r="O515" s="28"/>
      <c r="P515" s="28"/>
    </row>
    <row r="516" customFormat="false" ht="15" hidden="false" customHeight="false" outlineLevel="0" collapsed="false">
      <c r="A516" s="28"/>
      <c r="B516" s="28"/>
      <c r="C516" s="28"/>
      <c r="D516" s="28"/>
      <c r="E516" s="28"/>
      <c r="F516" s="28"/>
      <c r="G516" s="28"/>
      <c r="H516" s="28"/>
      <c r="I516" s="29" t="str">
        <f aca="false">IF(OR(G516="",H516=""),"",IF(G516=H516,"Yes","No"))</f>
        <v/>
      </c>
      <c r="J516" s="28"/>
      <c r="K516" s="29" t="str">
        <f aca="false">IF(E516="Snowballing","n/a",IF(AND(G516="",H516=""),"",IF(OR(G516="",H516=""),"Waiting",IF(G516=H516,G516,IF(AND(G516&lt;&gt;"Exclude",H516&lt;&gt;"Exclude"),"Maybe",IF(J516&lt;&gt;"",J516,"Pending"))))))</f>
        <v/>
      </c>
      <c r="L516" s="28"/>
      <c r="M516" s="28"/>
      <c r="N516" s="28"/>
      <c r="O516" s="28"/>
      <c r="P516" s="28"/>
    </row>
    <row r="517" customFormat="false" ht="15" hidden="false" customHeight="false" outlineLevel="0" collapsed="false">
      <c r="A517" s="28"/>
      <c r="B517" s="28"/>
      <c r="C517" s="28"/>
      <c r="D517" s="28"/>
      <c r="E517" s="28"/>
      <c r="F517" s="28"/>
      <c r="G517" s="28"/>
      <c r="H517" s="28"/>
      <c r="I517" s="29" t="str">
        <f aca="false">IF(OR(G517="",H517=""),"",IF(G517=H517,"Yes","No"))</f>
        <v/>
      </c>
      <c r="J517" s="28"/>
      <c r="K517" s="29" t="str">
        <f aca="false">IF(E517="Snowballing","n/a",IF(AND(G517="",H517=""),"",IF(OR(G517="",H517=""),"Waiting",IF(G517=H517,G517,IF(AND(G517&lt;&gt;"Exclude",H517&lt;&gt;"Exclude"),"Maybe",IF(J517&lt;&gt;"",J517,"Pending"))))))</f>
        <v/>
      </c>
      <c r="L517" s="28"/>
      <c r="M517" s="28"/>
      <c r="N517" s="28"/>
      <c r="O517" s="28"/>
      <c r="P517" s="28"/>
    </row>
    <row r="518" customFormat="false" ht="15" hidden="false" customHeight="false" outlineLevel="0" collapsed="false">
      <c r="A518" s="28"/>
      <c r="B518" s="28"/>
      <c r="C518" s="28"/>
      <c r="D518" s="28"/>
      <c r="E518" s="28"/>
      <c r="F518" s="28"/>
      <c r="G518" s="28"/>
      <c r="H518" s="28"/>
      <c r="I518" s="29" t="str">
        <f aca="false">IF(OR(G518="",H518=""),"",IF(G518=H518,"Yes","No"))</f>
        <v/>
      </c>
      <c r="J518" s="28"/>
      <c r="K518" s="29" t="str">
        <f aca="false">IF(E518="Snowballing","n/a",IF(AND(G518="",H518=""),"",IF(OR(G518="",H518=""),"Waiting",IF(G518=H518,G518,IF(AND(G518&lt;&gt;"Exclude",H518&lt;&gt;"Exclude"),"Maybe",IF(J518&lt;&gt;"",J518,"Pending"))))))</f>
        <v/>
      </c>
      <c r="L518" s="28"/>
      <c r="M518" s="28"/>
      <c r="N518" s="28"/>
      <c r="O518" s="28"/>
      <c r="P518" s="28"/>
    </row>
    <row r="519" customFormat="false" ht="15" hidden="false" customHeight="false" outlineLevel="0" collapsed="false">
      <c r="A519" s="28"/>
      <c r="B519" s="28"/>
      <c r="C519" s="28"/>
      <c r="D519" s="28"/>
      <c r="E519" s="28"/>
      <c r="F519" s="28"/>
      <c r="G519" s="28"/>
      <c r="H519" s="28"/>
      <c r="I519" s="29" t="str">
        <f aca="false">IF(OR(G519="",H519=""),"",IF(G519=H519,"Yes","No"))</f>
        <v/>
      </c>
      <c r="J519" s="28"/>
      <c r="K519" s="29" t="str">
        <f aca="false">IF(E519="Snowballing","n/a",IF(AND(G519="",H519=""),"",IF(OR(G519="",H519=""),"Waiting",IF(G519=H519,G519,IF(AND(G519&lt;&gt;"Exclude",H519&lt;&gt;"Exclude"),"Maybe",IF(J519&lt;&gt;"",J519,"Pending"))))))</f>
        <v/>
      </c>
      <c r="L519" s="28"/>
      <c r="M519" s="28"/>
      <c r="N519" s="28"/>
      <c r="O519" s="28"/>
      <c r="P519" s="28"/>
    </row>
    <row r="520" customFormat="false" ht="15" hidden="false" customHeight="false" outlineLevel="0" collapsed="false">
      <c r="A520" s="28"/>
      <c r="B520" s="28"/>
      <c r="C520" s="28"/>
      <c r="D520" s="28"/>
      <c r="E520" s="28"/>
      <c r="F520" s="28"/>
      <c r="G520" s="28"/>
      <c r="H520" s="28"/>
      <c r="I520" s="29" t="str">
        <f aca="false">IF(OR(G520="",H520=""),"",IF(G520=H520,"Yes","No"))</f>
        <v/>
      </c>
      <c r="J520" s="28"/>
      <c r="K520" s="29" t="str">
        <f aca="false">IF(E520="Snowballing","n/a",IF(AND(G520="",H520=""),"",IF(OR(G520="",H520=""),"Waiting",IF(G520=H520,G520,IF(AND(G520&lt;&gt;"Exclude",H520&lt;&gt;"Exclude"),"Maybe",IF(J520&lt;&gt;"",J520,"Pending"))))))</f>
        <v/>
      </c>
      <c r="L520" s="28"/>
      <c r="M520" s="28"/>
      <c r="N520" s="28"/>
      <c r="O520" s="28"/>
      <c r="P520" s="28"/>
    </row>
    <row r="521" customFormat="false" ht="15" hidden="false" customHeight="false" outlineLevel="0" collapsed="false">
      <c r="A521" s="28"/>
      <c r="B521" s="28"/>
      <c r="C521" s="28"/>
      <c r="D521" s="28"/>
      <c r="E521" s="28"/>
      <c r="F521" s="28"/>
      <c r="G521" s="28"/>
      <c r="H521" s="28"/>
      <c r="I521" s="29" t="str">
        <f aca="false">IF(OR(G521="",H521=""),"",IF(G521=H521,"Yes","No"))</f>
        <v/>
      </c>
      <c r="J521" s="28"/>
      <c r="K521" s="29" t="str">
        <f aca="false">IF(E521="Snowballing","n/a",IF(AND(G521="",H521=""),"",IF(OR(G521="",H521=""),"Waiting",IF(G521=H521,G521,IF(AND(G521&lt;&gt;"Exclude",H521&lt;&gt;"Exclude"),"Maybe",IF(J521&lt;&gt;"",J521,"Pending"))))))</f>
        <v/>
      </c>
      <c r="L521" s="28"/>
      <c r="M521" s="28"/>
      <c r="N521" s="28"/>
      <c r="O521" s="28"/>
      <c r="P521" s="28"/>
    </row>
    <row r="522" customFormat="false" ht="15" hidden="false" customHeight="false" outlineLevel="0" collapsed="false">
      <c r="A522" s="28"/>
      <c r="B522" s="28"/>
      <c r="C522" s="28"/>
      <c r="D522" s="28"/>
      <c r="E522" s="28"/>
      <c r="F522" s="28"/>
      <c r="G522" s="28"/>
      <c r="H522" s="28"/>
      <c r="I522" s="29" t="str">
        <f aca="false">IF(OR(G522="",H522=""),"",IF(G522=H522,"Yes","No"))</f>
        <v/>
      </c>
      <c r="J522" s="28"/>
      <c r="K522" s="29" t="str">
        <f aca="false">IF(E522="Snowballing","n/a",IF(AND(G522="",H522=""),"",IF(OR(G522="",H522=""),"Waiting",IF(G522=H522,G522,IF(AND(G522&lt;&gt;"Exclude",H522&lt;&gt;"Exclude"),"Maybe",IF(J522&lt;&gt;"",J522,"Pending"))))))</f>
        <v/>
      </c>
      <c r="L522" s="28"/>
      <c r="M522" s="28"/>
      <c r="N522" s="28"/>
      <c r="O522" s="28"/>
      <c r="P522" s="28"/>
    </row>
    <row r="523" customFormat="false" ht="15" hidden="false" customHeight="false" outlineLevel="0" collapsed="false">
      <c r="A523" s="28"/>
      <c r="B523" s="28"/>
      <c r="C523" s="28"/>
      <c r="D523" s="28"/>
      <c r="E523" s="28"/>
      <c r="F523" s="28"/>
      <c r="G523" s="28"/>
      <c r="H523" s="28"/>
      <c r="I523" s="29" t="str">
        <f aca="false">IF(OR(G523="",H523=""),"",IF(G523=H523,"Yes","No"))</f>
        <v/>
      </c>
      <c r="J523" s="28"/>
      <c r="K523" s="29" t="str">
        <f aca="false">IF(E523="Snowballing","n/a",IF(AND(G523="",H523=""),"",IF(OR(G523="",H523=""),"Waiting",IF(G523=H523,G523,IF(AND(G523&lt;&gt;"Exclude",H523&lt;&gt;"Exclude"),"Maybe",IF(J523&lt;&gt;"",J523,"Pending"))))))</f>
        <v/>
      </c>
      <c r="L523" s="28"/>
      <c r="M523" s="28"/>
      <c r="N523" s="28"/>
      <c r="O523" s="28"/>
      <c r="P523" s="28"/>
    </row>
    <row r="524" customFormat="false" ht="15" hidden="false" customHeight="false" outlineLevel="0" collapsed="false">
      <c r="A524" s="28"/>
      <c r="B524" s="28"/>
      <c r="C524" s="28"/>
      <c r="D524" s="28"/>
      <c r="E524" s="28"/>
      <c r="F524" s="28"/>
      <c r="G524" s="28"/>
      <c r="H524" s="28"/>
      <c r="I524" s="29" t="str">
        <f aca="false">IF(OR(G524="",H524=""),"",IF(G524=H524,"Yes","No"))</f>
        <v/>
      </c>
      <c r="J524" s="28"/>
      <c r="K524" s="29" t="str">
        <f aca="false">IF(E524="Snowballing","n/a",IF(AND(G524="",H524=""),"",IF(OR(G524="",H524=""),"Waiting",IF(G524=H524,G524,IF(AND(G524&lt;&gt;"Exclude",H524&lt;&gt;"Exclude"),"Maybe",IF(J524&lt;&gt;"",J524,"Pending"))))))</f>
        <v/>
      </c>
      <c r="L524" s="28"/>
      <c r="M524" s="28"/>
      <c r="N524" s="28"/>
      <c r="O524" s="28"/>
      <c r="P524" s="28"/>
    </row>
    <row r="525" customFormat="false" ht="15" hidden="false" customHeight="false" outlineLevel="0" collapsed="false">
      <c r="A525" s="28"/>
      <c r="B525" s="28"/>
      <c r="C525" s="28"/>
      <c r="D525" s="28"/>
      <c r="E525" s="28"/>
      <c r="F525" s="28"/>
      <c r="G525" s="28"/>
      <c r="H525" s="28"/>
      <c r="I525" s="29" t="str">
        <f aca="false">IF(OR(G525="",H525=""),"",IF(G525=H525,"Yes","No"))</f>
        <v/>
      </c>
      <c r="J525" s="28"/>
      <c r="K525" s="29" t="str">
        <f aca="false">IF(E525="Snowballing","n/a",IF(AND(G525="",H525=""),"",IF(OR(G525="",H525=""),"Waiting",IF(G525=H525,G525,IF(AND(G525&lt;&gt;"Exclude",H525&lt;&gt;"Exclude"),"Maybe",IF(J525&lt;&gt;"",J525,"Pending"))))))</f>
        <v/>
      </c>
      <c r="L525" s="28"/>
      <c r="M525" s="28"/>
      <c r="N525" s="28"/>
      <c r="O525" s="28"/>
      <c r="P525" s="28"/>
    </row>
    <row r="526" customFormat="false" ht="15" hidden="false" customHeight="false" outlineLevel="0" collapsed="false">
      <c r="A526" s="28"/>
      <c r="B526" s="28"/>
      <c r="C526" s="28"/>
      <c r="D526" s="28"/>
      <c r="E526" s="28"/>
      <c r="F526" s="28"/>
      <c r="G526" s="28"/>
      <c r="H526" s="28"/>
      <c r="I526" s="29" t="str">
        <f aca="false">IF(OR(G526="",H526=""),"",IF(G526=H526,"Yes","No"))</f>
        <v/>
      </c>
      <c r="J526" s="28"/>
      <c r="K526" s="29" t="str">
        <f aca="false">IF(E526="Snowballing","n/a",IF(AND(G526="",H526=""),"",IF(OR(G526="",H526=""),"Waiting",IF(G526=H526,G526,IF(AND(G526&lt;&gt;"Exclude",H526&lt;&gt;"Exclude"),"Maybe",IF(J526&lt;&gt;"",J526,"Pending"))))))</f>
        <v/>
      </c>
      <c r="L526" s="28"/>
      <c r="M526" s="28"/>
      <c r="N526" s="28"/>
      <c r="O526" s="28"/>
      <c r="P526" s="28"/>
    </row>
    <row r="527" customFormat="false" ht="15" hidden="false" customHeight="false" outlineLevel="0" collapsed="false">
      <c r="A527" s="28"/>
      <c r="B527" s="28"/>
      <c r="C527" s="28"/>
      <c r="D527" s="28"/>
      <c r="E527" s="28"/>
      <c r="F527" s="28"/>
      <c r="G527" s="28"/>
      <c r="H527" s="28"/>
      <c r="I527" s="29" t="str">
        <f aca="false">IF(OR(G527="",H527=""),"",IF(G527=H527,"Yes","No"))</f>
        <v/>
      </c>
      <c r="J527" s="28"/>
      <c r="K527" s="29" t="str">
        <f aca="false">IF(E527="Snowballing","n/a",IF(AND(G527="",H527=""),"",IF(OR(G527="",H527=""),"Waiting",IF(G527=H527,G527,IF(AND(G527&lt;&gt;"Exclude",H527&lt;&gt;"Exclude"),"Maybe",IF(J527&lt;&gt;"",J527,"Pending"))))))</f>
        <v/>
      </c>
      <c r="L527" s="28"/>
      <c r="M527" s="28"/>
      <c r="N527" s="28"/>
      <c r="O527" s="28"/>
      <c r="P527" s="28"/>
    </row>
    <row r="528" customFormat="false" ht="15" hidden="false" customHeight="false" outlineLevel="0" collapsed="false">
      <c r="A528" s="28"/>
      <c r="B528" s="28"/>
      <c r="C528" s="28"/>
      <c r="D528" s="28"/>
      <c r="E528" s="28"/>
      <c r="F528" s="28"/>
      <c r="G528" s="28"/>
      <c r="H528" s="28"/>
      <c r="I528" s="29" t="str">
        <f aca="false">IF(OR(G528="",H528=""),"",IF(G528=H528,"Yes","No"))</f>
        <v/>
      </c>
      <c r="J528" s="28"/>
      <c r="K528" s="29" t="str">
        <f aca="false">IF(E528="Snowballing","n/a",IF(AND(G528="",H528=""),"",IF(OR(G528="",H528=""),"Waiting",IF(G528=H528,G528,IF(AND(G528&lt;&gt;"Exclude",H528&lt;&gt;"Exclude"),"Maybe",IF(J528&lt;&gt;"",J528,"Pending"))))))</f>
        <v/>
      </c>
      <c r="L528" s="28"/>
      <c r="M528" s="28"/>
      <c r="N528" s="28"/>
      <c r="O528" s="28"/>
      <c r="P528" s="28"/>
    </row>
    <row r="529" customFormat="false" ht="15" hidden="false" customHeight="false" outlineLevel="0" collapsed="false">
      <c r="A529" s="28"/>
      <c r="B529" s="28"/>
      <c r="C529" s="28"/>
      <c r="D529" s="28"/>
      <c r="E529" s="28"/>
      <c r="F529" s="28"/>
      <c r="G529" s="28"/>
      <c r="H529" s="28"/>
      <c r="I529" s="29" t="str">
        <f aca="false">IF(OR(G529="",H529=""),"",IF(G529=H529,"Yes","No"))</f>
        <v/>
      </c>
      <c r="J529" s="28"/>
      <c r="K529" s="29" t="str">
        <f aca="false">IF(E529="Snowballing","n/a",IF(AND(G529="",H529=""),"",IF(OR(G529="",H529=""),"Waiting",IF(G529=H529,G529,IF(AND(G529&lt;&gt;"Exclude",H529&lt;&gt;"Exclude"),"Maybe",IF(J529&lt;&gt;"",J529,"Pending"))))))</f>
        <v/>
      </c>
      <c r="L529" s="28"/>
      <c r="M529" s="28"/>
      <c r="N529" s="28"/>
      <c r="O529" s="28"/>
      <c r="P529" s="28"/>
    </row>
    <row r="530" customFormat="false" ht="15" hidden="false" customHeight="false" outlineLevel="0" collapsed="false">
      <c r="A530" s="28"/>
      <c r="B530" s="28"/>
      <c r="C530" s="28"/>
      <c r="D530" s="28"/>
      <c r="E530" s="28"/>
      <c r="F530" s="28"/>
      <c r="G530" s="28"/>
      <c r="H530" s="28"/>
      <c r="I530" s="29" t="str">
        <f aca="false">IF(OR(G530="",H530=""),"",IF(G530=H530,"Yes","No"))</f>
        <v/>
      </c>
      <c r="J530" s="28"/>
      <c r="K530" s="29" t="str">
        <f aca="false">IF(E530="Snowballing","n/a",IF(AND(G530="",H530=""),"",IF(OR(G530="",H530=""),"Waiting",IF(G530=H530,G530,IF(AND(G530&lt;&gt;"Exclude",H530&lt;&gt;"Exclude"),"Maybe",IF(J530&lt;&gt;"",J530,"Pending"))))))</f>
        <v/>
      </c>
      <c r="L530" s="28"/>
      <c r="M530" s="28"/>
      <c r="N530" s="28"/>
      <c r="O530" s="28"/>
      <c r="P530" s="28"/>
    </row>
    <row r="531" customFormat="false" ht="15" hidden="false" customHeight="false" outlineLevel="0" collapsed="false">
      <c r="A531" s="28"/>
      <c r="B531" s="28"/>
      <c r="C531" s="28"/>
      <c r="D531" s="28"/>
      <c r="E531" s="28"/>
      <c r="F531" s="28"/>
      <c r="G531" s="28"/>
      <c r="H531" s="28"/>
      <c r="I531" s="29" t="str">
        <f aca="false">IF(OR(G531="",H531=""),"",IF(G531=H531,"Yes","No"))</f>
        <v/>
      </c>
      <c r="J531" s="28"/>
      <c r="K531" s="29" t="str">
        <f aca="false">IF(E531="Snowballing","n/a",IF(AND(G531="",H531=""),"",IF(OR(G531="",H531=""),"Waiting",IF(G531=H531,G531,IF(AND(G531&lt;&gt;"Exclude",H531&lt;&gt;"Exclude"),"Maybe",IF(J531&lt;&gt;"",J531,"Pending"))))))</f>
        <v/>
      </c>
      <c r="L531" s="28"/>
      <c r="M531" s="28"/>
      <c r="N531" s="28"/>
      <c r="O531" s="28"/>
      <c r="P531" s="28"/>
    </row>
    <row r="532" customFormat="false" ht="15" hidden="false" customHeight="false" outlineLevel="0" collapsed="false">
      <c r="A532" s="28"/>
      <c r="B532" s="28"/>
      <c r="C532" s="28"/>
      <c r="D532" s="28"/>
      <c r="E532" s="28"/>
      <c r="F532" s="28"/>
      <c r="G532" s="28"/>
      <c r="H532" s="28"/>
      <c r="I532" s="29" t="str">
        <f aca="false">IF(OR(G532="",H532=""),"",IF(G532=H532,"Yes","No"))</f>
        <v/>
      </c>
      <c r="J532" s="28"/>
      <c r="K532" s="29" t="str">
        <f aca="false">IF(E532="Snowballing","n/a",IF(AND(G532="",H532=""),"",IF(OR(G532="",H532=""),"Waiting",IF(G532=H532,G532,IF(AND(G532&lt;&gt;"Exclude",H532&lt;&gt;"Exclude"),"Maybe",IF(J532&lt;&gt;"",J532,"Pending"))))))</f>
        <v/>
      </c>
      <c r="L532" s="28"/>
      <c r="M532" s="28"/>
      <c r="N532" s="28"/>
      <c r="O532" s="28"/>
      <c r="P532" s="28"/>
    </row>
    <row r="533" customFormat="false" ht="15" hidden="false" customHeight="false" outlineLevel="0" collapsed="false">
      <c r="A533" s="28"/>
      <c r="B533" s="28"/>
      <c r="C533" s="28"/>
      <c r="D533" s="28"/>
      <c r="E533" s="28"/>
      <c r="F533" s="28"/>
      <c r="G533" s="28"/>
      <c r="H533" s="28"/>
      <c r="I533" s="29" t="str">
        <f aca="false">IF(OR(G533="",H533=""),"",IF(G533=H533,"Yes","No"))</f>
        <v/>
      </c>
      <c r="J533" s="28"/>
      <c r="K533" s="29" t="str">
        <f aca="false">IF(E533="Snowballing","n/a",IF(AND(G533="",H533=""),"",IF(OR(G533="",H533=""),"Waiting",IF(G533=H533,G533,IF(AND(G533&lt;&gt;"Exclude",H533&lt;&gt;"Exclude"),"Maybe",IF(J533&lt;&gt;"",J533,"Pending"))))))</f>
        <v/>
      </c>
      <c r="L533" s="28"/>
      <c r="M533" s="28"/>
      <c r="N533" s="28"/>
      <c r="O533" s="28"/>
      <c r="P533" s="28"/>
    </row>
    <row r="534" customFormat="false" ht="15" hidden="false" customHeight="false" outlineLevel="0" collapsed="false">
      <c r="A534" s="28"/>
      <c r="B534" s="28"/>
      <c r="C534" s="28"/>
      <c r="D534" s="28"/>
      <c r="E534" s="28"/>
      <c r="F534" s="28"/>
      <c r="G534" s="28"/>
      <c r="H534" s="28"/>
      <c r="I534" s="29" t="str">
        <f aca="false">IF(OR(G534="",H534=""),"",IF(G534=H534,"Yes","No"))</f>
        <v/>
      </c>
      <c r="J534" s="28"/>
      <c r="K534" s="29" t="str">
        <f aca="false">IF(E534="Snowballing","n/a",IF(AND(G534="",H534=""),"",IF(OR(G534="",H534=""),"Waiting",IF(G534=H534,G534,IF(AND(G534&lt;&gt;"Exclude",H534&lt;&gt;"Exclude"),"Maybe",IF(J534&lt;&gt;"",J534,"Pending"))))))</f>
        <v/>
      </c>
      <c r="L534" s="28"/>
      <c r="M534" s="28"/>
      <c r="N534" s="28"/>
      <c r="O534" s="28"/>
      <c r="P534" s="28"/>
    </row>
    <row r="535" customFormat="false" ht="15" hidden="false" customHeight="false" outlineLevel="0" collapsed="false">
      <c r="A535" s="28"/>
      <c r="B535" s="28"/>
      <c r="C535" s="28"/>
      <c r="D535" s="28"/>
      <c r="E535" s="28"/>
      <c r="F535" s="28"/>
      <c r="G535" s="28"/>
      <c r="H535" s="28"/>
      <c r="I535" s="29" t="str">
        <f aca="false">IF(OR(G535="",H535=""),"",IF(G535=H535,"Yes","No"))</f>
        <v/>
      </c>
      <c r="J535" s="28"/>
      <c r="K535" s="29" t="str">
        <f aca="false">IF(E535="Snowballing","n/a",IF(AND(G535="",H535=""),"",IF(OR(G535="",H535=""),"Waiting",IF(G535=H535,G535,IF(AND(G535&lt;&gt;"Exclude",H535&lt;&gt;"Exclude"),"Maybe",IF(J535&lt;&gt;"",J535,"Pending"))))))</f>
        <v/>
      </c>
      <c r="L535" s="28"/>
      <c r="M535" s="28"/>
      <c r="N535" s="28"/>
      <c r="O535" s="28"/>
      <c r="P535" s="28"/>
    </row>
    <row r="536" customFormat="false" ht="15" hidden="false" customHeight="false" outlineLevel="0" collapsed="false">
      <c r="A536" s="28"/>
      <c r="B536" s="28"/>
      <c r="C536" s="28"/>
      <c r="D536" s="28"/>
      <c r="E536" s="28"/>
      <c r="F536" s="28"/>
      <c r="G536" s="28"/>
      <c r="H536" s="28"/>
      <c r="I536" s="29" t="str">
        <f aca="false">IF(OR(G536="",H536=""),"",IF(G536=H536,"Yes","No"))</f>
        <v/>
      </c>
      <c r="J536" s="28"/>
      <c r="K536" s="29" t="str">
        <f aca="false">IF(E536="Snowballing","n/a",IF(AND(G536="",H536=""),"",IF(OR(G536="",H536=""),"Waiting",IF(G536=H536,G536,IF(AND(G536&lt;&gt;"Exclude",H536&lt;&gt;"Exclude"),"Maybe",IF(J536&lt;&gt;"",J536,"Pending"))))))</f>
        <v/>
      </c>
      <c r="L536" s="28"/>
      <c r="M536" s="28"/>
      <c r="N536" s="28"/>
      <c r="O536" s="28"/>
      <c r="P536" s="28"/>
    </row>
    <row r="537" customFormat="false" ht="15" hidden="false" customHeight="false" outlineLevel="0" collapsed="false">
      <c r="A537" s="28"/>
      <c r="B537" s="28"/>
      <c r="C537" s="28"/>
      <c r="D537" s="28"/>
      <c r="E537" s="28"/>
      <c r="F537" s="28"/>
      <c r="G537" s="28"/>
      <c r="H537" s="28"/>
      <c r="I537" s="29" t="str">
        <f aca="false">IF(OR(G537="",H537=""),"",IF(G537=H537,"Yes","No"))</f>
        <v/>
      </c>
      <c r="J537" s="28"/>
      <c r="K537" s="29" t="str">
        <f aca="false">IF(E537="Snowballing","n/a",IF(AND(G537="",H537=""),"",IF(OR(G537="",H537=""),"Waiting",IF(G537=H537,G537,IF(AND(G537&lt;&gt;"Exclude",H537&lt;&gt;"Exclude"),"Maybe",IF(J537&lt;&gt;"",J537,"Pending"))))))</f>
        <v/>
      </c>
      <c r="L537" s="28"/>
      <c r="M537" s="28"/>
      <c r="N537" s="28"/>
      <c r="O537" s="28"/>
      <c r="P537" s="28"/>
    </row>
    <row r="538" customFormat="false" ht="15" hidden="false" customHeight="false" outlineLevel="0" collapsed="false">
      <c r="A538" s="28"/>
      <c r="B538" s="28"/>
      <c r="C538" s="28"/>
      <c r="D538" s="28"/>
      <c r="E538" s="28"/>
      <c r="F538" s="28"/>
      <c r="G538" s="28"/>
      <c r="H538" s="28"/>
      <c r="I538" s="29" t="str">
        <f aca="false">IF(OR(G538="",H538=""),"",IF(G538=H538,"Yes","No"))</f>
        <v/>
      </c>
      <c r="J538" s="28"/>
      <c r="K538" s="29" t="str">
        <f aca="false">IF(E538="Snowballing","n/a",IF(AND(G538="",H538=""),"",IF(OR(G538="",H538=""),"Waiting",IF(G538=H538,G538,IF(AND(G538&lt;&gt;"Exclude",H538&lt;&gt;"Exclude"),"Maybe",IF(J538&lt;&gt;"",J538,"Pending"))))))</f>
        <v/>
      </c>
      <c r="L538" s="28"/>
      <c r="M538" s="28"/>
      <c r="N538" s="28"/>
      <c r="O538" s="28"/>
      <c r="P538" s="28"/>
    </row>
    <row r="539" customFormat="false" ht="15" hidden="false" customHeight="false" outlineLevel="0" collapsed="false">
      <c r="A539" s="28"/>
      <c r="B539" s="28"/>
      <c r="C539" s="28"/>
      <c r="D539" s="28"/>
      <c r="E539" s="28"/>
      <c r="F539" s="28"/>
      <c r="G539" s="28"/>
      <c r="H539" s="28"/>
      <c r="I539" s="29" t="str">
        <f aca="false">IF(OR(G539="",H539=""),"",IF(G539=H539,"Yes","No"))</f>
        <v/>
      </c>
      <c r="J539" s="28"/>
      <c r="K539" s="29" t="str">
        <f aca="false">IF(E539="Snowballing","n/a",IF(AND(G539="",H539=""),"",IF(OR(G539="",H539=""),"Waiting",IF(G539=H539,G539,IF(AND(G539&lt;&gt;"Exclude",H539&lt;&gt;"Exclude"),"Maybe",IF(J539&lt;&gt;"",J539,"Pending"))))))</f>
        <v/>
      </c>
      <c r="L539" s="28"/>
      <c r="M539" s="28"/>
      <c r="N539" s="28"/>
      <c r="O539" s="28"/>
      <c r="P539" s="28"/>
    </row>
    <row r="540" customFormat="false" ht="15" hidden="false" customHeight="false" outlineLevel="0" collapsed="false">
      <c r="A540" s="28"/>
      <c r="B540" s="28"/>
      <c r="C540" s="28"/>
      <c r="D540" s="28"/>
      <c r="E540" s="28"/>
      <c r="F540" s="28"/>
      <c r="G540" s="28"/>
      <c r="H540" s="28"/>
      <c r="I540" s="29" t="str">
        <f aca="false">IF(OR(G540="",H540=""),"",IF(G540=H540,"Yes","No"))</f>
        <v/>
      </c>
      <c r="J540" s="28"/>
      <c r="K540" s="29" t="str">
        <f aca="false">IF(E540="Snowballing","n/a",IF(AND(G540="",H540=""),"",IF(OR(G540="",H540=""),"Waiting",IF(G540=H540,G540,IF(AND(G540&lt;&gt;"Exclude",H540&lt;&gt;"Exclude"),"Maybe",IF(J540&lt;&gt;"",J540,"Pending"))))))</f>
        <v/>
      </c>
      <c r="L540" s="28"/>
      <c r="M540" s="28"/>
      <c r="N540" s="28"/>
      <c r="O540" s="28"/>
      <c r="P540" s="28"/>
    </row>
    <row r="541" customFormat="false" ht="15" hidden="false" customHeight="false" outlineLevel="0" collapsed="false">
      <c r="A541" s="28"/>
      <c r="B541" s="28"/>
      <c r="C541" s="28"/>
      <c r="D541" s="28"/>
      <c r="E541" s="28"/>
      <c r="F541" s="28"/>
      <c r="G541" s="28"/>
      <c r="H541" s="28"/>
      <c r="I541" s="29" t="str">
        <f aca="false">IF(OR(G541="",H541=""),"",IF(G541=H541,"Yes","No"))</f>
        <v/>
      </c>
      <c r="J541" s="28"/>
      <c r="K541" s="29" t="str">
        <f aca="false">IF(E541="Snowballing","n/a",IF(AND(G541="",H541=""),"",IF(OR(G541="",H541=""),"Waiting",IF(G541=H541,G541,IF(AND(G541&lt;&gt;"Exclude",H541&lt;&gt;"Exclude"),"Maybe",IF(J541&lt;&gt;"",J541,"Pending"))))))</f>
        <v/>
      </c>
      <c r="L541" s="28"/>
      <c r="M541" s="28"/>
      <c r="N541" s="28"/>
      <c r="O541" s="28"/>
      <c r="P541" s="28"/>
    </row>
    <row r="542" customFormat="false" ht="15" hidden="false" customHeight="false" outlineLevel="0" collapsed="false">
      <c r="A542" s="28"/>
      <c r="B542" s="28"/>
      <c r="C542" s="28"/>
      <c r="D542" s="28"/>
      <c r="E542" s="28"/>
      <c r="F542" s="28"/>
      <c r="G542" s="28"/>
      <c r="H542" s="28"/>
      <c r="I542" s="29" t="str">
        <f aca="false">IF(OR(G542="",H542=""),"",IF(G542=H542,"Yes","No"))</f>
        <v/>
      </c>
      <c r="J542" s="28"/>
      <c r="K542" s="29" t="str">
        <f aca="false">IF(E542="Snowballing","n/a",IF(AND(G542="",H542=""),"",IF(OR(G542="",H542=""),"Waiting",IF(G542=H542,G542,IF(AND(G542&lt;&gt;"Exclude",H542&lt;&gt;"Exclude"),"Maybe",IF(J542&lt;&gt;"",J542,"Pending"))))))</f>
        <v/>
      </c>
      <c r="L542" s="28"/>
      <c r="M542" s="28"/>
      <c r="N542" s="28"/>
      <c r="O542" s="28"/>
      <c r="P542" s="28"/>
    </row>
    <row r="543" customFormat="false" ht="15" hidden="false" customHeight="false" outlineLevel="0" collapsed="false">
      <c r="A543" s="28"/>
      <c r="B543" s="28"/>
      <c r="C543" s="28"/>
      <c r="D543" s="28"/>
      <c r="E543" s="28"/>
      <c r="F543" s="28"/>
      <c r="G543" s="28"/>
      <c r="H543" s="28"/>
      <c r="I543" s="29" t="str">
        <f aca="false">IF(OR(G543="",H543=""),"",IF(G543=H543,"Yes","No"))</f>
        <v/>
      </c>
      <c r="J543" s="28"/>
      <c r="K543" s="29" t="str">
        <f aca="false">IF(E543="Snowballing","n/a",IF(AND(G543="",H543=""),"",IF(OR(G543="",H543=""),"Waiting",IF(G543=H543,G543,IF(AND(G543&lt;&gt;"Exclude",H543&lt;&gt;"Exclude"),"Maybe",IF(J543&lt;&gt;"",J543,"Pending"))))))</f>
        <v/>
      </c>
      <c r="L543" s="28"/>
      <c r="M543" s="28"/>
      <c r="N543" s="28"/>
      <c r="O543" s="28"/>
      <c r="P543" s="28"/>
    </row>
    <row r="544" customFormat="false" ht="15" hidden="false" customHeight="false" outlineLevel="0" collapsed="false">
      <c r="A544" s="28"/>
      <c r="B544" s="28"/>
      <c r="C544" s="28"/>
      <c r="D544" s="28"/>
      <c r="E544" s="28"/>
      <c r="F544" s="28"/>
      <c r="G544" s="28"/>
      <c r="H544" s="28"/>
      <c r="I544" s="29" t="str">
        <f aca="false">IF(OR(G544="",H544=""),"",IF(G544=H544,"Yes","No"))</f>
        <v/>
      </c>
      <c r="J544" s="28"/>
      <c r="K544" s="29" t="str">
        <f aca="false">IF(E544="Snowballing","n/a",IF(AND(G544="",H544=""),"",IF(OR(G544="",H544=""),"Waiting",IF(G544=H544,G544,IF(AND(G544&lt;&gt;"Exclude",H544&lt;&gt;"Exclude"),"Maybe",IF(J544&lt;&gt;"",J544,"Pending"))))))</f>
        <v/>
      </c>
      <c r="L544" s="28"/>
      <c r="M544" s="28"/>
      <c r="N544" s="28"/>
      <c r="O544" s="28"/>
      <c r="P544" s="28"/>
    </row>
    <row r="545" customFormat="false" ht="15" hidden="false" customHeight="false" outlineLevel="0" collapsed="false">
      <c r="A545" s="28"/>
      <c r="B545" s="28"/>
      <c r="C545" s="28"/>
      <c r="D545" s="28"/>
      <c r="E545" s="28"/>
      <c r="F545" s="28"/>
      <c r="G545" s="28"/>
      <c r="H545" s="28"/>
      <c r="I545" s="29" t="str">
        <f aca="false">IF(OR(G545="",H545=""),"",IF(G545=H545,"Yes","No"))</f>
        <v/>
      </c>
      <c r="J545" s="28"/>
      <c r="K545" s="29" t="str">
        <f aca="false">IF(E545="Snowballing","n/a",IF(AND(G545="",H545=""),"",IF(OR(G545="",H545=""),"Waiting",IF(G545=H545,G545,IF(AND(G545&lt;&gt;"Exclude",H545&lt;&gt;"Exclude"),"Maybe",IF(J545&lt;&gt;"",J545,"Pending"))))))</f>
        <v/>
      </c>
      <c r="L545" s="28"/>
      <c r="M545" s="28"/>
      <c r="N545" s="28"/>
      <c r="O545" s="28"/>
      <c r="P545" s="28"/>
    </row>
    <row r="546" customFormat="false" ht="15" hidden="false" customHeight="false" outlineLevel="0" collapsed="false">
      <c r="A546" s="28"/>
      <c r="B546" s="28"/>
      <c r="C546" s="28"/>
      <c r="D546" s="28"/>
      <c r="E546" s="28"/>
      <c r="F546" s="28"/>
      <c r="G546" s="28"/>
      <c r="H546" s="28"/>
      <c r="I546" s="29" t="str">
        <f aca="false">IF(OR(G546="",H546=""),"",IF(G546=H546,"Yes","No"))</f>
        <v/>
      </c>
      <c r="J546" s="28"/>
      <c r="K546" s="29" t="str">
        <f aca="false">IF(E546="Snowballing","n/a",IF(AND(G546="",H546=""),"",IF(OR(G546="",H546=""),"Waiting",IF(G546=H546,G546,IF(AND(G546&lt;&gt;"Exclude",H546&lt;&gt;"Exclude"),"Maybe",IF(J546&lt;&gt;"",J546,"Pending"))))))</f>
        <v/>
      </c>
      <c r="L546" s="28"/>
      <c r="M546" s="28"/>
      <c r="N546" s="28"/>
      <c r="O546" s="28"/>
      <c r="P546" s="28"/>
    </row>
    <row r="547" customFormat="false" ht="15" hidden="false" customHeight="false" outlineLevel="0" collapsed="false">
      <c r="A547" s="28"/>
      <c r="B547" s="28"/>
      <c r="C547" s="28"/>
      <c r="D547" s="28"/>
      <c r="E547" s="28"/>
      <c r="F547" s="28"/>
      <c r="G547" s="28"/>
      <c r="H547" s="28"/>
      <c r="I547" s="29" t="str">
        <f aca="false">IF(OR(G547="",H547=""),"",IF(G547=H547,"Yes","No"))</f>
        <v/>
      </c>
      <c r="J547" s="28"/>
      <c r="K547" s="29" t="str">
        <f aca="false">IF(E547="Snowballing","n/a",IF(AND(G547="",H547=""),"",IF(OR(G547="",H547=""),"Waiting",IF(G547=H547,G547,IF(AND(G547&lt;&gt;"Exclude",H547&lt;&gt;"Exclude"),"Maybe",IF(J547&lt;&gt;"",J547,"Pending"))))))</f>
        <v/>
      </c>
      <c r="L547" s="28"/>
      <c r="M547" s="28"/>
      <c r="N547" s="28"/>
      <c r="O547" s="28"/>
      <c r="P547" s="28"/>
    </row>
    <row r="548" customFormat="false" ht="15" hidden="false" customHeight="false" outlineLevel="0" collapsed="false">
      <c r="A548" s="28"/>
      <c r="B548" s="28"/>
      <c r="C548" s="28"/>
      <c r="D548" s="28"/>
      <c r="E548" s="28"/>
      <c r="F548" s="28"/>
      <c r="G548" s="28"/>
      <c r="H548" s="28"/>
      <c r="I548" s="29" t="str">
        <f aca="false">IF(OR(G548="",H548=""),"",IF(G548=H548,"Yes","No"))</f>
        <v/>
      </c>
      <c r="J548" s="28"/>
      <c r="K548" s="29" t="str">
        <f aca="false">IF(E548="Snowballing","n/a",IF(AND(G548="",H548=""),"",IF(OR(G548="",H548=""),"Waiting",IF(G548=H548,G548,IF(AND(G548&lt;&gt;"Exclude",H548&lt;&gt;"Exclude"),"Maybe",IF(J548&lt;&gt;"",J548,"Pending"))))))</f>
        <v/>
      </c>
      <c r="L548" s="28"/>
      <c r="M548" s="28"/>
      <c r="N548" s="28"/>
      <c r="O548" s="28"/>
      <c r="P548" s="28"/>
    </row>
    <row r="549" customFormat="false" ht="15" hidden="false" customHeight="false" outlineLevel="0" collapsed="false">
      <c r="A549" s="28"/>
      <c r="B549" s="28"/>
      <c r="C549" s="28"/>
      <c r="D549" s="28"/>
      <c r="E549" s="28"/>
      <c r="F549" s="28"/>
      <c r="G549" s="28"/>
      <c r="H549" s="28"/>
      <c r="I549" s="29" t="str">
        <f aca="false">IF(OR(G549="",H549=""),"",IF(G549=H549,"Yes","No"))</f>
        <v/>
      </c>
      <c r="J549" s="28"/>
      <c r="K549" s="29" t="str">
        <f aca="false">IF(E549="Snowballing","n/a",IF(AND(G549="",H549=""),"",IF(OR(G549="",H549=""),"Waiting",IF(G549=H549,G549,IF(AND(G549&lt;&gt;"Exclude",H549&lt;&gt;"Exclude"),"Maybe",IF(J549&lt;&gt;"",J549,"Pending"))))))</f>
        <v/>
      </c>
      <c r="L549" s="28"/>
      <c r="M549" s="28"/>
      <c r="N549" s="28"/>
      <c r="O549" s="28"/>
      <c r="P549" s="28"/>
    </row>
    <row r="550" customFormat="false" ht="15" hidden="false" customHeight="false" outlineLevel="0" collapsed="false">
      <c r="A550" s="28"/>
      <c r="B550" s="28"/>
      <c r="C550" s="28"/>
      <c r="D550" s="28"/>
      <c r="E550" s="28"/>
      <c r="F550" s="28"/>
      <c r="G550" s="28"/>
      <c r="H550" s="28"/>
      <c r="I550" s="29" t="str">
        <f aca="false">IF(OR(G550="",H550=""),"",IF(G550=H550,"Yes","No"))</f>
        <v/>
      </c>
      <c r="J550" s="28"/>
      <c r="K550" s="29" t="str">
        <f aca="false">IF(E550="Snowballing","n/a",IF(AND(G550="",H550=""),"",IF(OR(G550="",H550=""),"Waiting",IF(G550=H550,G550,IF(AND(G550&lt;&gt;"Exclude",H550&lt;&gt;"Exclude"),"Maybe",IF(J550&lt;&gt;"",J550,"Pending"))))))</f>
        <v/>
      </c>
      <c r="L550" s="28"/>
      <c r="M550" s="28"/>
      <c r="N550" s="28"/>
      <c r="O550" s="28"/>
      <c r="P550" s="28"/>
    </row>
    <row r="551" customFormat="false" ht="15" hidden="false" customHeight="false" outlineLevel="0" collapsed="false">
      <c r="A551" s="28"/>
      <c r="B551" s="28"/>
      <c r="C551" s="28"/>
      <c r="D551" s="28"/>
      <c r="E551" s="28"/>
      <c r="F551" s="28"/>
      <c r="G551" s="28"/>
      <c r="H551" s="28"/>
      <c r="I551" s="29" t="str">
        <f aca="false">IF(OR(G551="",H551=""),"",IF(G551=H551,"Yes","No"))</f>
        <v/>
      </c>
      <c r="J551" s="28"/>
      <c r="K551" s="29" t="str">
        <f aca="false">IF(E551="Snowballing","n/a",IF(AND(G551="",H551=""),"",IF(OR(G551="",H551=""),"Waiting",IF(G551=H551,G551,IF(AND(G551&lt;&gt;"Exclude",H551&lt;&gt;"Exclude"),"Maybe",IF(J551&lt;&gt;"",J551,"Pending"))))))</f>
        <v/>
      </c>
      <c r="L551" s="28"/>
      <c r="M551" s="28"/>
      <c r="N551" s="28"/>
      <c r="O551" s="28"/>
      <c r="P551" s="28"/>
    </row>
    <row r="552" customFormat="false" ht="15" hidden="false" customHeight="false" outlineLevel="0" collapsed="false">
      <c r="A552" s="28"/>
      <c r="B552" s="28"/>
      <c r="C552" s="28"/>
      <c r="D552" s="28"/>
      <c r="E552" s="28"/>
      <c r="F552" s="28"/>
      <c r="G552" s="28"/>
      <c r="H552" s="28"/>
      <c r="I552" s="29" t="str">
        <f aca="false">IF(OR(G552="",H552=""),"",IF(G552=H552,"Yes","No"))</f>
        <v/>
      </c>
      <c r="J552" s="28"/>
      <c r="K552" s="29" t="str">
        <f aca="false">IF(E552="Snowballing","n/a",IF(AND(G552="",H552=""),"",IF(OR(G552="",H552=""),"Waiting",IF(G552=H552,G552,IF(AND(G552&lt;&gt;"Exclude",H552&lt;&gt;"Exclude"),"Maybe",IF(J552&lt;&gt;"",J552,"Pending"))))))</f>
        <v/>
      </c>
      <c r="L552" s="28"/>
      <c r="M552" s="28"/>
      <c r="N552" s="28"/>
      <c r="O552" s="28"/>
      <c r="P552" s="28"/>
    </row>
    <row r="553" customFormat="false" ht="15" hidden="false" customHeight="false" outlineLevel="0" collapsed="false">
      <c r="A553" s="28"/>
      <c r="B553" s="28"/>
      <c r="C553" s="28"/>
      <c r="D553" s="28"/>
      <c r="E553" s="28"/>
      <c r="F553" s="28"/>
      <c r="G553" s="28"/>
      <c r="H553" s="28"/>
      <c r="I553" s="29" t="str">
        <f aca="false">IF(OR(G553="",H553=""),"",IF(G553=H553,"Yes","No"))</f>
        <v/>
      </c>
      <c r="J553" s="28"/>
      <c r="K553" s="29" t="str">
        <f aca="false">IF(E553="Snowballing","n/a",IF(AND(G553="",H553=""),"",IF(OR(G553="",H553=""),"Waiting",IF(G553=H553,G553,IF(AND(G553&lt;&gt;"Exclude",H553&lt;&gt;"Exclude"),"Maybe",IF(J553&lt;&gt;"",J553,"Pending"))))))</f>
        <v/>
      </c>
      <c r="L553" s="28"/>
      <c r="M553" s="28"/>
      <c r="N553" s="28"/>
      <c r="O553" s="28"/>
      <c r="P553" s="28"/>
    </row>
    <row r="554" customFormat="false" ht="15" hidden="false" customHeight="false" outlineLevel="0" collapsed="false">
      <c r="A554" s="28"/>
      <c r="B554" s="28"/>
      <c r="C554" s="28"/>
      <c r="D554" s="28"/>
      <c r="E554" s="28"/>
      <c r="F554" s="28"/>
      <c r="G554" s="28"/>
      <c r="H554" s="28"/>
      <c r="I554" s="29" t="str">
        <f aca="false">IF(OR(G554="",H554=""),"",IF(G554=H554,"Yes","No"))</f>
        <v/>
      </c>
      <c r="J554" s="28"/>
      <c r="K554" s="29" t="str">
        <f aca="false">IF(E554="Snowballing","n/a",IF(AND(G554="",H554=""),"",IF(OR(G554="",H554=""),"Waiting",IF(G554=H554,G554,IF(AND(G554&lt;&gt;"Exclude",H554&lt;&gt;"Exclude"),"Maybe",IF(J554&lt;&gt;"",J554,"Pending"))))))</f>
        <v/>
      </c>
      <c r="L554" s="28"/>
      <c r="M554" s="28"/>
      <c r="N554" s="28"/>
      <c r="O554" s="28"/>
      <c r="P554" s="28"/>
    </row>
    <row r="555" customFormat="false" ht="15" hidden="false" customHeight="false" outlineLevel="0" collapsed="false">
      <c r="A555" s="28"/>
      <c r="B555" s="28"/>
      <c r="C555" s="28"/>
      <c r="D555" s="28"/>
      <c r="E555" s="28"/>
      <c r="F555" s="28"/>
      <c r="G555" s="28"/>
      <c r="H555" s="28"/>
      <c r="I555" s="29" t="str">
        <f aca="false">IF(OR(G555="",H555=""),"",IF(G555=H555,"Yes","No"))</f>
        <v/>
      </c>
      <c r="J555" s="28"/>
      <c r="K555" s="29" t="str">
        <f aca="false">IF(E555="Snowballing","n/a",IF(AND(G555="",H555=""),"",IF(OR(G555="",H555=""),"Waiting",IF(G555=H555,G555,IF(AND(G555&lt;&gt;"Exclude",H555&lt;&gt;"Exclude"),"Maybe",IF(J555&lt;&gt;"",J555,"Pending"))))))</f>
        <v/>
      </c>
      <c r="L555" s="28"/>
      <c r="M555" s="28"/>
      <c r="N555" s="28"/>
      <c r="O555" s="28"/>
      <c r="P555" s="28"/>
    </row>
    <row r="556" customFormat="false" ht="15" hidden="false" customHeight="false" outlineLevel="0" collapsed="false">
      <c r="A556" s="28"/>
      <c r="B556" s="28"/>
      <c r="C556" s="28"/>
      <c r="D556" s="28"/>
      <c r="E556" s="28"/>
      <c r="F556" s="28"/>
      <c r="G556" s="28"/>
      <c r="H556" s="28"/>
      <c r="I556" s="29" t="str">
        <f aca="false">IF(OR(G556="",H556=""),"",IF(G556=H556,"Yes","No"))</f>
        <v/>
      </c>
      <c r="J556" s="28"/>
      <c r="K556" s="29" t="str">
        <f aca="false">IF(E556="Snowballing","n/a",IF(AND(G556="",H556=""),"",IF(OR(G556="",H556=""),"Waiting",IF(G556=H556,G556,IF(AND(G556&lt;&gt;"Exclude",H556&lt;&gt;"Exclude"),"Maybe",IF(J556&lt;&gt;"",J556,"Pending"))))))</f>
        <v/>
      </c>
      <c r="L556" s="28"/>
      <c r="M556" s="28"/>
      <c r="N556" s="28"/>
      <c r="O556" s="28"/>
      <c r="P556" s="28"/>
    </row>
    <row r="557" customFormat="false" ht="15" hidden="false" customHeight="false" outlineLevel="0" collapsed="false">
      <c r="A557" s="28"/>
      <c r="B557" s="28"/>
      <c r="C557" s="28"/>
      <c r="D557" s="28"/>
      <c r="E557" s="28"/>
      <c r="F557" s="28"/>
      <c r="G557" s="28"/>
      <c r="H557" s="28"/>
      <c r="I557" s="29" t="str">
        <f aca="false">IF(OR(G557="",H557=""),"",IF(G557=H557,"Yes","No"))</f>
        <v/>
      </c>
      <c r="J557" s="28"/>
      <c r="K557" s="29" t="str">
        <f aca="false">IF(E557="Snowballing","n/a",IF(AND(G557="",H557=""),"",IF(OR(G557="",H557=""),"Waiting",IF(G557=H557,G557,IF(AND(G557&lt;&gt;"Exclude",H557&lt;&gt;"Exclude"),"Maybe",IF(J557&lt;&gt;"",J557,"Pending"))))))</f>
        <v/>
      </c>
      <c r="L557" s="28"/>
      <c r="M557" s="28"/>
      <c r="N557" s="28"/>
      <c r="O557" s="28"/>
      <c r="P557" s="28"/>
    </row>
    <row r="558" customFormat="false" ht="15" hidden="false" customHeight="false" outlineLevel="0" collapsed="false">
      <c r="A558" s="28"/>
      <c r="B558" s="28"/>
      <c r="C558" s="28"/>
      <c r="D558" s="28"/>
      <c r="E558" s="28"/>
      <c r="F558" s="28"/>
      <c r="G558" s="28"/>
      <c r="H558" s="28"/>
      <c r="I558" s="29" t="str">
        <f aca="false">IF(OR(G558="",H558=""),"",IF(G558=H558,"Yes","No"))</f>
        <v/>
      </c>
      <c r="J558" s="28"/>
      <c r="K558" s="29" t="str">
        <f aca="false">IF(E558="Snowballing","n/a",IF(AND(G558="",H558=""),"",IF(OR(G558="",H558=""),"Waiting",IF(G558=H558,G558,IF(AND(G558&lt;&gt;"Exclude",H558&lt;&gt;"Exclude"),"Maybe",IF(J558&lt;&gt;"",J558,"Pending"))))))</f>
        <v/>
      </c>
      <c r="L558" s="28"/>
      <c r="M558" s="28"/>
      <c r="N558" s="28"/>
      <c r="O558" s="28"/>
      <c r="P558" s="28"/>
    </row>
    <row r="559" customFormat="false" ht="15" hidden="false" customHeight="false" outlineLevel="0" collapsed="false">
      <c r="A559" s="28"/>
      <c r="B559" s="28"/>
      <c r="C559" s="28"/>
      <c r="D559" s="28"/>
      <c r="E559" s="28"/>
      <c r="F559" s="28"/>
      <c r="G559" s="28"/>
      <c r="H559" s="28"/>
      <c r="I559" s="29" t="str">
        <f aca="false">IF(OR(G559="",H559=""),"",IF(G559=H559,"Yes","No"))</f>
        <v/>
      </c>
      <c r="J559" s="28"/>
      <c r="K559" s="29" t="str">
        <f aca="false">IF(E559="Snowballing","n/a",IF(AND(G559="",H559=""),"",IF(OR(G559="",H559=""),"Waiting",IF(G559=H559,G559,IF(AND(G559&lt;&gt;"Exclude",H559&lt;&gt;"Exclude"),"Maybe",IF(J559&lt;&gt;"",J559,"Pending"))))))</f>
        <v/>
      </c>
      <c r="L559" s="28"/>
      <c r="M559" s="28"/>
      <c r="N559" s="28"/>
      <c r="O559" s="28"/>
      <c r="P559" s="28"/>
    </row>
    <row r="560" customFormat="false" ht="15" hidden="false" customHeight="false" outlineLevel="0" collapsed="false">
      <c r="A560" s="28"/>
      <c r="B560" s="28"/>
      <c r="C560" s="28"/>
      <c r="D560" s="28"/>
      <c r="E560" s="28"/>
      <c r="F560" s="28"/>
      <c r="G560" s="28"/>
      <c r="H560" s="28"/>
      <c r="I560" s="29" t="str">
        <f aca="false">IF(OR(G560="",H560=""),"",IF(G560=H560,"Yes","No"))</f>
        <v/>
      </c>
      <c r="J560" s="28"/>
      <c r="K560" s="29" t="str">
        <f aca="false">IF(E560="Snowballing","n/a",IF(AND(G560="",H560=""),"",IF(OR(G560="",H560=""),"Waiting",IF(G560=H560,G560,IF(AND(G560&lt;&gt;"Exclude",H560&lt;&gt;"Exclude"),"Maybe",IF(J560&lt;&gt;"",J560,"Pending"))))))</f>
        <v/>
      </c>
      <c r="L560" s="28"/>
      <c r="M560" s="28"/>
      <c r="N560" s="28"/>
      <c r="O560" s="28"/>
      <c r="P560" s="28"/>
    </row>
    <row r="561" customFormat="false" ht="15" hidden="false" customHeight="false" outlineLevel="0" collapsed="false">
      <c r="A561" s="28"/>
      <c r="B561" s="28"/>
      <c r="C561" s="28"/>
      <c r="D561" s="28"/>
      <c r="E561" s="28"/>
      <c r="F561" s="28"/>
      <c r="G561" s="28"/>
      <c r="H561" s="28"/>
      <c r="I561" s="29" t="str">
        <f aca="false">IF(OR(G561="",H561=""),"",IF(G561=H561,"Yes","No"))</f>
        <v/>
      </c>
      <c r="J561" s="28"/>
      <c r="K561" s="29" t="str">
        <f aca="false">IF(E561="Snowballing","n/a",IF(AND(G561="",H561=""),"",IF(OR(G561="",H561=""),"Waiting",IF(G561=H561,G561,IF(AND(G561&lt;&gt;"Exclude",H561&lt;&gt;"Exclude"),"Maybe",IF(J561&lt;&gt;"",J561,"Pending"))))))</f>
        <v/>
      </c>
      <c r="L561" s="28"/>
      <c r="M561" s="28"/>
      <c r="N561" s="28"/>
      <c r="O561" s="28"/>
      <c r="P561" s="28"/>
    </row>
    <row r="562" customFormat="false" ht="15" hidden="false" customHeight="false" outlineLevel="0" collapsed="false">
      <c r="A562" s="28"/>
      <c r="B562" s="28"/>
      <c r="C562" s="28"/>
      <c r="D562" s="28"/>
      <c r="E562" s="28"/>
      <c r="F562" s="28"/>
      <c r="G562" s="28"/>
      <c r="H562" s="28"/>
      <c r="I562" s="29" t="str">
        <f aca="false">IF(OR(G562="",H562=""),"",IF(G562=H562,"Yes","No"))</f>
        <v/>
      </c>
      <c r="J562" s="28"/>
      <c r="K562" s="29" t="str">
        <f aca="false">IF(E562="Snowballing","n/a",IF(AND(G562="",H562=""),"",IF(OR(G562="",H562=""),"Waiting",IF(G562=H562,G562,IF(AND(G562&lt;&gt;"Exclude",H562&lt;&gt;"Exclude"),"Maybe",IF(J562&lt;&gt;"",J562,"Pending"))))))</f>
        <v/>
      </c>
      <c r="L562" s="28"/>
      <c r="M562" s="28"/>
      <c r="N562" s="28"/>
      <c r="O562" s="28"/>
      <c r="P562" s="28"/>
    </row>
    <row r="563" customFormat="false" ht="15" hidden="false" customHeight="false" outlineLevel="0" collapsed="false">
      <c r="A563" s="28"/>
      <c r="B563" s="28"/>
      <c r="C563" s="28"/>
      <c r="D563" s="28"/>
      <c r="E563" s="28"/>
      <c r="F563" s="28"/>
      <c r="G563" s="28"/>
      <c r="H563" s="28"/>
      <c r="I563" s="29" t="str">
        <f aca="false">IF(OR(G563="",H563=""),"",IF(G563=H563,"Yes","No"))</f>
        <v/>
      </c>
      <c r="J563" s="28"/>
      <c r="K563" s="29" t="str">
        <f aca="false">IF(E563="Snowballing","n/a",IF(AND(G563="",H563=""),"",IF(OR(G563="",H563=""),"Waiting",IF(G563=H563,G563,IF(AND(G563&lt;&gt;"Exclude",H563&lt;&gt;"Exclude"),"Maybe",IF(J563&lt;&gt;"",J563,"Pending"))))))</f>
        <v/>
      </c>
      <c r="L563" s="28"/>
      <c r="M563" s="28"/>
      <c r="N563" s="28"/>
      <c r="O563" s="28"/>
      <c r="P563" s="28"/>
    </row>
    <row r="564" customFormat="false" ht="15" hidden="false" customHeight="false" outlineLevel="0" collapsed="false">
      <c r="A564" s="28"/>
      <c r="B564" s="28"/>
      <c r="C564" s="28"/>
      <c r="D564" s="28"/>
      <c r="E564" s="28"/>
      <c r="F564" s="28"/>
      <c r="G564" s="28"/>
      <c r="H564" s="28"/>
      <c r="I564" s="29" t="str">
        <f aca="false">IF(OR(G564="",H564=""),"",IF(G564=H564,"Yes","No"))</f>
        <v/>
      </c>
      <c r="J564" s="28"/>
      <c r="K564" s="29" t="str">
        <f aca="false">IF(E564="Snowballing","n/a",IF(AND(G564="",H564=""),"",IF(OR(G564="",H564=""),"Waiting",IF(G564=H564,G564,IF(AND(G564&lt;&gt;"Exclude",H564&lt;&gt;"Exclude"),"Maybe",IF(J564&lt;&gt;"",J564,"Pending"))))))</f>
        <v/>
      </c>
      <c r="L564" s="28"/>
      <c r="M564" s="28"/>
      <c r="N564" s="28"/>
      <c r="O564" s="28"/>
      <c r="P564" s="28"/>
    </row>
    <row r="565" customFormat="false" ht="15" hidden="false" customHeight="false" outlineLevel="0" collapsed="false">
      <c r="A565" s="28"/>
      <c r="B565" s="28"/>
      <c r="C565" s="28"/>
      <c r="D565" s="28"/>
      <c r="E565" s="28"/>
      <c r="F565" s="28"/>
      <c r="G565" s="28"/>
      <c r="H565" s="28"/>
      <c r="I565" s="29" t="str">
        <f aca="false">IF(OR(G565="",H565=""),"",IF(G565=H565,"Yes","No"))</f>
        <v/>
      </c>
      <c r="J565" s="28"/>
      <c r="K565" s="29" t="str">
        <f aca="false">IF(E565="Snowballing","n/a",IF(AND(G565="",H565=""),"",IF(OR(G565="",H565=""),"Waiting",IF(G565=H565,G565,IF(AND(G565&lt;&gt;"Exclude",H565&lt;&gt;"Exclude"),"Maybe",IF(J565&lt;&gt;"",J565,"Pending"))))))</f>
        <v/>
      </c>
      <c r="L565" s="28"/>
      <c r="M565" s="28"/>
      <c r="N565" s="28"/>
      <c r="O565" s="28"/>
      <c r="P565" s="28"/>
    </row>
    <row r="566" customFormat="false" ht="15" hidden="false" customHeight="false" outlineLevel="0" collapsed="false">
      <c r="A566" s="28"/>
      <c r="B566" s="28"/>
      <c r="C566" s="28"/>
      <c r="D566" s="28"/>
      <c r="E566" s="28"/>
      <c r="F566" s="28"/>
      <c r="G566" s="28"/>
      <c r="H566" s="28"/>
      <c r="I566" s="29" t="str">
        <f aca="false">IF(OR(G566="",H566=""),"",IF(G566=H566,"Yes","No"))</f>
        <v/>
      </c>
      <c r="J566" s="28"/>
      <c r="K566" s="29" t="str">
        <f aca="false">IF(E566="Snowballing","n/a",IF(AND(G566="",H566=""),"",IF(OR(G566="",H566=""),"Waiting",IF(G566=H566,G566,IF(AND(G566&lt;&gt;"Exclude",H566&lt;&gt;"Exclude"),"Maybe",IF(J566&lt;&gt;"",J566,"Pending"))))))</f>
        <v/>
      </c>
      <c r="L566" s="28"/>
      <c r="M566" s="28"/>
      <c r="N566" s="28"/>
      <c r="O566" s="28"/>
      <c r="P566" s="28"/>
    </row>
    <row r="567" customFormat="false" ht="15" hidden="false" customHeight="false" outlineLevel="0" collapsed="false">
      <c r="A567" s="28"/>
      <c r="B567" s="28"/>
      <c r="C567" s="28"/>
      <c r="D567" s="28"/>
      <c r="E567" s="28"/>
      <c r="F567" s="28"/>
      <c r="G567" s="28"/>
      <c r="H567" s="28"/>
      <c r="I567" s="29" t="str">
        <f aca="false">IF(OR(G567="",H567=""),"",IF(G567=H567,"Yes","No"))</f>
        <v/>
      </c>
      <c r="J567" s="28"/>
      <c r="K567" s="29" t="str">
        <f aca="false">IF(E567="Snowballing","n/a",IF(AND(G567="",H567=""),"",IF(OR(G567="",H567=""),"Waiting",IF(G567=H567,G567,IF(AND(G567&lt;&gt;"Exclude",H567&lt;&gt;"Exclude"),"Maybe",IF(J567&lt;&gt;"",J567,"Pending"))))))</f>
        <v/>
      </c>
      <c r="L567" s="28"/>
      <c r="M567" s="28"/>
      <c r="N567" s="28"/>
      <c r="O567" s="28"/>
      <c r="P567" s="28"/>
    </row>
    <row r="568" customFormat="false" ht="15" hidden="false" customHeight="false" outlineLevel="0" collapsed="false">
      <c r="A568" s="28"/>
      <c r="B568" s="28"/>
      <c r="C568" s="28"/>
      <c r="D568" s="28"/>
      <c r="E568" s="28"/>
      <c r="F568" s="28"/>
      <c r="G568" s="28"/>
      <c r="H568" s="28"/>
      <c r="I568" s="29" t="str">
        <f aca="false">IF(OR(G568="",H568=""),"",IF(G568=H568,"Yes","No"))</f>
        <v/>
      </c>
      <c r="J568" s="28"/>
      <c r="K568" s="29" t="str">
        <f aca="false">IF(E568="Snowballing","n/a",IF(AND(G568="",H568=""),"",IF(OR(G568="",H568=""),"Waiting",IF(G568=H568,G568,IF(AND(G568&lt;&gt;"Exclude",H568&lt;&gt;"Exclude"),"Maybe",IF(J568&lt;&gt;"",J568,"Pending"))))))</f>
        <v/>
      </c>
      <c r="L568" s="28"/>
      <c r="M568" s="28"/>
      <c r="N568" s="28"/>
      <c r="O568" s="28"/>
      <c r="P568" s="28"/>
    </row>
    <row r="569" customFormat="false" ht="15" hidden="false" customHeight="false" outlineLevel="0" collapsed="false">
      <c r="A569" s="28"/>
      <c r="B569" s="28"/>
      <c r="C569" s="28"/>
      <c r="D569" s="28"/>
      <c r="E569" s="28"/>
      <c r="F569" s="28"/>
      <c r="G569" s="28"/>
      <c r="H569" s="28"/>
      <c r="I569" s="29" t="str">
        <f aca="false">IF(OR(G569="",H569=""),"",IF(G569=H569,"Yes","No"))</f>
        <v/>
      </c>
      <c r="J569" s="28"/>
      <c r="K569" s="29" t="str">
        <f aca="false">IF(E569="Snowballing","n/a",IF(AND(G569="",H569=""),"",IF(OR(G569="",H569=""),"Waiting",IF(G569=H569,G569,IF(AND(G569&lt;&gt;"Exclude",H569&lt;&gt;"Exclude"),"Maybe",IF(J569&lt;&gt;"",J569,"Pending"))))))</f>
        <v/>
      </c>
      <c r="L569" s="28"/>
      <c r="M569" s="28"/>
      <c r="N569" s="28"/>
      <c r="O569" s="28"/>
      <c r="P569" s="28"/>
    </row>
    <row r="570" customFormat="false" ht="15" hidden="false" customHeight="false" outlineLevel="0" collapsed="false">
      <c r="A570" s="28"/>
      <c r="B570" s="28"/>
      <c r="C570" s="28"/>
      <c r="D570" s="28"/>
      <c r="E570" s="28"/>
      <c r="F570" s="28"/>
      <c r="G570" s="28"/>
      <c r="H570" s="28"/>
      <c r="I570" s="29" t="str">
        <f aca="false">IF(OR(G570="",H570=""),"",IF(G570=H570,"Yes","No"))</f>
        <v/>
      </c>
      <c r="J570" s="28"/>
      <c r="K570" s="29" t="str">
        <f aca="false">IF(E570="Snowballing","n/a",IF(AND(G570="",H570=""),"",IF(OR(G570="",H570=""),"Waiting",IF(G570=H570,G570,IF(AND(G570&lt;&gt;"Exclude",H570&lt;&gt;"Exclude"),"Maybe",IF(J570&lt;&gt;"",J570,"Pending"))))))</f>
        <v/>
      </c>
      <c r="L570" s="28"/>
      <c r="M570" s="28"/>
      <c r="N570" s="28"/>
      <c r="O570" s="28"/>
      <c r="P570" s="28"/>
    </row>
    <row r="571" customFormat="false" ht="15" hidden="false" customHeight="false" outlineLevel="0" collapsed="false">
      <c r="A571" s="28"/>
      <c r="B571" s="28"/>
      <c r="C571" s="28"/>
      <c r="D571" s="28"/>
      <c r="E571" s="28"/>
      <c r="F571" s="28"/>
      <c r="G571" s="28"/>
      <c r="H571" s="28"/>
      <c r="I571" s="29" t="str">
        <f aca="false">IF(OR(G571="",H571=""),"",IF(G571=H571,"Yes","No"))</f>
        <v/>
      </c>
      <c r="J571" s="28"/>
      <c r="K571" s="29" t="str">
        <f aca="false">IF(E571="Snowballing","n/a",IF(AND(G571="",H571=""),"",IF(OR(G571="",H571=""),"Waiting",IF(G571=H571,G571,IF(AND(G571&lt;&gt;"Exclude",H571&lt;&gt;"Exclude"),"Maybe",IF(J571&lt;&gt;"",J571,"Pending"))))))</f>
        <v/>
      </c>
      <c r="L571" s="28"/>
      <c r="M571" s="28"/>
      <c r="N571" s="28"/>
      <c r="O571" s="28"/>
      <c r="P571" s="28"/>
    </row>
    <row r="572" customFormat="false" ht="15" hidden="false" customHeight="false" outlineLevel="0" collapsed="false">
      <c r="A572" s="28"/>
      <c r="B572" s="28"/>
      <c r="C572" s="28"/>
      <c r="D572" s="28"/>
      <c r="E572" s="28"/>
      <c r="F572" s="28"/>
      <c r="G572" s="28"/>
      <c r="H572" s="28"/>
      <c r="I572" s="29" t="str">
        <f aca="false">IF(OR(G572="",H572=""),"",IF(G572=H572,"Yes","No"))</f>
        <v/>
      </c>
      <c r="J572" s="28"/>
      <c r="K572" s="29" t="str">
        <f aca="false">IF(E572="Snowballing","n/a",IF(AND(G572="",H572=""),"",IF(OR(G572="",H572=""),"Waiting",IF(G572=H572,G572,IF(AND(G572&lt;&gt;"Exclude",H572&lt;&gt;"Exclude"),"Maybe",IF(J572&lt;&gt;"",J572,"Pending"))))))</f>
        <v/>
      </c>
      <c r="L572" s="28"/>
      <c r="M572" s="28"/>
      <c r="N572" s="28"/>
      <c r="O572" s="28"/>
      <c r="P572" s="28"/>
    </row>
    <row r="573" customFormat="false" ht="15" hidden="false" customHeight="false" outlineLevel="0" collapsed="false">
      <c r="A573" s="28"/>
      <c r="B573" s="28"/>
      <c r="C573" s="28"/>
      <c r="D573" s="28"/>
      <c r="E573" s="28"/>
      <c r="F573" s="28"/>
      <c r="G573" s="28"/>
      <c r="H573" s="28"/>
      <c r="I573" s="29" t="str">
        <f aca="false">IF(OR(G573="",H573=""),"",IF(G573=H573,"Yes","No"))</f>
        <v/>
      </c>
      <c r="J573" s="28"/>
      <c r="K573" s="29" t="str">
        <f aca="false">IF(E573="Snowballing","n/a",IF(AND(G573="",H573=""),"",IF(OR(G573="",H573=""),"Waiting",IF(G573=H573,G573,IF(AND(G573&lt;&gt;"Exclude",H573&lt;&gt;"Exclude"),"Maybe",IF(J573&lt;&gt;"",J573,"Pending"))))))</f>
        <v/>
      </c>
      <c r="L573" s="28"/>
      <c r="M573" s="28"/>
      <c r="N573" s="28"/>
      <c r="O573" s="28"/>
      <c r="P573" s="28"/>
    </row>
    <row r="574" customFormat="false" ht="15" hidden="false" customHeight="false" outlineLevel="0" collapsed="false">
      <c r="A574" s="28"/>
      <c r="B574" s="28"/>
      <c r="C574" s="28"/>
      <c r="D574" s="28"/>
      <c r="E574" s="28"/>
      <c r="F574" s="28"/>
      <c r="G574" s="28"/>
      <c r="H574" s="28"/>
      <c r="I574" s="29" t="str">
        <f aca="false">IF(OR(G574="",H574=""),"",IF(G574=H574,"Yes","No"))</f>
        <v/>
      </c>
      <c r="J574" s="28"/>
      <c r="K574" s="29" t="str">
        <f aca="false">IF(E574="Snowballing","n/a",IF(AND(G574="",H574=""),"",IF(OR(G574="",H574=""),"Waiting",IF(G574=H574,G574,IF(AND(G574&lt;&gt;"Exclude",H574&lt;&gt;"Exclude"),"Maybe",IF(J574&lt;&gt;"",J574,"Pending"))))))</f>
        <v/>
      </c>
      <c r="L574" s="28"/>
      <c r="M574" s="28"/>
      <c r="N574" s="28"/>
      <c r="O574" s="28"/>
      <c r="P574" s="28"/>
    </row>
    <row r="575" customFormat="false" ht="15" hidden="false" customHeight="false" outlineLevel="0" collapsed="false">
      <c r="A575" s="28"/>
      <c r="B575" s="28"/>
      <c r="C575" s="28"/>
      <c r="D575" s="28"/>
      <c r="E575" s="28"/>
      <c r="F575" s="28"/>
      <c r="G575" s="28"/>
      <c r="H575" s="28"/>
      <c r="I575" s="29" t="str">
        <f aca="false">IF(OR(G575="",H575=""),"",IF(G575=H575,"Yes","No"))</f>
        <v/>
      </c>
      <c r="J575" s="28"/>
      <c r="K575" s="29" t="str">
        <f aca="false">IF(E575="Snowballing","n/a",IF(AND(G575="",H575=""),"",IF(OR(G575="",H575=""),"Waiting",IF(G575=H575,G575,IF(AND(G575&lt;&gt;"Exclude",H575&lt;&gt;"Exclude"),"Maybe",IF(J575&lt;&gt;"",J575,"Pending"))))))</f>
        <v/>
      </c>
      <c r="L575" s="28"/>
      <c r="M575" s="28"/>
      <c r="N575" s="28"/>
      <c r="O575" s="28"/>
      <c r="P575" s="28"/>
    </row>
    <row r="576" customFormat="false" ht="15" hidden="false" customHeight="false" outlineLevel="0" collapsed="false">
      <c r="A576" s="28"/>
      <c r="B576" s="28"/>
      <c r="C576" s="28"/>
      <c r="D576" s="28"/>
      <c r="E576" s="28"/>
      <c r="F576" s="28"/>
      <c r="G576" s="28"/>
      <c r="H576" s="28"/>
      <c r="I576" s="29" t="str">
        <f aca="false">IF(OR(G576="",H576=""),"",IF(G576=H576,"Yes","No"))</f>
        <v/>
      </c>
      <c r="J576" s="28"/>
      <c r="K576" s="29" t="str">
        <f aca="false">IF(E576="Snowballing","n/a",IF(AND(G576="",H576=""),"",IF(OR(G576="",H576=""),"Waiting",IF(G576=H576,G576,IF(AND(G576&lt;&gt;"Exclude",H576&lt;&gt;"Exclude"),"Maybe",IF(J576&lt;&gt;"",J576,"Pending"))))))</f>
        <v/>
      </c>
      <c r="L576" s="28"/>
      <c r="M576" s="28"/>
      <c r="N576" s="28"/>
      <c r="O576" s="28"/>
      <c r="P576" s="28"/>
    </row>
    <row r="577" customFormat="false" ht="15" hidden="false" customHeight="false" outlineLevel="0" collapsed="false">
      <c r="A577" s="28"/>
      <c r="B577" s="28"/>
      <c r="C577" s="28"/>
      <c r="D577" s="28"/>
      <c r="E577" s="28"/>
      <c r="F577" s="28"/>
      <c r="G577" s="28"/>
      <c r="H577" s="28"/>
      <c r="I577" s="29" t="str">
        <f aca="false">IF(OR(G577="",H577=""),"",IF(G577=H577,"Yes","No"))</f>
        <v/>
      </c>
      <c r="J577" s="28"/>
      <c r="K577" s="29" t="str">
        <f aca="false">IF(E577="Snowballing","n/a",IF(AND(G577="",H577=""),"",IF(OR(G577="",H577=""),"Waiting",IF(G577=H577,G577,IF(AND(G577&lt;&gt;"Exclude",H577&lt;&gt;"Exclude"),"Maybe",IF(J577&lt;&gt;"",J577,"Pending"))))))</f>
        <v/>
      </c>
      <c r="L577" s="28"/>
      <c r="M577" s="28"/>
      <c r="N577" s="28"/>
      <c r="O577" s="28"/>
      <c r="P577" s="28"/>
    </row>
    <row r="578" customFormat="false" ht="15" hidden="false" customHeight="false" outlineLevel="0" collapsed="false">
      <c r="A578" s="28"/>
      <c r="B578" s="28"/>
      <c r="C578" s="28"/>
      <c r="D578" s="28"/>
      <c r="E578" s="28"/>
      <c r="F578" s="28"/>
      <c r="G578" s="28"/>
      <c r="H578" s="28"/>
      <c r="I578" s="29" t="str">
        <f aca="false">IF(OR(G578="",H578=""),"",IF(G578=H578,"Yes","No"))</f>
        <v/>
      </c>
      <c r="J578" s="28"/>
      <c r="K578" s="29" t="str">
        <f aca="false">IF(E578="Snowballing","n/a",IF(AND(G578="",H578=""),"",IF(OR(G578="",H578=""),"Waiting",IF(G578=H578,G578,IF(AND(G578&lt;&gt;"Exclude",H578&lt;&gt;"Exclude"),"Maybe",IF(J578&lt;&gt;"",J578,"Pending"))))))</f>
        <v/>
      </c>
      <c r="L578" s="28"/>
      <c r="M578" s="28"/>
      <c r="N578" s="28"/>
      <c r="O578" s="28"/>
      <c r="P578" s="28"/>
    </row>
    <row r="579" customFormat="false" ht="15" hidden="false" customHeight="false" outlineLevel="0" collapsed="false">
      <c r="A579" s="28"/>
      <c r="B579" s="28"/>
      <c r="C579" s="28"/>
      <c r="D579" s="28"/>
      <c r="E579" s="28"/>
      <c r="F579" s="28"/>
      <c r="G579" s="28"/>
      <c r="H579" s="28"/>
      <c r="I579" s="29" t="str">
        <f aca="false">IF(OR(G579="",H579=""),"",IF(G579=H579,"Yes","No"))</f>
        <v/>
      </c>
      <c r="J579" s="28"/>
      <c r="K579" s="29" t="str">
        <f aca="false">IF(E579="Snowballing","n/a",IF(AND(G579="",H579=""),"",IF(OR(G579="",H579=""),"Waiting",IF(G579=H579,G579,IF(AND(G579&lt;&gt;"Exclude",H579&lt;&gt;"Exclude"),"Maybe",IF(J579&lt;&gt;"",J579,"Pending"))))))</f>
        <v/>
      </c>
      <c r="L579" s="28"/>
      <c r="M579" s="28"/>
      <c r="N579" s="28"/>
      <c r="O579" s="28"/>
      <c r="P579" s="28"/>
    </row>
    <row r="580" customFormat="false" ht="15" hidden="false" customHeight="false" outlineLevel="0" collapsed="false">
      <c r="A580" s="28"/>
      <c r="B580" s="28"/>
      <c r="C580" s="28"/>
      <c r="D580" s="28"/>
      <c r="E580" s="28"/>
      <c r="F580" s="28"/>
      <c r="G580" s="28"/>
      <c r="H580" s="28"/>
      <c r="I580" s="29" t="str">
        <f aca="false">IF(OR(G580="",H580=""),"",IF(G580=H580,"Yes","No"))</f>
        <v/>
      </c>
      <c r="J580" s="28"/>
      <c r="K580" s="29" t="str">
        <f aca="false">IF(E580="Snowballing","n/a",IF(AND(G580="",H580=""),"",IF(OR(G580="",H580=""),"Waiting",IF(G580=H580,G580,IF(AND(G580&lt;&gt;"Exclude",H580&lt;&gt;"Exclude"),"Maybe",IF(J580&lt;&gt;"",J580,"Pending"))))))</f>
        <v/>
      </c>
      <c r="L580" s="28"/>
      <c r="M580" s="28"/>
      <c r="N580" s="28"/>
      <c r="O580" s="28"/>
      <c r="P580" s="28"/>
    </row>
    <row r="581" customFormat="false" ht="15" hidden="false" customHeight="false" outlineLevel="0" collapsed="false">
      <c r="A581" s="28"/>
      <c r="B581" s="28"/>
      <c r="C581" s="28"/>
      <c r="D581" s="28"/>
      <c r="E581" s="28"/>
      <c r="F581" s="28"/>
      <c r="G581" s="28"/>
      <c r="H581" s="28"/>
      <c r="I581" s="29" t="str">
        <f aca="false">IF(OR(G581="",H581=""),"",IF(G581=H581,"Yes","No"))</f>
        <v/>
      </c>
      <c r="J581" s="28"/>
      <c r="K581" s="29" t="str">
        <f aca="false">IF(E581="Snowballing","n/a",IF(AND(G581="",H581=""),"",IF(OR(G581="",H581=""),"Waiting",IF(G581=H581,G581,IF(AND(G581&lt;&gt;"Exclude",H581&lt;&gt;"Exclude"),"Maybe",IF(J581&lt;&gt;"",J581,"Pending"))))))</f>
        <v/>
      </c>
      <c r="L581" s="28"/>
      <c r="M581" s="28"/>
      <c r="N581" s="28"/>
      <c r="O581" s="28"/>
      <c r="P581" s="28"/>
    </row>
    <row r="582" customFormat="false" ht="15" hidden="false" customHeight="false" outlineLevel="0" collapsed="false">
      <c r="A582" s="28"/>
      <c r="B582" s="28"/>
      <c r="C582" s="28"/>
      <c r="D582" s="28"/>
      <c r="E582" s="28"/>
      <c r="F582" s="28"/>
      <c r="G582" s="28"/>
      <c r="H582" s="28"/>
      <c r="I582" s="29" t="str">
        <f aca="false">IF(OR(G582="",H582=""),"",IF(G582=H582,"Yes","No"))</f>
        <v/>
      </c>
      <c r="J582" s="28"/>
      <c r="K582" s="29" t="str">
        <f aca="false">IF(E582="Snowballing","n/a",IF(AND(G582="",H582=""),"",IF(OR(G582="",H582=""),"Waiting",IF(G582=H582,G582,IF(AND(G582&lt;&gt;"Exclude",H582&lt;&gt;"Exclude"),"Maybe",IF(J582&lt;&gt;"",J582,"Pending"))))))</f>
        <v/>
      </c>
      <c r="L582" s="28"/>
      <c r="M582" s="28"/>
      <c r="N582" s="28"/>
      <c r="O582" s="28"/>
      <c r="P582" s="28"/>
    </row>
    <row r="583" customFormat="false" ht="15" hidden="false" customHeight="false" outlineLevel="0" collapsed="false">
      <c r="A583" s="28"/>
      <c r="B583" s="28"/>
      <c r="C583" s="28"/>
      <c r="D583" s="28"/>
      <c r="E583" s="28"/>
      <c r="F583" s="28"/>
      <c r="G583" s="28"/>
      <c r="H583" s="28"/>
      <c r="I583" s="29" t="str">
        <f aca="false">IF(OR(G583="",H583=""),"",IF(G583=H583,"Yes","No"))</f>
        <v/>
      </c>
      <c r="J583" s="28"/>
      <c r="K583" s="29" t="str">
        <f aca="false">IF(E583="Snowballing","n/a",IF(AND(G583="",H583=""),"",IF(OR(G583="",H583=""),"Waiting",IF(G583=H583,G583,IF(AND(G583&lt;&gt;"Exclude",H583&lt;&gt;"Exclude"),"Maybe",IF(J583&lt;&gt;"",J583,"Pending"))))))</f>
        <v/>
      </c>
      <c r="L583" s="28"/>
      <c r="M583" s="28"/>
      <c r="N583" s="28"/>
      <c r="O583" s="28"/>
      <c r="P583" s="28"/>
    </row>
    <row r="584" customFormat="false" ht="15" hidden="false" customHeight="false" outlineLevel="0" collapsed="false">
      <c r="A584" s="28"/>
      <c r="B584" s="28"/>
      <c r="C584" s="28"/>
      <c r="D584" s="28"/>
      <c r="E584" s="28"/>
      <c r="F584" s="28"/>
      <c r="G584" s="28"/>
      <c r="H584" s="28"/>
      <c r="I584" s="29" t="str">
        <f aca="false">IF(OR(G584="",H584=""),"",IF(G584=H584,"Yes","No"))</f>
        <v/>
      </c>
      <c r="J584" s="28"/>
      <c r="K584" s="29" t="str">
        <f aca="false">IF(E584="Snowballing","n/a",IF(AND(G584="",H584=""),"",IF(OR(G584="",H584=""),"Waiting",IF(G584=H584,G584,IF(AND(G584&lt;&gt;"Exclude",H584&lt;&gt;"Exclude"),"Maybe",IF(J584&lt;&gt;"",J584,"Pending"))))))</f>
        <v/>
      </c>
      <c r="L584" s="28"/>
      <c r="M584" s="28"/>
      <c r="N584" s="28"/>
      <c r="O584" s="28"/>
      <c r="P584" s="28"/>
    </row>
    <row r="585" customFormat="false" ht="15" hidden="false" customHeight="false" outlineLevel="0" collapsed="false">
      <c r="A585" s="28"/>
      <c r="B585" s="28"/>
      <c r="C585" s="28"/>
      <c r="D585" s="28"/>
      <c r="E585" s="28"/>
      <c r="F585" s="28"/>
      <c r="G585" s="28"/>
      <c r="H585" s="28"/>
      <c r="I585" s="29" t="str">
        <f aca="false">IF(OR(G585="",H585=""),"",IF(G585=H585,"Yes","No"))</f>
        <v/>
      </c>
      <c r="J585" s="28"/>
      <c r="K585" s="29" t="str">
        <f aca="false">IF(E585="Snowballing","n/a",IF(AND(G585="",H585=""),"",IF(OR(G585="",H585=""),"Waiting",IF(G585=H585,G585,IF(AND(G585&lt;&gt;"Exclude",H585&lt;&gt;"Exclude"),"Maybe",IF(J585&lt;&gt;"",J585,"Pending"))))))</f>
        <v/>
      </c>
      <c r="L585" s="28"/>
      <c r="M585" s="28"/>
      <c r="N585" s="28"/>
      <c r="O585" s="28"/>
      <c r="P585" s="28"/>
    </row>
    <row r="586" customFormat="false" ht="15" hidden="false" customHeight="false" outlineLevel="0" collapsed="false">
      <c r="A586" s="28"/>
      <c r="B586" s="28"/>
      <c r="C586" s="28"/>
      <c r="D586" s="28"/>
      <c r="E586" s="28"/>
      <c r="F586" s="28"/>
      <c r="G586" s="28"/>
      <c r="H586" s="28"/>
      <c r="I586" s="29" t="str">
        <f aca="false">IF(OR(G586="",H586=""),"",IF(G586=H586,"Yes","No"))</f>
        <v/>
      </c>
      <c r="J586" s="28"/>
      <c r="K586" s="29" t="str">
        <f aca="false">IF(E586="Snowballing","n/a",IF(AND(G586="",H586=""),"",IF(OR(G586="",H586=""),"Waiting",IF(G586=H586,G586,IF(AND(G586&lt;&gt;"Exclude",H586&lt;&gt;"Exclude"),"Maybe",IF(J586&lt;&gt;"",J586,"Pending"))))))</f>
        <v/>
      </c>
      <c r="L586" s="28"/>
      <c r="M586" s="28"/>
      <c r="N586" s="28"/>
      <c r="O586" s="28"/>
      <c r="P586" s="28"/>
    </row>
    <row r="587" customFormat="false" ht="15" hidden="false" customHeight="false" outlineLevel="0" collapsed="false">
      <c r="A587" s="28"/>
      <c r="B587" s="28"/>
      <c r="C587" s="28"/>
      <c r="D587" s="28"/>
      <c r="E587" s="28"/>
      <c r="F587" s="28"/>
      <c r="G587" s="28"/>
      <c r="H587" s="28"/>
      <c r="I587" s="29" t="str">
        <f aca="false">IF(OR(G587="",H587=""),"",IF(G587=H587,"Yes","No"))</f>
        <v/>
      </c>
      <c r="J587" s="28"/>
      <c r="K587" s="29" t="str">
        <f aca="false">IF(E587="Snowballing","n/a",IF(AND(G587="",H587=""),"",IF(OR(G587="",H587=""),"Waiting",IF(G587=H587,G587,IF(AND(G587&lt;&gt;"Exclude",H587&lt;&gt;"Exclude"),"Maybe",IF(J587&lt;&gt;"",J587,"Pending"))))))</f>
        <v/>
      </c>
      <c r="L587" s="28"/>
      <c r="M587" s="28"/>
      <c r="N587" s="28"/>
      <c r="O587" s="28"/>
      <c r="P587" s="28"/>
    </row>
    <row r="588" customFormat="false" ht="15" hidden="false" customHeight="false" outlineLevel="0" collapsed="false">
      <c r="A588" s="28"/>
      <c r="B588" s="28"/>
      <c r="C588" s="28"/>
      <c r="D588" s="28"/>
      <c r="E588" s="28"/>
      <c r="F588" s="28"/>
      <c r="G588" s="28"/>
      <c r="H588" s="28"/>
      <c r="I588" s="29" t="str">
        <f aca="false">IF(OR(G588="",H588=""),"",IF(G588=H588,"Yes","No"))</f>
        <v/>
      </c>
      <c r="J588" s="28"/>
      <c r="K588" s="29" t="str">
        <f aca="false">IF(E588="Snowballing","n/a",IF(AND(G588="",H588=""),"",IF(OR(G588="",H588=""),"Waiting",IF(G588=H588,G588,IF(AND(G588&lt;&gt;"Exclude",H588&lt;&gt;"Exclude"),"Maybe",IF(J588&lt;&gt;"",J588,"Pending"))))))</f>
        <v/>
      </c>
      <c r="L588" s="28"/>
      <c r="M588" s="28"/>
      <c r="N588" s="28"/>
      <c r="O588" s="28"/>
      <c r="P588" s="28"/>
    </row>
    <row r="589" customFormat="false" ht="15" hidden="false" customHeight="false" outlineLevel="0" collapsed="false">
      <c r="A589" s="28"/>
      <c r="B589" s="28"/>
      <c r="C589" s="28"/>
      <c r="D589" s="28"/>
      <c r="E589" s="28"/>
      <c r="F589" s="28"/>
      <c r="G589" s="28"/>
      <c r="H589" s="28"/>
      <c r="I589" s="29" t="str">
        <f aca="false">IF(OR(G589="",H589=""),"",IF(G589=H589,"Yes","No"))</f>
        <v/>
      </c>
      <c r="J589" s="28"/>
      <c r="K589" s="29" t="str">
        <f aca="false">IF(E589="Snowballing","n/a",IF(AND(G589="",H589=""),"",IF(OR(G589="",H589=""),"Waiting",IF(G589=H589,G589,IF(AND(G589&lt;&gt;"Exclude",H589&lt;&gt;"Exclude"),"Maybe",IF(J589&lt;&gt;"",J589,"Pending"))))))</f>
        <v/>
      </c>
      <c r="L589" s="28"/>
      <c r="M589" s="28"/>
      <c r="N589" s="28"/>
      <c r="O589" s="28"/>
      <c r="P589" s="28"/>
    </row>
    <row r="590" customFormat="false" ht="15" hidden="false" customHeight="false" outlineLevel="0" collapsed="false">
      <c r="A590" s="28"/>
      <c r="B590" s="28"/>
      <c r="C590" s="28"/>
      <c r="D590" s="28"/>
      <c r="E590" s="28"/>
      <c r="F590" s="28"/>
      <c r="G590" s="28"/>
      <c r="H590" s="28"/>
      <c r="I590" s="29" t="str">
        <f aca="false">IF(OR(G590="",H590=""),"",IF(G590=H590,"Yes","No"))</f>
        <v/>
      </c>
      <c r="J590" s="28"/>
      <c r="K590" s="29" t="str">
        <f aca="false">IF(E590="Snowballing","n/a",IF(AND(G590="",H590=""),"",IF(OR(G590="",H590=""),"Waiting",IF(G590=H590,G590,IF(AND(G590&lt;&gt;"Exclude",H590&lt;&gt;"Exclude"),"Maybe",IF(J590&lt;&gt;"",J590,"Pending"))))))</f>
        <v/>
      </c>
      <c r="L590" s="28"/>
      <c r="M590" s="28"/>
      <c r="N590" s="28"/>
      <c r="O590" s="28"/>
      <c r="P590" s="28"/>
    </row>
    <row r="591" customFormat="false" ht="15" hidden="false" customHeight="false" outlineLevel="0" collapsed="false">
      <c r="A591" s="28"/>
      <c r="B591" s="28"/>
      <c r="C591" s="28"/>
      <c r="D591" s="28"/>
      <c r="E591" s="28"/>
      <c r="F591" s="28"/>
      <c r="G591" s="28"/>
      <c r="H591" s="28"/>
      <c r="I591" s="29" t="str">
        <f aca="false">IF(OR(G591="",H591=""),"",IF(G591=H591,"Yes","No"))</f>
        <v/>
      </c>
      <c r="J591" s="28"/>
      <c r="K591" s="29" t="str">
        <f aca="false">IF(E591="Snowballing","n/a",IF(AND(G591="",H591=""),"",IF(OR(G591="",H591=""),"Waiting",IF(G591=H591,G591,IF(AND(G591&lt;&gt;"Exclude",H591&lt;&gt;"Exclude"),"Maybe",IF(J591&lt;&gt;"",J591,"Pending"))))))</f>
        <v/>
      </c>
      <c r="L591" s="28"/>
      <c r="M591" s="28"/>
      <c r="N591" s="28"/>
      <c r="O591" s="28"/>
      <c r="P591" s="28"/>
    </row>
    <row r="592" customFormat="false" ht="15" hidden="false" customHeight="false" outlineLevel="0" collapsed="false">
      <c r="A592" s="28"/>
      <c r="B592" s="28"/>
      <c r="C592" s="28"/>
      <c r="D592" s="28"/>
      <c r="E592" s="28"/>
      <c r="F592" s="28"/>
      <c r="G592" s="28"/>
      <c r="H592" s="28"/>
      <c r="I592" s="29" t="str">
        <f aca="false">IF(OR(G592="",H592=""),"",IF(G592=H592,"Yes","No"))</f>
        <v/>
      </c>
      <c r="J592" s="28"/>
      <c r="K592" s="29" t="str">
        <f aca="false">IF(E592="Snowballing","n/a",IF(AND(G592="",H592=""),"",IF(OR(G592="",H592=""),"Waiting",IF(G592=H592,G592,IF(AND(G592&lt;&gt;"Exclude",H592&lt;&gt;"Exclude"),"Maybe",IF(J592&lt;&gt;"",J592,"Pending"))))))</f>
        <v/>
      </c>
      <c r="L592" s="28"/>
      <c r="M592" s="28"/>
      <c r="N592" s="28"/>
      <c r="O592" s="28"/>
      <c r="P592" s="28"/>
    </row>
    <row r="593" customFormat="false" ht="15" hidden="false" customHeight="false" outlineLevel="0" collapsed="false">
      <c r="A593" s="28"/>
      <c r="B593" s="28"/>
      <c r="C593" s="28"/>
      <c r="D593" s="28"/>
      <c r="E593" s="28"/>
      <c r="F593" s="28"/>
      <c r="G593" s="28"/>
      <c r="H593" s="28"/>
      <c r="I593" s="29" t="str">
        <f aca="false">IF(OR(G593="",H593=""),"",IF(G593=H593,"Yes","No"))</f>
        <v/>
      </c>
      <c r="J593" s="28"/>
      <c r="K593" s="29" t="str">
        <f aca="false">IF(E593="Snowballing","n/a",IF(AND(G593="",H593=""),"",IF(OR(G593="",H593=""),"Waiting",IF(G593=H593,G593,IF(AND(G593&lt;&gt;"Exclude",H593&lt;&gt;"Exclude"),"Maybe",IF(J593&lt;&gt;"",J593,"Pending"))))))</f>
        <v/>
      </c>
      <c r="L593" s="28"/>
      <c r="M593" s="28"/>
      <c r="N593" s="28"/>
      <c r="O593" s="28"/>
      <c r="P593" s="28"/>
    </row>
    <row r="594" customFormat="false" ht="15" hidden="false" customHeight="false" outlineLevel="0" collapsed="false">
      <c r="A594" s="28"/>
      <c r="B594" s="28"/>
      <c r="C594" s="28"/>
      <c r="D594" s="28"/>
      <c r="E594" s="28"/>
      <c r="F594" s="28"/>
      <c r="G594" s="28"/>
      <c r="H594" s="28"/>
      <c r="I594" s="29" t="str">
        <f aca="false">IF(OR(G594="",H594=""),"",IF(G594=H594,"Yes","No"))</f>
        <v/>
      </c>
      <c r="J594" s="28"/>
      <c r="K594" s="29" t="str">
        <f aca="false">IF(E594="Snowballing","n/a",IF(AND(G594="",H594=""),"",IF(OR(G594="",H594=""),"Waiting",IF(G594=H594,G594,IF(AND(G594&lt;&gt;"Exclude",H594&lt;&gt;"Exclude"),"Maybe",IF(J594&lt;&gt;"",J594,"Pending"))))))</f>
        <v/>
      </c>
      <c r="L594" s="28"/>
      <c r="M594" s="28"/>
      <c r="N594" s="28"/>
      <c r="O594" s="28"/>
      <c r="P594" s="28"/>
    </row>
    <row r="595" customFormat="false" ht="15" hidden="false" customHeight="false" outlineLevel="0" collapsed="false">
      <c r="A595" s="28"/>
      <c r="B595" s="28"/>
      <c r="C595" s="28"/>
      <c r="D595" s="28"/>
      <c r="E595" s="28"/>
      <c r="F595" s="28"/>
      <c r="G595" s="28"/>
      <c r="H595" s="28"/>
      <c r="I595" s="29" t="str">
        <f aca="false">IF(OR(G595="",H595=""),"",IF(G595=H595,"Yes","No"))</f>
        <v/>
      </c>
      <c r="J595" s="28"/>
      <c r="K595" s="29" t="str">
        <f aca="false">IF(E595="Snowballing","n/a",IF(AND(G595="",H595=""),"",IF(OR(G595="",H595=""),"Waiting",IF(G595=H595,G595,IF(AND(G595&lt;&gt;"Exclude",H595&lt;&gt;"Exclude"),"Maybe",IF(J595&lt;&gt;"",J595,"Pending"))))))</f>
        <v/>
      </c>
      <c r="L595" s="28"/>
      <c r="M595" s="28"/>
      <c r="N595" s="28"/>
      <c r="O595" s="28"/>
      <c r="P595" s="28"/>
    </row>
    <row r="596" customFormat="false" ht="15" hidden="false" customHeight="false" outlineLevel="0" collapsed="false">
      <c r="A596" s="28"/>
      <c r="B596" s="28"/>
      <c r="C596" s="28"/>
      <c r="D596" s="28"/>
      <c r="E596" s="28"/>
      <c r="F596" s="28"/>
      <c r="G596" s="28"/>
      <c r="H596" s="28"/>
      <c r="I596" s="29" t="str">
        <f aca="false">IF(OR(G596="",H596=""),"",IF(G596=H596,"Yes","No"))</f>
        <v/>
      </c>
      <c r="J596" s="28"/>
      <c r="K596" s="29" t="str">
        <f aca="false">IF(E596="Snowballing","n/a",IF(AND(G596="",H596=""),"",IF(OR(G596="",H596=""),"Waiting",IF(G596=H596,G596,IF(AND(G596&lt;&gt;"Exclude",H596&lt;&gt;"Exclude"),"Maybe",IF(J596&lt;&gt;"",J596,"Pending"))))))</f>
        <v/>
      </c>
      <c r="L596" s="28"/>
      <c r="M596" s="28"/>
      <c r="N596" s="28"/>
      <c r="O596" s="28"/>
      <c r="P596" s="28"/>
    </row>
    <row r="597" customFormat="false" ht="15" hidden="false" customHeight="false" outlineLevel="0" collapsed="false">
      <c r="A597" s="28"/>
      <c r="B597" s="28"/>
      <c r="C597" s="28"/>
      <c r="D597" s="28"/>
      <c r="E597" s="28"/>
      <c r="F597" s="28"/>
      <c r="G597" s="28"/>
      <c r="H597" s="28"/>
      <c r="I597" s="29" t="str">
        <f aca="false">IF(OR(G597="",H597=""),"",IF(G597=H597,"Yes","No"))</f>
        <v/>
      </c>
      <c r="J597" s="28"/>
      <c r="K597" s="29" t="str">
        <f aca="false">IF(E597="Snowballing","n/a",IF(AND(G597="",H597=""),"",IF(OR(G597="",H597=""),"Waiting",IF(G597=H597,G597,IF(AND(G597&lt;&gt;"Exclude",H597&lt;&gt;"Exclude"),"Maybe",IF(J597&lt;&gt;"",J597,"Pending"))))))</f>
        <v/>
      </c>
      <c r="L597" s="28"/>
      <c r="M597" s="28"/>
      <c r="N597" s="28"/>
      <c r="O597" s="28"/>
      <c r="P597" s="28"/>
    </row>
    <row r="598" customFormat="false" ht="15" hidden="false" customHeight="false" outlineLevel="0" collapsed="false">
      <c r="A598" s="28"/>
      <c r="B598" s="28"/>
      <c r="C598" s="28"/>
      <c r="D598" s="28"/>
      <c r="E598" s="28"/>
      <c r="F598" s="28"/>
      <c r="G598" s="28"/>
      <c r="H598" s="28"/>
      <c r="I598" s="29" t="str">
        <f aca="false">IF(OR(G598="",H598=""),"",IF(G598=H598,"Yes","No"))</f>
        <v/>
      </c>
      <c r="J598" s="28"/>
      <c r="K598" s="29" t="str">
        <f aca="false">IF(E598="Snowballing","n/a",IF(AND(G598="",H598=""),"",IF(OR(G598="",H598=""),"Waiting",IF(G598=H598,G598,IF(AND(G598&lt;&gt;"Exclude",H598&lt;&gt;"Exclude"),"Maybe",IF(J598&lt;&gt;"",J598,"Pending"))))))</f>
        <v/>
      </c>
      <c r="L598" s="28"/>
      <c r="M598" s="28"/>
      <c r="N598" s="28"/>
      <c r="O598" s="28"/>
      <c r="P598" s="28"/>
    </row>
    <row r="599" customFormat="false" ht="15" hidden="false" customHeight="false" outlineLevel="0" collapsed="false">
      <c r="A599" s="28"/>
      <c r="B599" s="28"/>
      <c r="C599" s="28"/>
      <c r="D599" s="28"/>
      <c r="E599" s="28"/>
      <c r="F599" s="28"/>
      <c r="G599" s="28"/>
      <c r="H599" s="28"/>
      <c r="I599" s="29" t="str">
        <f aca="false">IF(OR(G599="",H599=""),"",IF(G599=H599,"Yes","No"))</f>
        <v/>
      </c>
      <c r="J599" s="28"/>
      <c r="K599" s="29" t="str">
        <f aca="false">IF(E599="Snowballing","n/a",IF(AND(G599="",H599=""),"",IF(OR(G599="",H599=""),"Waiting",IF(G599=H599,G599,IF(AND(G599&lt;&gt;"Exclude",H599&lt;&gt;"Exclude"),"Maybe",IF(J599&lt;&gt;"",J599,"Pending"))))))</f>
        <v/>
      </c>
      <c r="L599" s="28"/>
      <c r="M599" s="28"/>
      <c r="N599" s="28"/>
      <c r="O599" s="28"/>
      <c r="P599" s="28"/>
    </row>
    <row r="600" customFormat="false" ht="15" hidden="false" customHeight="false" outlineLevel="0" collapsed="false">
      <c r="A600" s="28"/>
      <c r="B600" s="28"/>
      <c r="C600" s="28"/>
      <c r="D600" s="28"/>
      <c r="E600" s="28"/>
      <c r="F600" s="28"/>
      <c r="G600" s="28"/>
      <c r="H600" s="28"/>
      <c r="I600" s="29" t="str">
        <f aca="false">IF(OR(G600="",H600=""),"",IF(G600=H600,"Yes","No"))</f>
        <v/>
      </c>
      <c r="J600" s="28"/>
      <c r="K600" s="29" t="str">
        <f aca="false">IF(E600="Snowballing","n/a",IF(AND(G600="",H600=""),"",IF(OR(G600="",H600=""),"Waiting",IF(G600=H600,G600,IF(AND(G600&lt;&gt;"Exclude",H600&lt;&gt;"Exclude"),"Maybe",IF(J600&lt;&gt;"",J600,"Pending"))))))</f>
        <v/>
      </c>
      <c r="L600" s="28"/>
      <c r="M600" s="28"/>
      <c r="N600" s="28"/>
      <c r="O600" s="28"/>
      <c r="P600" s="28"/>
    </row>
    <row r="601" customFormat="false" ht="15" hidden="false" customHeight="false" outlineLevel="0" collapsed="false">
      <c r="A601" s="28"/>
      <c r="B601" s="28"/>
      <c r="C601" s="28"/>
      <c r="D601" s="28"/>
      <c r="E601" s="28"/>
      <c r="F601" s="28"/>
      <c r="G601" s="28"/>
      <c r="H601" s="28"/>
      <c r="I601" s="29" t="str">
        <f aca="false">IF(OR(G601="",H601=""),"",IF(G601=H601,"Yes","No"))</f>
        <v/>
      </c>
      <c r="J601" s="28"/>
      <c r="K601" s="29" t="str">
        <f aca="false">IF(E601="Snowballing","n/a",IF(AND(G601="",H601=""),"",IF(OR(G601="",H601=""),"Waiting",IF(G601=H601,G601,IF(AND(G601&lt;&gt;"Exclude",H601&lt;&gt;"Exclude"),"Maybe",IF(J601&lt;&gt;"",J601,"Pending"))))))</f>
        <v/>
      </c>
      <c r="L601" s="28"/>
      <c r="M601" s="28"/>
      <c r="N601" s="28"/>
      <c r="O601" s="28"/>
      <c r="P601" s="28"/>
    </row>
    <row r="602" customFormat="false" ht="15" hidden="false" customHeight="false" outlineLevel="0" collapsed="false">
      <c r="A602" s="28"/>
      <c r="B602" s="28"/>
      <c r="C602" s="28"/>
      <c r="D602" s="28"/>
      <c r="E602" s="28"/>
      <c r="F602" s="28"/>
      <c r="G602" s="28"/>
      <c r="H602" s="28"/>
      <c r="I602" s="29" t="str">
        <f aca="false">IF(OR(G602="",H602=""),"",IF(G602=H602,"Yes","No"))</f>
        <v/>
      </c>
      <c r="J602" s="28"/>
      <c r="K602" s="29" t="str">
        <f aca="false">IF(E602="Snowballing","n/a",IF(AND(G602="",H602=""),"",IF(OR(G602="",H602=""),"Waiting",IF(G602=H602,G602,IF(AND(G602&lt;&gt;"Exclude",H602&lt;&gt;"Exclude"),"Maybe",IF(J602&lt;&gt;"",J602,"Pending"))))))</f>
        <v/>
      </c>
      <c r="L602" s="28"/>
      <c r="M602" s="28"/>
      <c r="N602" s="28"/>
      <c r="O602" s="28"/>
      <c r="P602" s="28"/>
    </row>
    <row r="603" customFormat="false" ht="15" hidden="false" customHeight="false" outlineLevel="0" collapsed="false">
      <c r="A603" s="28"/>
      <c r="B603" s="28"/>
      <c r="C603" s="28"/>
      <c r="D603" s="28"/>
      <c r="E603" s="28"/>
      <c r="F603" s="28"/>
      <c r="G603" s="28"/>
      <c r="H603" s="28"/>
      <c r="I603" s="29" t="str">
        <f aca="false">IF(OR(G603="",H603=""),"",IF(G603=H603,"Yes","No"))</f>
        <v/>
      </c>
      <c r="J603" s="28"/>
      <c r="K603" s="29" t="str">
        <f aca="false">IF(E603="Snowballing","n/a",IF(AND(G603="",H603=""),"",IF(OR(G603="",H603=""),"Waiting",IF(G603=H603,G603,IF(AND(G603&lt;&gt;"Exclude",H603&lt;&gt;"Exclude"),"Maybe",IF(J603&lt;&gt;"",J603,"Pending"))))))</f>
        <v/>
      </c>
      <c r="L603" s="28"/>
      <c r="M603" s="28"/>
      <c r="N603" s="28"/>
      <c r="O603" s="28"/>
      <c r="P603" s="28"/>
    </row>
    <row r="604" customFormat="false" ht="15" hidden="false" customHeight="false" outlineLevel="0" collapsed="false">
      <c r="A604" s="28"/>
      <c r="B604" s="28"/>
      <c r="C604" s="28"/>
      <c r="D604" s="28"/>
      <c r="E604" s="28"/>
      <c r="F604" s="28"/>
      <c r="G604" s="28"/>
      <c r="H604" s="28"/>
      <c r="I604" s="29" t="str">
        <f aca="false">IF(OR(G604="",H604=""),"",IF(G604=H604,"Yes","No"))</f>
        <v/>
      </c>
      <c r="J604" s="28"/>
      <c r="K604" s="29" t="str">
        <f aca="false">IF(E604="Snowballing","n/a",IF(AND(G604="",H604=""),"",IF(OR(G604="",H604=""),"Waiting",IF(G604=H604,G604,IF(AND(G604&lt;&gt;"Exclude",H604&lt;&gt;"Exclude"),"Maybe",IF(J604&lt;&gt;"",J604,"Pending"))))))</f>
        <v/>
      </c>
      <c r="L604" s="28"/>
      <c r="M604" s="28"/>
      <c r="N604" s="28"/>
      <c r="O604" s="28"/>
      <c r="P604" s="28"/>
    </row>
    <row r="605" customFormat="false" ht="15" hidden="false" customHeight="false" outlineLevel="0" collapsed="false">
      <c r="A605" s="28"/>
      <c r="B605" s="28"/>
      <c r="C605" s="28"/>
      <c r="D605" s="28"/>
      <c r="E605" s="28"/>
      <c r="F605" s="28"/>
      <c r="G605" s="28"/>
      <c r="H605" s="28"/>
      <c r="I605" s="29" t="str">
        <f aca="false">IF(OR(G605="",H605=""),"",IF(G605=H605,"Yes","No"))</f>
        <v/>
      </c>
      <c r="J605" s="28"/>
      <c r="K605" s="29" t="str">
        <f aca="false">IF(E605="Snowballing","n/a",IF(AND(G605="",H605=""),"",IF(OR(G605="",H605=""),"Waiting",IF(G605=H605,G605,IF(AND(G605&lt;&gt;"Exclude",H605&lt;&gt;"Exclude"),"Maybe",IF(J605&lt;&gt;"",J605,"Pending"))))))</f>
        <v/>
      </c>
      <c r="L605" s="28"/>
      <c r="M605" s="28"/>
      <c r="N605" s="28"/>
      <c r="O605" s="28"/>
      <c r="P605" s="28"/>
    </row>
    <row r="606" customFormat="false" ht="15" hidden="false" customHeight="false" outlineLevel="0" collapsed="false">
      <c r="A606" s="28"/>
      <c r="B606" s="28"/>
      <c r="C606" s="28"/>
      <c r="D606" s="28"/>
      <c r="E606" s="28"/>
      <c r="F606" s="28"/>
      <c r="G606" s="28"/>
      <c r="H606" s="28"/>
      <c r="I606" s="29" t="str">
        <f aca="false">IF(OR(G606="",H606=""),"",IF(G606=H606,"Yes","No"))</f>
        <v/>
      </c>
      <c r="J606" s="28"/>
      <c r="K606" s="29" t="str">
        <f aca="false">IF(E606="Snowballing","n/a",IF(AND(G606="",H606=""),"",IF(OR(G606="",H606=""),"Waiting",IF(G606=H606,G606,IF(AND(G606&lt;&gt;"Exclude",H606&lt;&gt;"Exclude"),"Maybe",IF(J606&lt;&gt;"",J606,"Pending"))))))</f>
        <v/>
      </c>
      <c r="L606" s="28"/>
      <c r="M606" s="28"/>
      <c r="N606" s="28"/>
      <c r="O606" s="28"/>
      <c r="P606" s="28"/>
    </row>
    <row r="607" customFormat="false" ht="15" hidden="false" customHeight="false" outlineLevel="0" collapsed="false">
      <c r="A607" s="28"/>
      <c r="B607" s="28"/>
      <c r="C607" s="28"/>
      <c r="D607" s="28"/>
      <c r="E607" s="28"/>
      <c r="F607" s="28"/>
      <c r="G607" s="28"/>
      <c r="H607" s="28"/>
      <c r="I607" s="29" t="str">
        <f aca="false">IF(OR(G607="",H607=""),"",IF(G607=H607,"Yes","No"))</f>
        <v/>
      </c>
      <c r="J607" s="28"/>
      <c r="K607" s="29" t="str">
        <f aca="false">IF(E607="Snowballing","n/a",IF(AND(G607="",H607=""),"",IF(OR(G607="",H607=""),"Waiting",IF(G607=H607,G607,IF(AND(G607&lt;&gt;"Exclude",H607&lt;&gt;"Exclude"),"Maybe",IF(J607&lt;&gt;"",J607,"Pending"))))))</f>
        <v/>
      </c>
      <c r="L607" s="28"/>
      <c r="M607" s="28"/>
      <c r="N607" s="28"/>
      <c r="O607" s="28"/>
      <c r="P607" s="28"/>
    </row>
    <row r="608" customFormat="false" ht="15" hidden="false" customHeight="false" outlineLevel="0" collapsed="false">
      <c r="A608" s="28"/>
      <c r="B608" s="28"/>
      <c r="C608" s="28"/>
      <c r="D608" s="28"/>
      <c r="E608" s="28"/>
      <c r="F608" s="28"/>
      <c r="G608" s="28"/>
      <c r="H608" s="28"/>
      <c r="I608" s="29" t="str">
        <f aca="false">IF(OR(G608="",H608=""),"",IF(G608=H608,"Yes","No"))</f>
        <v/>
      </c>
      <c r="J608" s="28"/>
      <c r="K608" s="29" t="str">
        <f aca="false">IF(E608="Snowballing","n/a",IF(AND(G608="",H608=""),"",IF(OR(G608="",H608=""),"Waiting",IF(G608=H608,G608,IF(AND(G608&lt;&gt;"Exclude",H608&lt;&gt;"Exclude"),"Maybe",IF(J608&lt;&gt;"",J608,"Pending"))))))</f>
        <v/>
      </c>
      <c r="L608" s="28"/>
      <c r="M608" s="28"/>
      <c r="N608" s="28"/>
      <c r="O608" s="28"/>
      <c r="P608" s="28"/>
    </row>
    <row r="609" customFormat="false" ht="15" hidden="false" customHeight="false" outlineLevel="0" collapsed="false">
      <c r="A609" s="28"/>
      <c r="B609" s="28"/>
      <c r="C609" s="28"/>
      <c r="D609" s="28"/>
      <c r="E609" s="28"/>
      <c r="F609" s="28"/>
      <c r="G609" s="28"/>
      <c r="H609" s="28"/>
      <c r="I609" s="29" t="str">
        <f aca="false">IF(OR(G609="",H609=""),"",IF(G609=H609,"Yes","No"))</f>
        <v/>
      </c>
      <c r="J609" s="28"/>
      <c r="K609" s="29" t="str">
        <f aca="false">IF(E609="Snowballing","n/a",IF(AND(G609="",H609=""),"",IF(OR(G609="",H609=""),"Waiting",IF(G609=H609,G609,IF(AND(G609&lt;&gt;"Exclude",H609&lt;&gt;"Exclude"),"Maybe",IF(J609&lt;&gt;"",J609,"Pending"))))))</f>
        <v/>
      </c>
      <c r="L609" s="28"/>
      <c r="M609" s="28"/>
      <c r="N609" s="28"/>
      <c r="O609" s="28"/>
      <c r="P609" s="28"/>
    </row>
    <row r="610" customFormat="false" ht="15" hidden="false" customHeight="false" outlineLevel="0" collapsed="false">
      <c r="A610" s="28"/>
      <c r="B610" s="28"/>
      <c r="C610" s="28"/>
      <c r="D610" s="28"/>
      <c r="E610" s="28"/>
      <c r="F610" s="28"/>
      <c r="G610" s="28"/>
      <c r="H610" s="28"/>
      <c r="I610" s="29" t="str">
        <f aca="false">IF(OR(G610="",H610=""),"",IF(G610=H610,"Yes","No"))</f>
        <v/>
      </c>
      <c r="J610" s="28"/>
      <c r="K610" s="29" t="str">
        <f aca="false">IF(E610="Snowballing","n/a",IF(AND(G610="",H610=""),"",IF(OR(G610="",H610=""),"Waiting",IF(G610=H610,G610,IF(AND(G610&lt;&gt;"Exclude",H610&lt;&gt;"Exclude"),"Maybe",IF(J610&lt;&gt;"",J610,"Pending"))))))</f>
        <v/>
      </c>
      <c r="L610" s="28"/>
      <c r="M610" s="28"/>
      <c r="N610" s="28"/>
      <c r="O610" s="28"/>
      <c r="P610" s="28"/>
    </row>
    <row r="611" customFormat="false" ht="15" hidden="false" customHeight="false" outlineLevel="0" collapsed="false">
      <c r="A611" s="28"/>
      <c r="B611" s="28"/>
      <c r="C611" s="28"/>
      <c r="D611" s="28"/>
      <c r="E611" s="28"/>
      <c r="F611" s="28"/>
      <c r="G611" s="28"/>
      <c r="H611" s="28"/>
      <c r="I611" s="29" t="str">
        <f aca="false">IF(OR(G611="",H611=""),"",IF(G611=H611,"Yes","No"))</f>
        <v/>
      </c>
      <c r="J611" s="28"/>
      <c r="K611" s="29" t="str">
        <f aca="false">IF(E611="Snowballing","n/a",IF(AND(G611="",H611=""),"",IF(OR(G611="",H611=""),"Waiting",IF(G611=H611,G611,IF(AND(G611&lt;&gt;"Exclude",H611&lt;&gt;"Exclude"),"Maybe",IF(J611&lt;&gt;"",J611,"Pending"))))))</f>
        <v/>
      </c>
      <c r="L611" s="28"/>
      <c r="M611" s="28"/>
      <c r="N611" s="28"/>
      <c r="O611" s="28"/>
      <c r="P611" s="28"/>
    </row>
    <row r="612" customFormat="false" ht="15" hidden="false" customHeight="false" outlineLevel="0" collapsed="false">
      <c r="A612" s="28"/>
      <c r="B612" s="28"/>
      <c r="C612" s="28"/>
      <c r="D612" s="28"/>
      <c r="E612" s="28"/>
      <c r="F612" s="28"/>
      <c r="G612" s="28"/>
      <c r="H612" s="28"/>
      <c r="I612" s="29" t="str">
        <f aca="false">IF(OR(G612="",H612=""),"",IF(G612=H612,"Yes","No"))</f>
        <v/>
      </c>
      <c r="J612" s="28"/>
      <c r="K612" s="29" t="str">
        <f aca="false">IF(E612="Snowballing","n/a",IF(AND(G612="",H612=""),"",IF(OR(G612="",H612=""),"Waiting",IF(G612=H612,G612,IF(AND(G612&lt;&gt;"Exclude",H612&lt;&gt;"Exclude"),"Maybe",IF(J612&lt;&gt;"",J612,"Pending"))))))</f>
        <v/>
      </c>
      <c r="L612" s="28"/>
      <c r="M612" s="28"/>
      <c r="N612" s="28"/>
      <c r="O612" s="28"/>
      <c r="P612" s="28"/>
    </row>
    <row r="613" customFormat="false" ht="15" hidden="false" customHeight="false" outlineLevel="0" collapsed="false">
      <c r="A613" s="28"/>
      <c r="B613" s="28"/>
      <c r="C613" s="28"/>
      <c r="D613" s="28"/>
      <c r="E613" s="28"/>
      <c r="F613" s="28"/>
      <c r="G613" s="28"/>
      <c r="H613" s="28"/>
      <c r="I613" s="29" t="str">
        <f aca="false">IF(OR(G613="",H613=""),"",IF(G613=H613,"Yes","No"))</f>
        <v/>
      </c>
      <c r="J613" s="28"/>
      <c r="K613" s="29" t="str">
        <f aca="false">IF(E613="Snowballing","n/a",IF(AND(G613="",H613=""),"",IF(OR(G613="",H613=""),"Waiting",IF(G613=H613,G613,IF(AND(G613&lt;&gt;"Exclude",H613&lt;&gt;"Exclude"),"Maybe",IF(J613&lt;&gt;"",J613,"Pending"))))))</f>
        <v/>
      </c>
      <c r="L613" s="28"/>
      <c r="M613" s="28"/>
      <c r="N613" s="28"/>
      <c r="O613" s="28"/>
      <c r="P613" s="28"/>
    </row>
    <row r="614" customFormat="false" ht="15" hidden="false" customHeight="false" outlineLevel="0" collapsed="false">
      <c r="A614" s="28"/>
      <c r="B614" s="28"/>
      <c r="C614" s="28"/>
      <c r="D614" s="28"/>
      <c r="E614" s="28"/>
      <c r="F614" s="28"/>
      <c r="G614" s="28"/>
      <c r="H614" s="28"/>
      <c r="I614" s="29" t="str">
        <f aca="false">IF(OR(G614="",H614=""),"",IF(G614=H614,"Yes","No"))</f>
        <v/>
      </c>
      <c r="J614" s="28"/>
      <c r="K614" s="29" t="str">
        <f aca="false">IF(E614="Snowballing","n/a",IF(AND(G614="",H614=""),"",IF(OR(G614="",H614=""),"Waiting",IF(G614=H614,G614,IF(AND(G614&lt;&gt;"Exclude",H614&lt;&gt;"Exclude"),"Maybe",IF(J614&lt;&gt;"",J614,"Pending"))))))</f>
        <v/>
      </c>
      <c r="L614" s="28"/>
      <c r="M614" s="28"/>
      <c r="N614" s="28"/>
      <c r="O614" s="28"/>
      <c r="P614" s="28"/>
    </row>
    <row r="615" customFormat="false" ht="15" hidden="false" customHeight="false" outlineLevel="0" collapsed="false">
      <c r="A615" s="28"/>
      <c r="B615" s="28"/>
      <c r="C615" s="28"/>
      <c r="D615" s="28"/>
      <c r="E615" s="28"/>
      <c r="F615" s="28"/>
      <c r="G615" s="28"/>
      <c r="H615" s="28"/>
      <c r="I615" s="29" t="str">
        <f aca="false">IF(OR(G615="",H615=""),"",IF(G615=H615,"Yes","No"))</f>
        <v/>
      </c>
      <c r="J615" s="28"/>
      <c r="K615" s="29" t="str">
        <f aca="false">IF(E615="Snowballing","n/a",IF(AND(G615="",H615=""),"",IF(OR(G615="",H615=""),"Waiting",IF(G615=H615,G615,IF(AND(G615&lt;&gt;"Exclude",H615&lt;&gt;"Exclude"),"Maybe",IF(J615&lt;&gt;"",J615,"Pending"))))))</f>
        <v/>
      </c>
      <c r="L615" s="28"/>
      <c r="M615" s="28"/>
      <c r="N615" s="28"/>
      <c r="O615" s="28"/>
      <c r="P615" s="28"/>
    </row>
    <row r="616" customFormat="false" ht="15" hidden="false" customHeight="false" outlineLevel="0" collapsed="false">
      <c r="A616" s="28"/>
      <c r="B616" s="28"/>
      <c r="C616" s="28"/>
      <c r="D616" s="28"/>
      <c r="E616" s="28"/>
      <c r="F616" s="28"/>
      <c r="G616" s="28"/>
      <c r="H616" s="28"/>
      <c r="I616" s="29" t="str">
        <f aca="false">IF(OR(G616="",H616=""),"",IF(G616=H616,"Yes","No"))</f>
        <v/>
      </c>
      <c r="J616" s="28"/>
      <c r="K616" s="29" t="str">
        <f aca="false">IF(E616="Snowballing","n/a",IF(AND(G616="",H616=""),"",IF(OR(G616="",H616=""),"Waiting",IF(G616=H616,G616,IF(AND(G616&lt;&gt;"Exclude",H616&lt;&gt;"Exclude"),"Maybe",IF(J616&lt;&gt;"",J616,"Pending"))))))</f>
        <v/>
      </c>
      <c r="L616" s="28"/>
      <c r="M616" s="28"/>
      <c r="N616" s="28"/>
      <c r="O616" s="28"/>
      <c r="P616" s="28"/>
    </row>
    <row r="617" customFormat="false" ht="15" hidden="false" customHeight="false" outlineLevel="0" collapsed="false">
      <c r="A617" s="28"/>
      <c r="B617" s="28"/>
      <c r="C617" s="28"/>
      <c r="D617" s="28"/>
      <c r="E617" s="28"/>
      <c r="F617" s="28"/>
      <c r="G617" s="28"/>
      <c r="H617" s="28"/>
      <c r="I617" s="29" t="str">
        <f aca="false">IF(OR(G617="",H617=""),"",IF(G617=H617,"Yes","No"))</f>
        <v/>
      </c>
      <c r="J617" s="28"/>
      <c r="K617" s="29" t="str">
        <f aca="false">IF(E617="Snowballing","n/a",IF(AND(G617="",H617=""),"",IF(OR(G617="",H617=""),"Waiting",IF(G617=H617,G617,IF(AND(G617&lt;&gt;"Exclude",H617&lt;&gt;"Exclude"),"Maybe",IF(J617&lt;&gt;"",J617,"Pending"))))))</f>
        <v/>
      </c>
      <c r="L617" s="28"/>
      <c r="M617" s="28"/>
      <c r="N617" s="28"/>
      <c r="O617" s="28"/>
      <c r="P617" s="28"/>
    </row>
    <row r="618" customFormat="false" ht="15" hidden="false" customHeight="false" outlineLevel="0" collapsed="false">
      <c r="A618" s="28"/>
      <c r="B618" s="28"/>
      <c r="C618" s="28"/>
      <c r="D618" s="28"/>
      <c r="E618" s="28"/>
      <c r="F618" s="28"/>
      <c r="G618" s="28"/>
      <c r="H618" s="28"/>
      <c r="I618" s="29" t="str">
        <f aca="false">IF(OR(G618="",H618=""),"",IF(G618=H618,"Yes","No"))</f>
        <v/>
      </c>
      <c r="J618" s="28"/>
      <c r="K618" s="29" t="str">
        <f aca="false">IF(E618="Snowballing","n/a",IF(AND(G618="",H618=""),"",IF(OR(G618="",H618=""),"Waiting",IF(G618=H618,G618,IF(AND(G618&lt;&gt;"Exclude",H618&lt;&gt;"Exclude"),"Maybe",IF(J618&lt;&gt;"",J618,"Pending"))))))</f>
        <v/>
      </c>
      <c r="L618" s="28"/>
      <c r="M618" s="28"/>
      <c r="N618" s="28"/>
      <c r="O618" s="28"/>
      <c r="P618" s="28"/>
    </row>
    <row r="619" customFormat="false" ht="15" hidden="false" customHeight="false" outlineLevel="0" collapsed="false">
      <c r="A619" s="28"/>
      <c r="B619" s="28"/>
      <c r="C619" s="28"/>
      <c r="D619" s="28"/>
      <c r="E619" s="28"/>
      <c r="F619" s="28"/>
      <c r="G619" s="28"/>
      <c r="H619" s="28"/>
      <c r="I619" s="29" t="str">
        <f aca="false">IF(OR(G619="",H619=""),"",IF(G619=H619,"Yes","No"))</f>
        <v/>
      </c>
      <c r="J619" s="28"/>
      <c r="K619" s="29" t="str">
        <f aca="false">IF(E619="Snowballing","n/a",IF(AND(G619="",H619=""),"",IF(OR(G619="",H619=""),"Waiting",IF(G619=H619,G619,IF(AND(G619&lt;&gt;"Exclude",H619&lt;&gt;"Exclude"),"Maybe",IF(J619&lt;&gt;"",J619,"Pending"))))))</f>
        <v/>
      </c>
      <c r="L619" s="28"/>
      <c r="M619" s="28"/>
      <c r="N619" s="28"/>
      <c r="O619" s="28"/>
      <c r="P619" s="28"/>
    </row>
    <row r="620" customFormat="false" ht="15" hidden="false" customHeight="false" outlineLevel="0" collapsed="false">
      <c r="A620" s="28"/>
      <c r="B620" s="28"/>
      <c r="C620" s="28"/>
      <c r="D620" s="28"/>
      <c r="E620" s="28"/>
      <c r="F620" s="28"/>
      <c r="G620" s="28"/>
      <c r="H620" s="28"/>
      <c r="I620" s="29" t="str">
        <f aca="false">IF(OR(G620="",H620=""),"",IF(G620=H620,"Yes","No"))</f>
        <v/>
      </c>
      <c r="J620" s="28"/>
      <c r="K620" s="29" t="str">
        <f aca="false">IF(E620="Snowballing","n/a",IF(AND(G620="",H620=""),"",IF(OR(G620="",H620=""),"Waiting",IF(G620=H620,G620,IF(AND(G620&lt;&gt;"Exclude",H620&lt;&gt;"Exclude"),"Maybe",IF(J620&lt;&gt;"",J620,"Pending"))))))</f>
        <v/>
      </c>
      <c r="L620" s="28"/>
      <c r="M620" s="28"/>
      <c r="N620" s="28"/>
      <c r="O620" s="28"/>
      <c r="P620" s="28"/>
    </row>
    <row r="621" customFormat="false" ht="15" hidden="false" customHeight="false" outlineLevel="0" collapsed="false">
      <c r="A621" s="28"/>
      <c r="B621" s="28"/>
      <c r="C621" s="28"/>
      <c r="D621" s="28"/>
      <c r="E621" s="28"/>
      <c r="F621" s="28"/>
      <c r="G621" s="28"/>
      <c r="H621" s="28"/>
      <c r="I621" s="29" t="str">
        <f aca="false">IF(OR(G621="",H621=""),"",IF(G621=H621,"Yes","No"))</f>
        <v/>
      </c>
      <c r="J621" s="28"/>
      <c r="K621" s="29" t="str">
        <f aca="false">IF(E621="Snowballing","n/a",IF(AND(G621="",H621=""),"",IF(OR(G621="",H621=""),"Waiting",IF(G621=H621,G621,IF(AND(G621&lt;&gt;"Exclude",H621&lt;&gt;"Exclude"),"Maybe",IF(J621&lt;&gt;"",J621,"Pending"))))))</f>
        <v/>
      </c>
      <c r="L621" s="28"/>
      <c r="M621" s="28"/>
      <c r="N621" s="28"/>
      <c r="O621" s="28"/>
      <c r="P621" s="28"/>
    </row>
    <row r="622" customFormat="false" ht="15" hidden="false" customHeight="false" outlineLevel="0" collapsed="false">
      <c r="A622" s="28"/>
      <c r="B622" s="28"/>
      <c r="C622" s="28"/>
      <c r="D622" s="28"/>
      <c r="E622" s="28"/>
      <c r="F622" s="28"/>
      <c r="G622" s="28"/>
      <c r="H622" s="28"/>
      <c r="I622" s="29" t="str">
        <f aca="false">IF(OR(G622="",H622=""),"",IF(G622=H622,"Yes","No"))</f>
        <v/>
      </c>
      <c r="J622" s="28"/>
      <c r="K622" s="29" t="str">
        <f aca="false">IF(E622="Snowballing","n/a",IF(AND(G622="",H622=""),"",IF(OR(G622="",H622=""),"Waiting",IF(G622=H622,G622,IF(AND(G622&lt;&gt;"Exclude",H622&lt;&gt;"Exclude"),"Maybe",IF(J622&lt;&gt;"",J622,"Pending"))))))</f>
        <v/>
      </c>
      <c r="L622" s="28"/>
      <c r="M622" s="28"/>
      <c r="N622" s="28"/>
      <c r="O622" s="28"/>
      <c r="P622" s="28"/>
    </row>
    <row r="623" customFormat="false" ht="15" hidden="false" customHeight="false" outlineLevel="0" collapsed="false">
      <c r="A623" s="28"/>
      <c r="B623" s="28"/>
      <c r="C623" s="28"/>
      <c r="D623" s="28"/>
      <c r="E623" s="28"/>
      <c r="F623" s="28"/>
      <c r="G623" s="28"/>
      <c r="H623" s="28"/>
      <c r="I623" s="29" t="str">
        <f aca="false">IF(OR(G623="",H623=""),"",IF(G623=H623,"Yes","No"))</f>
        <v/>
      </c>
      <c r="J623" s="28"/>
      <c r="K623" s="29" t="str">
        <f aca="false">IF(E623="Snowballing","n/a",IF(AND(G623="",H623=""),"",IF(OR(G623="",H623=""),"Waiting",IF(G623=H623,G623,IF(AND(G623&lt;&gt;"Exclude",H623&lt;&gt;"Exclude"),"Maybe",IF(J623&lt;&gt;"",J623,"Pending"))))))</f>
        <v/>
      </c>
      <c r="L623" s="28"/>
      <c r="M623" s="28"/>
      <c r="N623" s="28"/>
      <c r="O623" s="28"/>
      <c r="P623" s="28"/>
    </row>
    <row r="624" customFormat="false" ht="15" hidden="false" customHeight="false" outlineLevel="0" collapsed="false">
      <c r="A624" s="28"/>
      <c r="B624" s="28"/>
      <c r="C624" s="28"/>
      <c r="D624" s="28"/>
      <c r="E624" s="28"/>
      <c r="F624" s="28"/>
      <c r="G624" s="28"/>
      <c r="H624" s="28"/>
      <c r="I624" s="29" t="str">
        <f aca="false">IF(OR(G624="",H624=""),"",IF(G624=H624,"Yes","No"))</f>
        <v/>
      </c>
      <c r="J624" s="28"/>
      <c r="K624" s="29" t="str">
        <f aca="false">IF(E624="Snowballing","n/a",IF(AND(G624="",H624=""),"",IF(OR(G624="",H624=""),"Waiting",IF(G624=H624,G624,IF(AND(G624&lt;&gt;"Exclude",H624&lt;&gt;"Exclude"),"Maybe",IF(J624&lt;&gt;"",J624,"Pending"))))))</f>
        <v/>
      </c>
      <c r="L624" s="28"/>
      <c r="M624" s="28"/>
      <c r="N624" s="28"/>
      <c r="O624" s="28"/>
      <c r="P624" s="28"/>
    </row>
    <row r="625" customFormat="false" ht="15" hidden="false" customHeight="false" outlineLevel="0" collapsed="false">
      <c r="A625" s="28"/>
      <c r="B625" s="28"/>
      <c r="C625" s="28"/>
      <c r="D625" s="28"/>
      <c r="E625" s="28"/>
      <c r="F625" s="28"/>
      <c r="G625" s="28"/>
      <c r="H625" s="28"/>
      <c r="I625" s="29" t="str">
        <f aca="false">IF(OR(G625="",H625=""),"",IF(G625=H625,"Yes","No"))</f>
        <v/>
      </c>
      <c r="J625" s="28"/>
      <c r="K625" s="29" t="str">
        <f aca="false">IF(E625="Snowballing","n/a",IF(AND(G625="",H625=""),"",IF(OR(G625="",H625=""),"Waiting",IF(G625=H625,G625,IF(AND(G625&lt;&gt;"Exclude",H625&lt;&gt;"Exclude"),"Maybe",IF(J625&lt;&gt;"",J625,"Pending"))))))</f>
        <v/>
      </c>
      <c r="L625" s="28"/>
      <c r="M625" s="28"/>
      <c r="N625" s="28"/>
      <c r="O625" s="28"/>
      <c r="P625" s="28"/>
    </row>
    <row r="626" customFormat="false" ht="15" hidden="false" customHeight="false" outlineLevel="0" collapsed="false">
      <c r="A626" s="28"/>
      <c r="B626" s="28"/>
      <c r="C626" s="28"/>
      <c r="D626" s="28"/>
      <c r="E626" s="28"/>
      <c r="F626" s="28"/>
      <c r="G626" s="28"/>
      <c r="H626" s="28"/>
      <c r="I626" s="29" t="str">
        <f aca="false">IF(OR(G626="",H626=""),"",IF(G626=H626,"Yes","No"))</f>
        <v/>
      </c>
      <c r="J626" s="28"/>
      <c r="K626" s="29" t="str">
        <f aca="false">IF(E626="Snowballing","n/a",IF(AND(G626="",H626=""),"",IF(OR(G626="",H626=""),"Waiting",IF(G626=H626,G626,IF(AND(G626&lt;&gt;"Exclude",H626&lt;&gt;"Exclude"),"Maybe",IF(J626&lt;&gt;"",J626,"Pending"))))))</f>
        <v/>
      </c>
      <c r="L626" s="28"/>
      <c r="M626" s="28"/>
      <c r="N626" s="28"/>
      <c r="O626" s="28"/>
      <c r="P626" s="28"/>
    </row>
    <row r="627" customFormat="false" ht="15" hidden="false" customHeight="false" outlineLevel="0" collapsed="false">
      <c r="A627" s="28"/>
      <c r="B627" s="28"/>
      <c r="C627" s="28"/>
      <c r="D627" s="28"/>
      <c r="E627" s="28"/>
      <c r="F627" s="28"/>
      <c r="G627" s="28"/>
      <c r="H627" s="28"/>
      <c r="I627" s="29" t="str">
        <f aca="false">IF(OR(G627="",H627=""),"",IF(G627=H627,"Yes","No"))</f>
        <v/>
      </c>
      <c r="J627" s="28"/>
      <c r="K627" s="29" t="str">
        <f aca="false">IF(E627="Snowballing","n/a",IF(AND(G627="",H627=""),"",IF(OR(G627="",H627=""),"Waiting",IF(G627=H627,G627,IF(AND(G627&lt;&gt;"Exclude",H627&lt;&gt;"Exclude"),"Maybe",IF(J627&lt;&gt;"",J627,"Pending"))))))</f>
        <v/>
      </c>
      <c r="L627" s="28"/>
      <c r="M627" s="28"/>
      <c r="N627" s="28"/>
      <c r="O627" s="28"/>
      <c r="P627" s="28"/>
    </row>
    <row r="628" customFormat="false" ht="15" hidden="false" customHeight="false" outlineLevel="0" collapsed="false">
      <c r="A628" s="28"/>
      <c r="B628" s="28"/>
      <c r="C628" s="28"/>
      <c r="D628" s="28"/>
      <c r="E628" s="28"/>
      <c r="F628" s="28"/>
      <c r="G628" s="28"/>
      <c r="H628" s="28"/>
      <c r="I628" s="29" t="str">
        <f aca="false">IF(OR(G628="",H628=""),"",IF(G628=H628,"Yes","No"))</f>
        <v/>
      </c>
      <c r="J628" s="28"/>
      <c r="K628" s="29" t="str">
        <f aca="false">IF(E628="Snowballing","n/a",IF(AND(G628="",H628=""),"",IF(OR(G628="",H628=""),"Waiting",IF(G628=H628,G628,IF(AND(G628&lt;&gt;"Exclude",H628&lt;&gt;"Exclude"),"Maybe",IF(J628&lt;&gt;"",J628,"Pending"))))))</f>
        <v/>
      </c>
      <c r="L628" s="28"/>
      <c r="M628" s="28"/>
      <c r="N628" s="28"/>
      <c r="O628" s="28"/>
      <c r="P628" s="28"/>
    </row>
    <row r="629" customFormat="false" ht="15" hidden="false" customHeight="false" outlineLevel="0" collapsed="false">
      <c r="A629" s="28"/>
      <c r="B629" s="28"/>
      <c r="C629" s="28"/>
      <c r="D629" s="28"/>
      <c r="E629" s="28"/>
      <c r="F629" s="28"/>
      <c r="G629" s="28"/>
      <c r="H629" s="28"/>
      <c r="I629" s="29" t="str">
        <f aca="false">IF(OR(G629="",H629=""),"",IF(G629=H629,"Yes","No"))</f>
        <v/>
      </c>
      <c r="J629" s="28"/>
      <c r="K629" s="29" t="str">
        <f aca="false">IF(E629="Snowballing","n/a",IF(AND(G629="",H629=""),"",IF(OR(G629="",H629=""),"Waiting",IF(G629=H629,G629,IF(AND(G629&lt;&gt;"Exclude",H629&lt;&gt;"Exclude"),"Maybe",IF(J629&lt;&gt;"",J629,"Pending"))))))</f>
        <v/>
      </c>
      <c r="L629" s="28"/>
      <c r="M629" s="28"/>
      <c r="N629" s="28"/>
      <c r="O629" s="28"/>
      <c r="P629" s="28"/>
    </row>
    <row r="630" customFormat="false" ht="15" hidden="false" customHeight="false" outlineLevel="0" collapsed="false">
      <c r="A630" s="28"/>
      <c r="B630" s="28"/>
      <c r="C630" s="28"/>
      <c r="D630" s="28"/>
      <c r="E630" s="28"/>
      <c r="F630" s="28"/>
      <c r="G630" s="28"/>
      <c r="H630" s="28"/>
      <c r="I630" s="29" t="str">
        <f aca="false">IF(OR(G630="",H630=""),"",IF(G630=H630,"Yes","No"))</f>
        <v/>
      </c>
      <c r="J630" s="28"/>
      <c r="K630" s="29" t="str">
        <f aca="false">IF(E630="Snowballing","n/a",IF(AND(G630="",H630=""),"",IF(OR(G630="",H630=""),"Waiting",IF(G630=H630,G630,IF(AND(G630&lt;&gt;"Exclude",H630&lt;&gt;"Exclude"),"Maybe",IF(J630&lt;&gt;"",J630,"Pending"))))))</f>
        <v/>
      </c>
      <c r="L630" s="28"/>
      <c r="M630" s="28"/>
      <c r="N630" s="28"/>
      <c r="O630" s="28"/>
      <c r="P630" s="28"/>
    </row>
    <row r="631" customFormat="false" ht="15" hidden="false" customHeight="false" outlineLevel="0" collapsed="false">
      <c r="A631" s="28"/>
      <c r="B631" s="28"/>
      <c r="C631" s="28"/>
      <c r="D631" s="28"/>
      <c r="E631" s="28"/>
      <c r="F631" s="28"/>
      <c r="G631" s="28"/>
      <c r="H631" s="28"/>
      <c r="I631" s="29" t="str">
        <f aca="false">IF(OR(G631="",H631=""),"",IF(G631=H631,"Yes","No"))</f>
        <v/>
      </c>
      <c r="J631" s="28"/>
      <c r="K631" s="29" t="str">
        <f aca="false">IF(E631="Snowballing","n/a",IF(AND(G631="",H631=""),"",IF(OR(G631="",H631=""),"Waiting",IF(G631=H631,G631,IF(AND(G631&lt;&gt;"Exclude",H631&lt;&gt;"Exclude"),"Maybe",IF(J631&lt;&gt;"",J631,"Pending"))))))</f>
        <v/>
      </c>
      <c r="L631" s="28"/>
      <c r="M631" s="28"/>
      <c r="N631" s="28"/>
      <c r="O631" s="28"/>
      <c r="P631" s="28"/>
    </row>
    <row r="632" customFormat="false" ht="15" hidden="false" customHeight="false" outlineLevel="0" collapsed="false">
      <c r="A632" s="28"/>
      <c r="B632" s="28"/>
      <c r="C632" s="28"/>
      <c r="D632" s="28"/>
      <c r="E632" s="28"/>
      <c r="F632" s="28"/>
      <c r="G632" s="28"/>
      <c r="H632" s="28"/>
      <c r="I632" s="29" t="str">
        <f aca="false">IF(OR(G632="",H632=""),"",IF(G632=H632,"Yes","No"))</f>
        <v/>
      </c>
      <c r="J632" s="28"/>
      <c r="K632" s="29" t="str">
        <f aca="false">IF(E632="Snowballing","n/a",IF(AND(G632="",H632=""),"",IF(OR(G632="",H632=""),"Waiting",IF(G632=H632,G632,IF(AND(G632&lt;&gt;"Exclude",H632&lt;&gt;"Exclude"),"Maybe",IF(J632&lt;&gt;"",J632,"Pending"))))))</f>
        <v/>
      </c>
      <c r="L632" s="28"/>
      <c r="M632" s="28"/>
      <c r="N632" s="28"/>
      <c r="O632" s="28"/>
      <c r="P632" s="28"/>
    </row>
    <row r="633" customFormat="false" ht="15" hidden="false" customHeight="false" outlineLevel="0" collapsed="false">
      <c r="A633" s="28"/>
      <c r="B633" s="28"/>
      <c r="C633" s="28"/>
      <c r="D633" s="28"/>
      <c r="E633" s="28"/>
      <c r="F633" s="28"/>
      <c r="G633" s="28"/>
      <c r="H633" s="28"/>
      <c r="I633" s="29" t="str">
        <f aca="false">IF(OR(G633="",H633=""),"",IF(G633=H633,"Yes","No"))</f>
        <v/>
      </c>
      <c r="J633" s="28"/>
      <c r="K633" s="29" t="str">
        <f aca="false">IF(E633="Snowballing","n/a",IF(AND(G633="",H633=""),"",IF(OR(G633="",H633=""),"Waiting",IF(G633=H633,G633,IF(AND(G633&lt;&gt;"Exclude",H633&lt;&gt;"Exclude"),"Maybe",IF(J633&lt;&gt;"",J633,"Pending"))))))</f>
        <v/>
      </c>
      <c r="L633" s="28"/>
      <c r="M633" s="28"/>
      <c r="N633" s="28"/>
      <c r="O633" s="28"/>
      <c r="P633" s="28"/>
    </row>
    <row r="634" customFormat="false" ht="15" hidden="false" customHeight="false" outlineLevel="0" collapsed="false">
      <c r="A634" s="28"/>
      <c r="B634" s="28"/>
      <c r="C634" s="28"/>
      <c r="D634" s="28"/>
      <c r="E634" s="28"/>
      <c r="F634" s="28"/>
      <c r="G634" s="28"/>
      <c r="H634" s="28"/>
      <c r="I634" s="29" t="str">
        <f aca="false">IF(OR(G634="",H634=""),"",IF(G634=H634,"Yes","No"))</f>
        <v/>
      </c>
      <c r="J634" s="28"/>
      <c r="K634" s="29" t="str">
        <f aca="false">IF(E634="Snowballing","n/a",IF(AND(G634="",H634=""),"",IF(OR(G634="",H634=""),"Waiting",IF(G634=H634,G634,IF(AND(G634&lt;&gt;"Exclude",H634&lt;&gt;"Exclude"),"Maybe",IF(J634&lt;&gt;"",J634,"Pending"))))))</f>
        <v/>
      </c>
      <c r="L634" s="28"/>
      <c r="M634" s="28"/>
      <c r="N634" s="28"/>
      <c r="O634" s="28"/>
      <c r="P634" s="28"/>
    </row>
    <row r="635" customFormat="false" ht="15" hidden="false" customHeight="false" outlineLevel="0" collapsed="false">
      <c r="A635" s="28"/>
      <c r="B635" s="28"/>
      <c r="C635" s="28"/>
      <c r="D635" s="28"/>
      <c r="E635" s="28"/>
      <c r="F635" s="28"/>
      <c r="G635" s="28"/>
      <c r="H635" s="28"/>
      <c r="I635" s="29" t="str">
        <f aca="false">IF(OR(G635="",H635=""),"",IF(G635=H635,"Yes","No"))</f>
        <v/>
      </c>
      <c r="J635" s="28"/>
      <c r="K635" s="29" t="str">
        <f aca="false">IF(E635="Snowballing","n/a",IF(AND(G635="",H635=""),"",IF(OR(G635="",H635=""),"Waiting",IF(G635=H635,G635,IF(AND(G635&lt;&gt;"Exclude",H635&lt;&gt;"Exclude"),"Maybe",IF(J635&lt;&gt;"",J635,"Pending"))))))</f>
        <v/>
      </c>
      <c r="L635" s="28"/>
      <c r="M635" s="28"/>
      <c r="N635" s="28"/>
      <c r="O635" s="28"/>
      <c r="P635" s="28"/>
    </row>
    <row r="636" customFormat="false" ht="15" hidden="false" customHeight="false" outlineLevel="0" collapsed="false">
      <c r="A636" s="28"/>
      <c r="B636" s="28"/>
      <c r="C636" s="28"/>
      <c r="D636" s="28"/>
      <c r="E636" s="28"/>
      <c r="F636" s="28"/>
      <c r="G636" s="28"/>
      <c r="H636" s="28"/>
      <c r="I636" s="29" t="str">
        <f aca="false">IF(OR(G636="",H636=""),"",IF(G636=H636,"Yes","No"))</f>
        <v/>
      </c>
      <c r="J636" s="28"/>
      <c r="K636" s="29" t="str">
        <f aca="false">IF(E636="Snowballing","n/a",IF(AND(G636="",H636=""),"",IF(OR(G636="",H636=""),"Waiting",IF(G636=H636,G636,IF(AND(G636&lt;&gt;"Exclude",H636&lt;&gt;"Exclude"),"Maybe",IF(J636&lt;&gt;"",J636,"Pending"))))))</f>
        <v/>
      </c>
      <c r="L636" s="28"/>
      <c r="M636" s="28"/>
      <c r="N636" s="28"/>
      <c r="O636" s="28"/>
      <c r="P636" s="28"/>
    </row>
    <row r="637" customFormat="false" ht="15" hidden="false" customHeight="false" outlineLevel="0" collapsed="false">
      <c r="A637" s="28"/>
      <c r="B637" s="28"/>
      <c r="C637" s="28"/>
      <c r="D637" s="28"/>
      <c r="E637" s="28"/>
      <c r="F637" s="28"/>
      <c r="G637" s="28"/>
      <c r="H637" s="28"/>
      <c r="I637" s="29" t="str">
        <f aca="false">IF(OR(G637="",H637=""),"",IF(G637=H637,"Yes","No"))</f>
        <v/>
      </c>
      <c r="J637" s="28"/>
      <c r="K637" s="29" t="str">
        <f aca="false">IF(E637="Snowballing","n/a",IF(AND(G637="",H637=""),"",IF(OR(G637="",H637=""),"Waiting",IF(G637=H637,G637,IF(AND(G637&lt;&gt;"Exclude",H637&lt;&gt;"Exclude"),"Maybe",IF(J637&lt;&gt;"",J637,"Pending"))))))</f>
        <v/>
      </c>
      <c r="L637" s="28"/>
      <c r="M637" s="28"/>
      <c r="N637" s="28"/>
      <c r="O637" s="28"/>
      <c r="P637" s="28"/>
    </row>
    <row r="638" customFormat="false" ht="15" hidden="false" customHeight="false" outlineLevel="0" collapsed="false">
      <c r="A638" s="28"/>
      <c r="B638" s="28"/>
      <c r="C638" s="28"/>
      <c r="D638" s="28"/>
      <c r="E638" s="28"/>
      <c r="F638" s="28"/>
      <c r="G638" s="28"/>
      <c r="H638" s="28"/>
      <c r="I638" s="29" t="str">
        <f aca="false">IF(OR(G638="",H638=""),"",IF(G638=H638,"Yes","No"))</f>
        <v/>
      </c>
      <c r="J638" s="28"/>
      <c r="K638" s="29" t="str">
        <f aca="false">IF(E638="Snowballing","n/a",IF(AND(G638="",H638=""),"",IF(OR(G638="",H638=""),"Waiting",IF(G638=H638,G638,IF(AND(G638&lt;&gt;"Exclude",H638&lt;&gt;"Exclude"),"Maybe",IF(J638&lt;&gt;"",J638,"Pending"))))))</f>
        <v/>
      </c>
      <c r="L638" s="28"/>
      <c r="M638" s="28"/>
      <c r="N638" s="28"/>
      <c r="O638" s="28"/>
      <c r="P638" s="28"/>
    </row>
    <row r="639" customFormat="false" ht="15" hidden="false" customHeight="false" outlineLevel="0" collapsed="false">
      <c r="A639" s="28"/>
      <c r="B639" s="28"/>
      <c r="C639" s="28"/>
      <c r="D639" s="28"/>
      <c r="E639" s="28"/>
      <c r="F639" s="28"/>
      <c r="G639" s="28"/>
      <c r="H639" s="28"/>
      <c r="I639" s="29" t="str">
        <f aca="false">IF(OR(G639="",H639=""),"",IF(G639=H639,"Yes","No"))</f>
        <v/>
      </c>
      <c r="J639" s="28"/>
      <c r="K639" s="29" t="str">
        <f aca="false">IF(E639="Snowballing","n/a",IF(AND(G639="",H639=""),"",IF(OR(G639="",H639=""),"Waiting",IF(G639=H639,G639,IF(AND(G639&lt;&gt;"Exclude",H639&lt;&gt;"Exclude"),"Maybe",IF(J639&lt;&gt;"",J639,"Pending"))))))</f>
        <v/>
      </c>
      <c r="L639" s="28"/>
      <c r="M639" s="28"/>
      <c r="N639" s="28"/>
      <c r="O639" s="28"/>
      <c r="P639" s="28"/>
    </row>
    <row r="640" customFormat="false" ht="15" hidden="false" customHeight="false" outlineLevel="0" collapsed="false">
      <c r="A640" s="28"/>
      <c r="B640" s="28"/>
      <c r="C640" s="28"/>
      <c r="D640" s="28"/>
      <c r="E640" s="28"/>
      <c r="F640" s="28"/>
      <c r="G640" s="28"/>
      <c r="H640" s="28"/>
      <c r="I640" s="29" t="str">
        <f aca="false">IF(OR(G640="",H640=""),"",IF(G640=H640,"Yes","No"))</f>
        <v/>
      </c>
      <c r="J640" s="28"/>
      <c r="K640" s="29" t="str">
        <f aca="false">IF(E640="Snowballing","n/a",IF(AND(G640="",H640=""),"",IF(OR(G640="",H640=""),"Waiting",IF(G640=H640,G640,IF(AND(G640&lt;&gt;"Exclude",H640&lt;&gt;"Exclude"),"Maybe",IF(J640&lt;&gt;"",J640,"Pending"))))))</f>
        <v/>
      </c>
      <c r="L640" s="28"/>
      <c r="M640" s="28"/>
      <c r="N640" s="28"/>
      <c r="O640" s="28"/>
      <c r="P640" s="28"/>
    </row>
    <row r="641" customFormat="false" ht="15" hidden="false" customHeight="false" outlineLevel="0" collapsed="false">
      <c r="A641" s="28"/>
      <c r="B641" s="28"/>
      <c r="C641" s="28"/>
      <c r="D641" s="28"/>
      <c r="E641" s="28"/>
      <c r="F641" s="28"/>
      <c r="G641" s="28"/>
      <c r="H641" s="28"/>
      <c r="I641" s="29" t="str">
        <f aca="false">IF(OR(G641="",H641=""),"",IF(G641=H641,"Yes","No"))</f>
        <v/>
      </c>
      <c r="J641" s="28"/>
      <c r="K641" s="29" t="str">
        <f aca="false">IF(E641="Snowballing","n/a",IF(AND(G641="",H641=""),"",IF(OR(G641="",H641=""),"Waiting",IF(G641=H641,G641,IF(AND(G641&lt;&gt;"Exclude",H641&lt;&gt;"Exclude"),"Maybe",IF(J641&lt;&gt;"",J641,"Pending"))))))</f>
        <v/>
      </c>
      <c r="L641" s="28"/>
      <c r="M641" s="28"/>
      <c r="N641" s="28"/>
      <c r="O641" s="28"/>
      <c r="P641" s="28"/>
    </row>
    <row r="642" customFormat="false" ht="15" hidden="false" customHeight="false" outlineLevel="0" collapsed="false">
      <c r="A642" s="28"/>
      <c r="B642" s="28"/>
      <c r="C642" s="28"/>
      <c r="D642" s="28"/>
      <c r="E642" s="28"/>
      <c r="F642" s="28"/>
      <c r="G642" s="28"/>
      <c r="H642" s="28"/>
      <c r="I642" s="29" t="str">
        <f aca="false">IF(OR(G642="",H642=""),"",IF(G642=H642,"Yes","No"))</f>
        <v/>
      </c>
      <c r="J642" s="28"/>
      <c r="K642" s="29" t="str">
        <f aca="false">IF(E642="Snowballing","n/a",IF(AND(G642="",H642=""),"",IF(OR(G642="",H642=""),"Waiting",IF(G642=H642,G642,IF(AND(G642&lt;&gt;"Exclude",H642&lt;&gt;"Exclude"),"Maybe",IF(J642&lt;&gt;"",J642,"Pending"))))))</f>
        <v/>
      </c>
      <c r="L642" s="28"/>
      <c r="M642" s="28"/>
      <c r="N642" s="28"/>
      <c r="O642" s="28"/>
      <c r="P642" s="28"/>
    </row>
    <row r="643" customFormat="false" ht="15" hidden="false" customHeight="false" outlineLevel="0" collapsed="false">
      <c r="A643" s="28"/>
      <c r="B643" s="28"/>
      <c r="C643" s="28"/>
      <c r="D643" s="28"/>
      <c r="E643" s="28"/>
      <c r="F643" s="28"/>
      <c r="G643" s="28"/>
      <c r="H643" s="28"/>
      <c r="I643" s="29" t="str">
        <f aca="false">IF(OR(G643="",H643=""),"",IF(G643=H643,"Yes","No"))</f>
        <v/>
      </c>
      <c r="J643" s="28"/>
      <c r="K643" s="29" t="str">
        <f aca="false">IF(E643="Snowballing","n/a",IF(AND(G643="",H643=""),"",IF(OR(G643="",H643=""),"Waiting",IF(G643=H643,G643,IF(AND(G643&lt;&gt;"Exclude",H643&lt;&gt;"Exclude"),"Maybe",IF(J643&lt;&gt;"",J643,"Pending"))))))</f>
        <v/>
      </c>
      <c r="L643" s="28"/>
      <c r="M643" s="28"/>
      <c r="N643" s="28"/>
      <c r="O643" s="28"/>
      <c r="P643" s="28"/>
    </row>
    <row r="644" customFormat="false" ht="15" hidden="false" customHeight="false" outlineLevel="0" collapsed="false">
      <c r="A644" s="28"/>
      <c r="B644" s="28"/>
      <c r="C644" s="28"/>
      <c r="D644" s="28"/>
      <c r="E644" s="28"/>
      <c r="F644" s="28"/>
      <c r="G644" s="28"/>
      <c r="H644" s="28"/>
      <c r="I644" s="29" t="str">
        <f aca="false">IF(OR(G644="",H644=""),"",IF(G644=H644,"Yes","No"))</f>
        <v/>
      </c>
      <c r="J644" s="28"/>
      <c r="K644" s="29" t="str">
        <f aca="false">IF(E644="Snowballing","n/a",IF(AND(G644="",H644=""),"",IF(OR(G644="",H644=""),"Waiting",IF(G644=H644,G644,IF(AND(G644&lt;&gt;"Exclude",H644&lt;&gt;"Exclude"),"Maybe",IF(J644&lt;&gt;"",J644,"Pending"))))))</f>
        <v/>
      </c>
      <c r="L644" s="28"/>
      <c r="M644" s="28"/>
      <c r="N644" s="28"/>
      <c r="O644" s="28"/>
      <c r="P644" s="28"/>
    </row>
    <row r="645" customFormat="false" ht="15" hidden="false" customHeight="false" outlineLevel="0" collapsed="false">
      <c r="A645" s="28"/>
      <c r="B645" s="28"/>
      <c r="C645" s="28"/>
      <c r="D645" s="28"/>
      <c r="E645" s="28"/>
      <c r="F645" s="28"/>
      <c r="G645" s="28"/>
      <c r="H645" s="28"/>
      <c r="I645" s="29" t="str">
        <f aca="false">IF(OR(G645="",H645=""),"",IF(G645=H645,"Yes","No"))</f>
        <v/>
      </c>
      <c r="J645" s="28"/>
      <c r="K645" s="29" t="str">
        <f aca="false">IF(E645="Snowballing","n/a",IF(AND(G645="",H645=""),"",IF(OR(G645="",H645=""),"Waiting",IF(G645=H645,G645,IF(AND(G645&lt;&gt;"Exclude",H645&lt;&gt;"Exclude"),"Maybe",IF(J645&lt;&gt;"",J645,"Pending"))))))</f>
        <v/>
      </c>
      <c r="L645" s="28"/>
      <c r="M645" s="28"/>
      <c r="N645" s="28"/>
      <c r="O645" s="28"/>
      <c r="P645" s="28"/>
    </row>
    <row r="646" customFormat="false" ht="15" hidden="false" customHeight="false" outlineLevel="0" collapsed="false">
      <c r="A646" s="28"/>
      <c r="B646" s="28"/>
      <c r="C646" s="28"/>
      <c r="D646" s="28"/>
      <c r="E646" s="28"/>
      <c r="F646" s="28"/>
      <c r="G646" s="28"/>
      <c r="H646" s="28"/>
      <c r="I646" s="29" t="str">
        <f aca="false">IF(OR(G646="",H646=""),"",IF(G646=H646,"Yes","No"))</f>
        <v/>
      </c>
      <c r="J646" s="28"/>
      <c r="K646" s="29" t="str">
        <f aca="false">IF(E646="Snowballing","n/a",IF(AND(G646="",H646=""),"",IF(OR(G646="",H646=""),"Waiting",IF(G646=H646,G646,IF(AND(G646&lt;&gt;"Exclude",H646&lt;&gt;"Exclude"),"Maybe",IF(J646&lt;&gt;"",J646,"Pending"))))))</f>
        <v/>
      </c>
      <c r="L646" s="28"/>
      <c r="M646" s="28"/>
      <c r="N646" s="28"/>
      <c r="O646" s="28"/>
      <c r="P646" s="28"/>
    </row>
    <row r="647" customFormat="false" ht="15" hidden="false" customHeight="false" outlineLevel="0" collapsed="false">
      <c r="A647" s="28"/>
      <c r="B647" s="28"/>
      <c r="C647" s="28"/>
      <c r="D647" s="28"/>
      <c r="E647" s="28"/>
      <c r="F647" s="28"/>
      <c r="G647" s="28"/>
      <c r="H647" s="28"/>
      <c r="I647" s="29" t="str">
        <f aca="false">IF(OR(G647="",H647=""),"",IF(G647=H647,"Yes","No"))</f>
        <v/>
      </c>
      <c r="J647" s="28"/>
      <c r="K647" s="29" t="str">
        <f aca="false">IF(E647="Snowballing","n/a",IF(AND(G647="",H647=""),"",IF(OR(G647="",H647=""),"Waiting",IF(G647=H647,G647,IF(AND(G647&lt;&gt;"Exclude",H647&lt;&gt;"Exclude"),"Maybe",IF(J647&lt;&gt;"",J647,"Pending"))))))</f>
        <v/>
      </c>
      <c r="L647" s="28"/>
      <c r="M647" s="28"/>
      <c r="N647" s="28"/>
      <c r="O647" s="28"/>
      <c r="P647" s="28"/>
    </row>
    <row r="648" customFormat="false" ht="15" hidden="false" customHeight="false" outlineLevel="0" collapsed="false">
      <c r="A648" s="28"/>
      <c r="B648" s="28"/>
      <c r="C648" s="28"/>
      <c r="D648" s="28"/>
      <c r="E648" s="28"/>
      <c r="F648" s="28"/>
      <c r="G648" s="28"/>
      <c r="H648" s="28"/>
      <c r="I648" s="29" t="str">
        <f aca="false">IF(OR(G648="",H648=""),"",IF(G648=H648,"Yes","No"))</f>
        <v/>
      </c>
      <c r="J648" s="28"/>
      <c r="K648" s="29" t="str">
        <f aca="false">IF(E648="Snowballing","n/a",IF(AND(G648="",H648=""),"",IF(OR(G648="",H648=""),"Waiting",IF(G648=H648,G648,IF(AND(G648&lt;&gt;"Exclude",H648&lt;&gt;"Exclude"),"Maybe",IF(J648&lt;&gt;"",J648,"Pending"))))))</f>
        <v/>
      </c>
      <c r="L648" s="28"/>
      <c r="M648" s="28"/>
      <c r="N648" s="28"/>
      <c r="O648" s="28"/>
      <c r="P648" s="28"/>
    </row>
    <row r="649" customFormat="false" ht="15" hidden="false" customHeight="false" outlineLevel="0" collapsed="false">
      <c r="A649" s="28"/>
      <c r="B649" s="28"/>
      <c r="C649" s="28"/>
      <c r="D649" s="28"/>
      <c r="E649" s="28"/>
      <c r="F649" s="28"/>
      <c r="G649" s="28"/>
      <c r="H649" s="28"/>
      <c r="I649" s="29" t="str">
        <f aca="false">IF(OR(G649="",H649=""),"",IF(G649=H649,"Yes","No"))</f>
        <v/>
      </c>
      <c r="J649" s="28"/>
      <c r="K649" s="29" t="str">
        <f aca="false">IF(E649="Snowballing","n/a",IF(AND(G649="",H649=""),"",IF(OR(G649="",H649=""),"Waiting",IF(G649=H649,G649,IF(AND(G649&lt;&gt;"Exclude",H649&lt;&gt;"Exclude"),"Maybe",IF(J649&lt;&gt;"",J649,"Pending"))))))</f>
        <v/>
      </c>
      <c r="L649" s="28"/>
      <c r="M649" s="28"/>
      <c r="N649" s="28"/>
      <c r="O649" s="28"/>
      <c r="P649" s="28"/>
    </row>
    <row r="650" customFormat="false" ht="15" hidden="false" customHeight="false" outlineLevel="0" collapsed="false">
      <c r="A650" s="28"/>
      <c r="B650" s="28"/>
      <c r="C650" s="28"/>
      <c r="D650" s="28"/>
      <c r="E650" s="28"/>
      <c r="F650" s="28"/>
      <c r="G650" s="28"/>
      <c r="H650" s="28"/>
      <c r="I650" s="29" t="str">
        <f aca="false">IF(OR(G650="",H650=""),"",IF(G650=H650,"Yes","No"))</f>
        <v/>
      </c>
      <c r="J650" s="28"/>
      <c r="K650" s="29" t="str">
        <f aca="false">IF(E650="Snowballing","n/a",IF(AND(G650="",H650=""),"",IF(OR(G650="",H650=""),"Waiting",IF(G650=H650,G650,IF(AND(G650&lt;&gt;"Exclude",H650&lt;&gt;"Exclude"),"Maybe",IF(J650&lt;&gt;"",J650,"Pending"))))))</f>
        <v/>
      </c>
      <c r="L650" s="28"/>
      <c r="M650" s="28"/>
      <c r="N650" s="28"/>
      <c r="O650" s="28"/>
      <c r="P650" s="28"/>
    </row>
    <row r="651" customFormat="false" ht="15" hidden="false" customHeight="false" outlineLevel="0" collapsed="false">
      <c r="A651" s="28"/>
      <c r="B651" s="28"/>
      <c r="C651" s="28"/>
      <c r="D651" s="28"/>
      <c r="E651" s="28"/>
      <c r="F651" s="28"/>
      <c r="G651" s="28"/>
      <c r="H651" s="28"/>
      <c r="I651" s="29" t="str">
        <f aca="false">IF(OR(G651="",H651=""),"",IF(G651=H651,"Yes","No"))</f>
        <v/>
      </c>
      <c r="J651" s="28"/>
      <c r="K651" s="29" t="str">
        <f aca="false">IF(E651="Snowballing","n/a",IF(AND(G651="",H651=""),"",IF(OR(G651="",H651=""),"Waiting",IF(G651=H651,G651,IF(AND(G651&lt;&gt;"Exclude",H651&lt;&gt;"Exclude"),"Maybe",IF(J651&lt;&gt;"",J651,"Pending"))))))</f>
        <v/>
      </c>
      <c r="L651" s="28"/>
      <c r="M651" s="28"/>
      <c r="N651" s="28"/>
      <c r="O651" s="28"/>
      <c r="P651" s="28"/>
    </row>
    <row r="652" customFormat="false" ht="15" hidden="false" customHeight="false" outlineLevel="0" collapsed="false">
      <c r="A652" s="28"/>
      <c r="B652" s="28"/>
      <c r="C652" s="28"/>
      <c r="D652" s="28"/>
      <c r="E652" s="28"/>
      <c r="F652" s="28"/>
      <c r="G652" s="28"/>
      <c r="H652" s="28"/>
      <c r="I652" s="29" t="str">
        <f aca="false">IF(OR(G652="",H652=""),"",IF(G652=H652,"Yes","No"))</f>
        <v/>
      </c>
      <c r="J652" s="28"/>
      <c r="K652" s="29" t="str">
        <f aca="false">IF(E652="Snowballing","n/a",IF(AND(G652="",H652=""),"",IF(OR(G652="",H652=""),"Waiting",IF(G652=H652,G652,IF(AND(G652&lt;&gt;"Exclude",H652&lt;&gt;"Exclude"),"Maybe",IF(J652&lt;&gt;"",J652,"Pending"))))))</f>
        <v/>
      </c>
      <c r="L652" s="28"/>
      <c r="M652" s="28"/>
      <c r="N652" s="28"/>
      <c r="O652" s="28"/>
      <c r="P652" s="28"/>
    </row>
    <row r="653" customFormat="false" ht="15" hidden="false" customHeight="false" outlineLevel="0" collapsed="false">
      <c r="A653" s="28"/>
      <c r="B653" s="28"/>
      <c r="C653" s="28"/>
      <c r="D653" s="28"/>
      <c r="E653" s="28"/>
      <c r="F653" s="28"/>
      <c r="G653" s="28"/>
      <c r="H653" s="28"/>
      <c r="I653" s="29" t="str">
        <f aca="false">IF(OR(G653="",H653=""),"",IF(G653=H653,"Yes","No"))</f>
        <v/>
      </c>
      <c r="J653" s="28"/>
      <c r="K653" s="29" t="str">
        <f aca="false">IF(E653="Snowballing","n/a",IF(AND(G653="",H653=""),"",IF(OR(G653="",H653=""),"Waiting",IF(G653=H653,G653,IF(AND(G653&lt;&gt;"Exclude",H653&lt;&gt;"Exclude"),"Maybe",IF(J653&lt;&gt;"",J653,"Pending"))))))</f>
        <v/>
      </c>
      <c r="L653" s="28"/>
      <c r="M653" s="28"/>
      <c r="N653" s="28"/>
      <c r="O653" s="28"/>
      <c r="P653" s="28"/>
    </row>
    <row r="654" customFormat="false" ht="15" hidden="false" customHeight="false" outlineLevel="0" collapsed="false">
      <c r="A654" s="28"/>
      <c r="B654" s="28"/>
      <c r="C654" s="28"/>
      <c r="D654" s="28"/>
      <c r="E654" s="28"/>
      <c r="F654" s="28"/>
      <c r="G654" s="28"/>
      <c r="H654" s="28"/>
      <c r="I654" s="29" t="str">
        <f aca="false">IF(OR(G654="",H654=""),"",IF(G654=H654,"Yes","No"))</f>
        <v/>
      </c>
      <c r="J654" s="28"/>
      <c r="K654" s="29" t="str">
        <f aca="false">IF(E654="Snowballing","n/a",IF(AND(G654="",H654=""),"",IF(OR(G654="",H654=""),"Waiting",IF(G654=H654,G654,IF(AND(G654&lt;&gt;"Exclude",H654&lt;&gt;"Exclude"),"Maybe",IF(J654&lt;&gt;"",J654,"Pending"))))))</f>
        <v/>
      </c>
      <c r="L654" s="28"/>
      <c r="M654" s="28"/>
      <c r="N654" s="28"/>
      <c r="O654" s="28"/>
      <c r="P654" s="28"/>
    </row>
    <row r="655" customFormat="false" ht="15" hidden="false" customHeight="false" outlineLevel="0" collapsed="false">
      <c r="A655" s="28"/>
      <c r="B655" s="28"/>
      <c r="C655" s="28"/>
      <c r="D655" s="28"/>
      <c r="E655" s="28"/>
      <c r="F655" s="28"/>
      <c r="G655" s="28"/>
      <c r="H655" s="28"/>
      <c r="I655" s="29" t="str">
        <f aca="false">IF(OR(G655="",H655=""),"",IF(G655=H655,"Yes","No"))</f>
        <v/>
      </c>
      <c r="J655" s="28"/>
      <c r="K655" s="29" t="str">
        <f aca="false">IF(E655="Snowballing","n/a",IF(AND(G655="",H655=""),"",IF(OR(G655="",H655=""),"Waiting",IF(G655=H655,G655,IF(AND(G655&lt;&gt;"Exclude",H655&lt;&gt;"Exclude"),"Maybe",IF(J655&lt;&gt;"",J655,"Pending"))))))</f>
        <v/>
      </c>
      <c r="L655" s="28"/>
      <c r="M655" s="28"/>
      <c r="N655" s="28"/>
      <c r="O655" s="28"/>
      <c r="P655" s="28"/>
    </row>
    <row r="656" customFormat="false" ht="15" hidden="false" customHeight="false" outlineLevel="0" collapsed="false">
      <c r="A656" s="28"/>
      <c r="B656" s="28"/>
      <c r="C656" s="28"/>
      <c r="D656" s="28"/>
      <c r="E656" s="28"/>
      <c r="F656" s="28"/>
      <c r="G656" s="28"/>
      <c r="H656" s="28"/>
      <c r="I656" s="29" t="str">
        <f aca="false">IF(OR(G656="",H656=""),"",IF(G656=H656,"Yes","No"))</f>
        <v/>
      </c>
      <c r="J656" s="28"/>
      <c r="K656" s="29" t="str">
        <f aca="false">IF(E656="Snowballing","n/a",IF(AND(G656="",H656=""),"",IF(OR(G656="",H656=""),"Waiting",IF(G656=H656,G656,IF(AND(G656&lt;&gt;"Exclude",H656&lt;&gt;"Exclude"),"Maybe",IF(J656&lt;&gt;"",J656,"Pending"))))))</f>
        <v/>
      </c>
      <c r="L656" s="28"/>
      <c r="M656" s="28"/>
      <c r="N656" s="28"/>
      <c r="O656" s="28"/>
      <c r="P656" s="28"/>
    </row>
    <row r="657" customFormat="false" ht="15" hidden="false" customHeight="false" outlineLevel="0" collapsed="false">
      <c r="A657" s="28"/>
      <c r="B657" s="28"/>
      <c r="C657" s="28"/>
      <c r="D657" s="28"/>
      <c r="E657" s="28"/>
      <c r="F657" s="28"/>
      <c r="G657" s="28"/>
      <c r="H657" s="28"/>
      <c r="I657" s="29" t="str">
        <f aca="false">IF(OR(G657="",H657=""),"",IF(G657=H657,"Yes","No"))</f>
        <v/>
      </c>
      <c r="J657" s="28"/>
      <c r="K657" s="29" t="str">
        <f aca="false">IF(E657="Snowballing","n/a",IF(AND(G657="",H657=""),"",IF(OR(G657="",H657=""),"Waiting",IF(G657=H657,G657,IF(AND(G657&lt;&gt;"Exclude",H657&lt;&gt;"Exclude"),"Maybe",IF(J657&lt;&gt;"",J657,"Pending"))))))</f>
        <v/>
      </c>
      <c r="L657" s="28"/>
      <c r="M657" s="28"/>
      <c r="N657" s="28"/>
      <c r="O657" s="28"/>
      <c r="P657" s="28"/>
    </row>
    <row r="658" customFormat="false" ht="15" hidden="false" customHeight="false" outlineLevel="0" collapsed="false">
      <c r="A658" s="28"/>
      <c r="B658" s="28"/>
      <c r="C658" s="28"/>
      <c r="D658" s="28"/>
      <c r="E658" s="28"/>
      <c r="F658" s="28"/>
      <c r="G658" s="28"/>
      <c r="H658" s="28"/>
      <c r="I658" s="29" t="str">
        <f aca="false">IF(OR(G658="",H658=""),"",IF(G658=H658,"Yes","No"))</f>
        <v/>
      </c>
      <c r="J658" s="28"/>
      <c r="K658" s="29" t="str">
        <f aca="false">IF(E658="Snowballing","n/a",IF(AND(G658="",H658=""),"",IF(OR(G658="",H658=""),"Waiting",IF(G658=H658,G658,IF(AND(G658&lt;&gt;"Exclude",H658&lt;&gt;"Exclude"),"Maybe",IF(J658&lt;&gt;"",J658,"Pending"))))))</f>
        <v/>
      </c>
      <c r="L658" s="28"/>
      <c r="M658" s="28"/>
      <c r="N658" s="28"/>
      <c r="O658" s="28"/>
      <c r="P658" s="28"/>
    </row>
    <row r="659" customFormat="false" ht="15" hidden="false" customHeight="false" outlineLevel="0" collapsed="false">
      <c r="A659" s="28"/>
      <c r="B659" s="28"/>
      <c r="C659" s="28"/>
      <c r="D659" s="28"/>
      <c r="E659" s="28"/>
      <c r="F659" s="28"/>
      <c r="G659" s="28"/>
      <c r="H659" s="28"/>
      <c r="I659" s="29" t="str">
        <f aca="false">IF(OR(G659="",H659=""),"",IF(G659=H659,"Yes","No"))</f>
        <v/>
      </c>
      <c r="J659" s="28"/>
      <c r="K659" s="29" t="str">
        <f aca="false">IF(E659="Snowballing","n/a",IF(AND(G659="",H659=""),"",IF(OR(G659="",H659=""),"Waiting",IF(G659=H659,G659,IF(AND(G659&lt;&gt;"Exclude",H659&lt;&gt;"Exclude"),"Maybe",IF(J659&lt;&gt;"",J659,"Pending"))))))</f>
        <v/>
      </c>
      <c r="L659" s="28"/>
      <c r="M659" s="28"/>
      <c r="N659" s="28"/>
      <c r="O659" s="28"/>
      <c r="P659" s="28"/>
    </row>
    <row r="660" customFormat="false" ht="15" hidden="false" customHeight="false" outlineLevel="0" collapsed="false">
      <c r="A660" s="28"/>
      <c r="B660" s="28"/>
      <c r="C660" s="28"/>
      <c r="D660" s="28"/>
      <c r="E660" s="28"/>
      <c r="F660" s="28"/>
      <c r="G660" s="28"/>
      <c r="H660" s="28"/>
      <c r="I660" s="29" t="str">
        <f aca="false">IF(OR(G660="",H660=""),"",IF(G660=H660,"Yes","No"))</f>
        <v/>
      </c>
      <c r="J660" s="28"/>
      <c r="K660" s="29" t="str">
        <f aca="false">IF(E660="Snowballing","n/a",IF(AND(G660="",H660=""),"",IF(OR(G660="",H660=""),"Waiting",IF(G660=H660,G660,IF(AND(G660&lt;&gt;"Exclude",H660&lt;&gt;"Exclude"),"Maybe",IF(J660&lt;&gt;"",J660,"Pending"))))))</f>
        <v/>
      </c>
      <c r="L660" s="28"/>
      <c r="M660" s="28"/>
      <c r="N660" s="28"/>
      <c r="O660" s="28"/>
      <c r="P660" s="28"/>
    </row>
    <row r="661" customFormat="false" ht="15" hidden="false" customHeight="false" outlineLevel="0" collapsed="false">
      <c r="A661" s="28"/>
      <c r="B661" s="28"/>
      <c r="C661" s="28"/>
      <c r="D661" s="28"/>
      <c r="E661" s="28"/>
      <c r="F661" s="28"/>
      <c r="G661" s="28"/>
      <c r="H661" s="28"/>
      <c r="I661" s="29" t="str">
        <f aca="false">IF(OR(G661="",H661=""),"",IF(G661=H661,"Yes","No"))</f>
        <v/>
      </c>
      <c r="J661" s="28"/>
      <c r="K661" s="29" t="str">
        <f aca="false">IF(E661="Snowballing","n/a",IF(AND(G661="",H661=""),"",IF(OR(G661="",H661=""),"Waiting",IF(G661=H661,G661,IF(AND(G661&lt;&gt;"Exclude",H661&lt;&gt;"Exclude"),"Maybe",IF(J661&lt;&gt;"",J661,"Pending"))))))</f>
        <v/>
      </c>
      <c r="L661" s="28"/>
      <c r="M661" s="28"/>
      <c r="N661" s="28"/>
      <c r="O661" s="28"/>
      <c r="P661" s="28"/>
    </row>
    <row r="662" customFormat="false" ht="15" hidden="false" customHeight="false" outlineLevel="0" collapsed="false">
      <c r="A662" s="28"/>
      <c r="B662" s="28"/>
      <c r="C662" s="28"/>
      <c r="D662" s="28"/>
      <c r="E662" s="28"/>
      <c r="F662" s="28"/>
      <c r="G662" s="28"/>
      <c r="H662" s="28"/>
      <c r="I662" s="29" t="str">
        <f aca="false">IF(OR(G662="",H662=""),"",IF(G662=H662,"Yes","No"))</f>
        <v/>
      </c>
      <c r="J662" s="28"/>
      <c r="K662" s="29" t="str">
        <f aca="false">IF(E662="Snowballing","n/a",IF(AND(G662="",H662=""),"",IF(OR(G662="",H662=""),"Waiting",IF(G662=H662,G662,IF(AND(G662&lt;&gt;"Exclude",H662&lt;&gt;"Exclude"),"Maybe",IF(J662&lt;&gt;"",J662,"Pending"))))))</f>
        <v/>
      </c>
      <c r="L662" s="28"/>
      <c r="M662" s="28"/>
      <c r="N662" s="28"/>
      <c r="O662" s="28"/>
      <c r="P662" s="28"/>
    </row>
    <row r="663" customFormat="false" ht="15" hidden="false" customHeight="false" outlineLevel="0" collapsed="false">
      <c r="A663" s="28"/>
      <c r="B663" s="28"/>
      <c r="C663" s="28"/>
      <c r="D663" s="28"/>
      <c r="E663" s="28"/>
      <c r="F663" s="28"/>
      <c r="G663" s="28"/>
      <c r="H663" s="28"/>
      <c r="I663" s="29" t="str">
        <f aca="false">IF(OR(G663="",H663=""),"",IF(G663=H663,"Yes","No"))</f>
        <v/>
      </c>
      <c r="J663" s="28"/>
      <c r="K663" s="29" t="str">
        <f aca="false">IF(E663="Snowballing","n/a",IF(AND(G663="",H663=""),"",IF(OR(G663="",H663=""),"Waiting",IF(G663=H663,G663,IF(AND(G663&lt;&gt;"Exclude",H663&lt;&gt;"Exclude"),"Maybe",IF(J663&lt;&gt;"",J663,"Pending"))))))</f>
        <v/>
      </c>
      <c r="L663" s="28"/>
      <c r="M663" s="28"/>
      <c r="N663" s="28"/>
      <c r="O663" s="28"/>
      <c r="P663" s="28"/>
    </row>
    <row r="664" customFormat="false" ht="15" hidden="false" customHeight="false" outlineLevel="0" collapsed="false">
      <c r="A664" s="28"/>
      <c r="B664" s="28"/>
      <c r="C664" s="28"/>
      <c r="D664" s="28"/>
      <c r="E664" s="28"/>
      <c r="F664" s="28"/>
      <c r="G664" s="28"/>
      <c r="H664" s="28"/>
      <c r="I664" s="29" t="str">
        <f aca="false">IF(OR(G664="",H664=""),"",IF(G664=H664,"Yes","No"))</f>
        <v/>
      </c>
      <c r="J664" s="28"/>
      <c r="K664" s="29" t="str">
        <f aca="false">IF(E664="Snowballing","n/a",IF(AND(G664="",H664=""),"",IF(OR(G664="",H664=""),"Waiting",IF(G664=H664,G664,IF(AND(G664&lt;&gt;"Exclude",H664&lt;&gt;"Exclude"),"Maybe",IF(J664&lt;&gt;"",J664,"Pending"))))))</f>
        <v/>
      </c>
      <c r="L664" s="28"/>
      <c r="M664" s="28"/>
      <c r="N664" s="28"/>
      <c r="O664" s="28"/>
      <c r="P664" s="28"/>
    </row>
    <row r="665" customFormat="false" ht="15" hidden="false" customHeight="false" outlineLevel="0" collapsed="false">
      <c r="A665" s="28"/>
      <c r="B665" s="28"/>
      <c r="C665" s="28"/>
      <c r="D665" s="28"/>
      <c r="E665" s="28"/>
      <c r="F665" s="28"/>
      <c r="G665" s="28"/>
      <c r="H665" s="28"/>
      <c r="I665" s="29" t="str">
        <f aca="false">IF(OR(G665="",H665=""),"",IF(G665=H665,"Yes","No"))</f>
        <v/>
      </c>
      <c r="J665" s="28"/>
      <c r="K665" s="29" t="str">
        <f aca="false">IF(E665="Snowballing","n/a",IF(AND(G665="",H665=""),"",IF(OR(G665="",H665=""),"Waiting",IF(G665=H665,G665,IF(AND(G665&lt;&gt;"Exclude",H665&lt;&gt;"Exclude"),"Maybe",IF(J665&lt;&gt;"",J665,"Pending"))))))</f>
        <v/>
      </c>
      <c r="L665" s="28"/>
      <c r="M665" s="28"/>
      <c r="N665" s="28"/>
      <c r="O665" s="28"/>
      <c r="P665" s="28"/>
    </row>
    <row r="666" customFormat="false" ht="15" hidden="false" customHeight="false" outlineLevel="0" collapsed="false">
      <c r="A666" s="28"/>
      <c r="B666" s="28"/>
      <c r="C666" s="28"/>
      <c r="D666" s="28"/>
      <c r="E666" s="28"/>
      <c r="F666" s="28"/>
      <c r="G666" s="28"/>
      <c r="H666" s="28"/>
      <c r="I666" s="29" t="str">
        <f aca="false">IF(OR(G666="",H666=""),"",IF(G666=H666,"Yes","No"))</f>
        <v/>
      </c>
      <c r="J666" s="28"/>
      <c r="K666" s="29" t="str">
        <f aca="false">IF(E666="Snowballing","n/a",IF(AND(G666="",H666=""),"",IF(OR(G666="",H666=""),"Waiting",IF(G666=H666,G666,IF(AND(G666&lt;&gt;"Exclude",H666&lt;&gt;"Exclude"),"Maybe",IF(J666&lt;&gt;"",J666,"Pending"))))))</f>
        <v/>
      </c>
      <c r="L666" s="28"/>
      <c r="M666" s="28"/>
      <c r="N666" s="28"/>
      <c r="O666" s="28"/>
      <c r="P666" s="28"/>
    </row>
    <row r="667" customFormat="false" ht="15" hidden="false" customHeight="false" outlineLevel="0" collapsed="false">
      <c r="A667" s="28"/>
      <c r="B667" s="28"/>
      <c r="C667" s="28"/>
      <c r="D667" s="28"/>
      <c r="E667" s="28"/>
      <c r="F667" s="28"/>
      <c r="G667" s="28"/>
      <c r="H667" s="28"/>
      <c r="I667" s="29" t="str">
        <f aca="false">IF(OR(G667="",H667=""),"",IF(G667=H667,"Yes","No"))</f>
        <v/>
      </c>
      <c r="J667" s="28"/>
      <c r="K667" s="29" t="str">
        <f aca="false">IF(E667="Snowballing","n/a",IF(AND(G667="",H667=""),"",IF(OR(G667="",H667=""),"Waiting",IF(G667=H667,G667,IF(AND(G667&lt;&gt;"Exclude",H667&lt;&gt;"Exclude"),"Maybe",IF(J667&lt;&gt;"",J667,"Pending"))))))</f>
        <v/>
      </c>
      <c r="L667" s="28"/>
      <c r="M667" s="28"/>
      <c r="N667" s="28"/>
      <c r="O667" s="28"/>
      <c r="P667" s="28"/>
    </row>
    <row r="668" customFormat="false" ht="15" hidden="false" customHeight="false" outlineLevel="0" collapsed="false">
      <c r="A668" s="28"/>
      <c r="B668" s="28"/>
      <c r="C668" s="28"/>
      <c r="D668" s="28"/>
      <c r="E668" s="28"/>
      <c r="F668" s="28"/>
      <c r="G668" s="28"/>
      <c r="H668" s="28"/>
      <c r="I668" s="29" t="str">
        <f aca="false">IF(OR(G668="",H668=""),"",IF(G668=H668,"Yes","No"))</f>
        <v/>
      </c>
      <c r="J668" s="28"/>
      <c r="K668" s="29" t="str">
        <f aca="false">IF(E668="Snowballing","n/a",IF(AND(G668="",H668=""),"",IF(OR(G668="",H668=""),"Waiting",IF(G668=H668,G668,IF(AND(G668&lt;&gt;"Exclude",H668&lt;&gt;"Exclude"),"Maybe",IF(J668&lt;&gt;"",J668,"Pending"))))))</f>
        <v/>
      </c>
      <c r="L668" s="28"/>
      <c r="M668" s="28"/>
      <c r="N668" s="28"/>
      <c r="O668" s="28"/>
      <c r="P668" s="28"/>
    </row>
    <row r="669" customFormat="false" ht="15" hidden="false" customHeight="false" outlineLevel="0" collapsed="false">
      <c r="A669" s="28"/>
      <c r="B669" s="28"/>
      <c r="C669" s="28"/>
      <c r="D669" s="28"/>
      <c r="E669" s="28"/>
      <c r="F669" s="28"/>
      <c r="G669" s="28"/>
      <c r="H669" s="28"/>
      <c r="I669" s="29" t="str">
        <f aca="false">IF(OR(G669="",H669=""),"",IF(G669=H669,"Yes","No"))</f>
        <v/>
      </c>
      <c r="J669" s="28"/>
      <c r="K669" s="29" t="str">
        <f aca="false">IF(E669="Snowballing","n/a",IF(AND(G669="",H669=""),"",IF(OR(G669="",H669=""),"Waiting",IF(G669=H669,G669,IF(AND(G669&lt;&gt;"Exclude",H669&lt;&gt;"Exclude"),"Maybe",IF(J669&lt;&gt;"",J669,"Pending"))))))</f>
        <v/>
      </c>
      <c r="L669" s="28"/>
      <c r="M669" s="28"/>
      <c r="N669" s="28"/>
      <c r="O669" s="28"/>
      <c r="P669" s="28"/>
    </row>
    <row r="670" customFormat="false" ht="15" hidden="false" customHeight="false" outlineLevel="0" collapsed="false">
      <c r="A670" s="28"/>
      <c r="B670" s="28"/>
      <c r="C670" s="28"/>
      <c r="D670" s="28"/>
      <c r="E670" s="28"/>
      <c r="F670" s="28"/>
      <c r="G670" s="28"/>
      <c r="H670" s="28"/>
      <c r="I670" s="29" t="str">
        <f aca="false">IF(OR(G670="",H670=""),"",IF(G670=H670,"Yes","No"))</f>
        <v/>
      </c>
      <c r="J670" s="28"/>
      <c r="K670" s="29" t="str">
        <f aca="false">IF(E670="Snowballing","n/a",IF(AND(G670="",H670=""),"",IF(OR(G670="",H670=""),"Waiting",IF(G670=H670,G670,IF(AND(G670&lt;&gt;"Exclude",H670&lt;&gt;"Exclude"),"Maybe",IF(J670&lt;&gt;"",J670,"Pending"))))))</f>
        <v/>
      </c>
      <c r="L670" s="28"/>
      <c r="M670" s="28"/>
      <c r="N670" s="28"/>
      <c r="O670" s="28"/>
      <c r="P670" s="28"/>
    </row>
    <row r="671" customFormat="false" ht="15" hidden="false" customHeight="false" outlineLevel="0" collapsed="false">
      <c r="A671" s="28"/>
      <c r="B671" s="28"/>
      <c r="C671" s="28"/>
      <c r="D671" s="28"/>
      <c r="E671" s="28"/>
      <c r="F671" s="28"/>
      <c r="G671" s="28"/>
      <c r="H671" s="28"/>
      <c r="I671" s="29" t="str">
        <f aca="false">IF(OR(G671="",H671=""),"",IF(G671=H671,"Yes","No"))</f>
        <v/>
      </c>
      <c r="J671" s="28"/>
      <c r="K671" s="29" t="str">
        <f aca="false">IF(E671="Snowballing","n/a",IF(AND(G671="",H671=""),"",IF(OR(G671="",H671=""),"Waiting",IF(G671=H671,G671,IF(AND(G671&lt;&gt;"Exclude",H671&lt;&gt;"Exclude"),"Maybe",IF(J671&lt;&gt;"",J671,"Pending"))))))</f>
        <v/>
      </c>
      <c r="L671" s="28"/>
      <c r="M671" s="28"/>
      <c r="N671" s="28"/>
      <c r="O671" s="28"/>
      <c r="P671" s="28"/>
    </row>
    <row r="672" customFormat="false" ht="15" hidden="false" customHeight="false" outlineLevel="0" collapsed="false">
      <c r="A672" s="28"/>
      <c r="B672" s="28"/>
      <c r="C672" s="28"/>
      <c r="D672" s="28"/>
      <c r="E672" s="28"/>
      <c r="F672" s="28"/>
      <c r="G672" s="28"/>
      <c r="H672" s="28"/>
      <c r="I672" s="29" t="str">
        <f aca="false">IF(OR(G672="",H672=""),"",IF(G672=H672,"Yes","No"))</f>
        <v/>
      </c>
      <c r="J672" s="28"/>
      <c r="K672" s="29" t="str">
        <f aca="false">IF(E672="Snowballing","n/a",IF(AND(G672="",H672=""),"",IF(OR(G672="",H672=""),"Waiting",IF(G672=H672,G672,IF(AND(G672&lt;&gt;"Exclude",H672&lt;&gt;"Exclude"),"Maybe",IF(J672&lt;&gt;"",J672,"Pending"))))))</f>
        <v/>
      </c>
      <c r="L672" s="28"/>
      <c r="M672" s="28"/>
      <c r="N672" s="28"/>
      <c r="O672" s="28"/>
      <c r="P672" s="28"/>
    </row>
    <row r="673" customFormat="false" ht="15" hidden="false" customHeight="false" outlineLevel="0" collapsed="false">
      <c r="A673" s="28"/>
      <c r="B673" s="28"/>
      <c r="C673" s="28"/>
      <c r="D673" s="28"/>
      <c r="E673" s="28"/>
      <c r="F673" s="28"/>
      <c r="G673" s="28"/>
      <c r="H673" s="28"/>
      <c r="I673" s="29" t="str">
        <f aca="false">IF(OR(G673="",H673=""),"",IF(G673=H673,"Yes","No"))</f>
        <v/>
      </c>
      <c r="J673" s="28"/>
      <c r="K673" s="29" t="str">
        <f aca="false">IF(E673="Snowballing","n/a",IF(AND(G673="",H673=""),"",IF(OR(G673="",H673=""),"Waiting",IF(G673=H673,G673,IF(AND(G673&lt;&gt;"Exclude",H673&lt;&gt;"Exclude"),"Maybe",IF(J673&lt;&gt;"",J673,"Pending"))))))</f>
        <v/>
      </c>
      <c r="L673" s="28"/>
      <c r="M673" s="28"/>
      <c r="N673" s="28"/>
      <c r="O673" s="28"/>
      <c r="P673" s="28"/>
    </row>
    <row r="674" customFormat="false" ht="15" hidden="false" customHeight="false" outlineLevel="0" collapsed="false">
      <c r="A674" s="28"/>
      <c r="B674" s="28"/>
      <c r="C674" s="28"/>
      <c r="D674" s="28"/>
      <c r="E674" s="28"/>
      <c r="F674" s="28"/>
      <c r="G674" s="28"/>
      <c r="H674" s="28"/>
      <c r="I674" s="29" t="str">
        <f aca="false">IF(OR(G674="",H674=""),"",IF(G674=H674,"Yes","No"))</f>
        <v/>
      </c>
      <c r="J674" s="28"/>
      <c r="K674" s="29" t="str">
        <f aca="false">IF(E674="Snowballing","n/a",IF(AND(G674="",H674=""),"",IF(OR(G674="",H674=""),"Waiting",IF(G674=H674,G674,IF(AND(G674&lt;&gt;"Exclude",H674&lt;&gt;"Exclude"),"Maybe",IF(J674&lt;&gt;"",J674,"Pending"))))))</f>
        <v/>
      </c>
      <c r="L674" s="28"/>
      <c r="M674" s="28"/>
      <c r="N674" s="28"/>
      <c r="O674" s="28"/>
      <c r="P674" s="28"/>
    </row>
    <row r="675" customFormat="false" ht="15" hidden="false" customHeight="false" outlineLevel="0" collapsed="false">
      <c r="A675" s="28"/>
      <c r="B675" s="28"/>
      <c r="C675" s="28"/>
      <c r="D675" s="28"/>
      <c r="E675" s="28"/>
      <c r="F675" s="28"/>
      <c r="G675" s="28"/>
      <c r="H675" s="28"/>
      <c r="I675" s="29" t="str">
        <f aca="false">IF(OR(G675="",H675=""),"",IF(G675=H675,"Yes","No"))</f>
        <v/>
      </c>
      <c r="J675" s="28"/>
      <c r="K675" s="29" t="str">
        <f aca="false">IF(E675="Snowballing","n/a",IF(AND(G675="",H675=""),"",IF(OR(G675="",H675=""),"Waiting",IF(G675=H675,G675,IF(AND(G675&lt;&gt;"Exclude",H675&lt;&gt;"Exclude"),"Maybe",IF(J675&lt;&gt;"",J675,"Pending"))))))</f>
        <v/>
      </c>
      <c r="L675" s="28"/>
      <c r="M675" s="28"/>
      <c r="N675" s="28"/>
      <c r="O675" s="28"/>
      <c r="P675" s="28"/>
    </row>
    <row r="676" customFormat="false" ht="15" hidden="false" customHeight="false" outlineLevel="0" collapsed="false">
      <c r="A676" s="28"/>
      <c r="B676" s="28"/>
      <c r="C676" s="28"/>
      <c r="D676" s="28"/>
      <c r="E676" s="28"/>
      <c r="F676" s="28"/>
      <c r="G676" s="28"/>
      <c r="H676" s="28"/>
      <c r="I676" s="29" t="str">
        <f aca="false">IF(OR(G676="",H676=""),"",IF(G676=H676,"Yes","No"))</f>
        <v/>
      </c>
      <c r="J676" s="28"/>
      <c r="K676" s="29" t="str">
        <f aca="false">IF(E676="Snowballing","n/a",IF(AND(G676="",H676=""),"",IF(OR(G676="",H676=""),"Waiting",IF(G676=H676,G676,IF(AND(G676&lt;&gt;"Exclude",H676&lt;&gt;"Exclude"),"Maybe",IF(J676&lt;&gt;"",J676,"Pending"))))))</f>
        <v/>
      </c>
      <c r="L676" s="28"/>
      <c r="M676" s="28"/>
      <c r="N676" s="28"/>
      <c r="O676" s="28"/>
      <c r="P676" s="28"/>
    </row>
    <row r="677" customFormat="false" ht="15" hidden="false" customHeight="false" outlineLevel="0" collapsed="false">
      <c r="A677" s="28"/>
      <c r="B677" s="28"/>
      <c r="C677" s="28"/>
      <c r="D677" s="28"/>
      <c r="E677" s="28"/>
      <c r="F677" s="28"/>
      <c r="G677" s="28"/>
      <c r="H677" s="28"/>
      <c r="I677" s="29" t="str">
        <f aca="false">IF(OR(G677="",H677=""),"",IF(G677=H677,"Yes","No"))</f>
        <v/>
      </c>
      <c r="J677" s="28"/>
      <c r="K677" s="29" t="str">
        <f aca="false">IF(E677="Snowballing","n/a",IF(AND(G677="",H677=""),"",IF(OR(G677="",H677=""),"Waiting",IF(G677=H677,G677,IF(AND(G677&lt;&gt;"Exclude",H677&lt;&gt;"Exclude"),"Maybe",IF(J677&lt;&gt;"",J677,"Pending"))))))</f>
        <v/>
      </c>
      <c r="L677" s="28"/>
      <c r="M677" s="28"/>
      <c r="N677" s="28"/>
      <c r="O677" s="28"/>
      <c r="P677" s="28"/>
    </row>
    <row r="678" customFormat="false" ht="15" hidden="false" customHeight="false" outlineLevel="0" collapsed="false">
      <c r="A678" s="28"/>
      <c r="B678" s="28"/>
      <c r="C678" s="28"/>
      <c r="D678" s="28"/>
      <c r="E678" s="28"/>
      <c r="F678" s="28"/>
      <c r="G678" s="28"/>
      <c r="H678" s="28"/>
      <c r="I678" s="29" t="str">
        <f aca="false">IF(OR(G678="",H678=""),"",IF(G678=H678,"Yes","No"))</f>
        <v/>
      </c>
      <c r="J678" s="28"/>
      <c r="K678" s="29" t="str">
        <f aca="false">IF(E678="Snowballing","n/a",IF(AND(G678="",H678=""),"",IF(OR(G678="",H678=""),"Waiting",IF(G678=H678,G678,IF(AND(G678&lt;&gt;"Exclude",H678&lt;&gt;"Exclude"),"Maybe",IF(J678&lt;&gt;"",J678,"Pending"))))))</f>
        <v/>
      </c>
      <c r="L678" s="28"/>
      <c r="M678" s="28"/>
      <c r="N678" s="28"/>
      <c r="O678" s="28"/>
      <c r="P678" s="28"/>
    </row>
    <row r="679" customFormat="false" ht="15" hidden="false" customHeight="false" outlineLevel="0" collapsed="false">
      <c r="A679" s="28"/>
      <c r="B679" s="28"/>
      <c r="C679" s="28"/>
      <c r="D679" s="28"/>
      <c r="E679" s="28"/>
      <c r="F679" s="28"/>
      <c r="G679" s="28"/>
      <c r="H679" s="28"/>
      <c r="I679" s="29" t="str">
        <f aca="false">IF(OR(G679="",H679=""),"",IF(G679=H679,"Yes","No"))</f>
        <v/>
      </c>
      <c r="J679" s="28"/>
      <c r="K679" s="29" t="str">
        <f aca="false">IF(E679="Snowballing","n/a",IF(AND(G679="",H679=""),"",IF(OR(G679="",H679=""),"Waiting",IF(G679=H679,G679,IF(AND(G679&lt;&gt;"Exclude",H679&lt;&gt;"Exclude"),"Maybe",IF(J679&lt;&gt;"",J679,"Pending"))))))</f>
        <v/>
      </c>
      <c r="L679" s="28"/>
      <c r="M679" s="28"/>
      <c r="N679" s="28"/>
      <c r="O679" s="28"/>
      <c r="P679" s="28"/>
    </row>
    <row r="680" customFormat="false" ht="15" hidden="false" customHeight="false" outlineLevel="0" collapsed="false">
      <c r="A680" s="28"/>
      <c r="B680" s="28"/>
      <c r="C680" s="28"/>
      <c r="D680" s="28"/>
      <c r="E680" s="28"/>
      <c r="F680" s="28"/>
      <c r="G680" s="28"/>
      <c r="H680" s="28"/>
      <c r="I680" s="29" t="str">
        <f aca="false">IF(OR(G680="",H680=""),"",IF(G680=H680,"Yes","No"))</f>
        <v/>
      </c>
      <c r="J680" s="28"/>
      <c r="K680" s="29" t="str">
        <f aca="false">IF(E680="Snowballing","n/a",IF(AND(G680="",H680=""),"",IF(OR(G680="",H680=""),"Waiting",IF(G680=H680,G680,IF(AND(G680&lt;&gt;"Exclude",H680&lt;&gt;"Exclude"),"Maybe",IF(J680&lt;&gt;"",J680,"Pending"))))))</f>
        <v/>
      </c>
      <c r="L680" s="28"/>
      <c r="M680" s="28"/>
      <c r="N680" s="28"/>
      <c r="O680" s="28"/>
      <c r="P680" s="28"/>
    </row>
    <row r="681" customFormat="false" ht="15" hidden="false" customHeight="false" outlineLevel="0" collapsed="false">
      <c r="A681" s="28"/>
      <c r="B681" s="28"/>
      <c r="C681" s="28"/>
      <c r="D681" s="28"/>
      <c r="E681" s="28"/>
      <c r="F681" s="28"/>
      <c r="G681" s="28"/>
      <c r="H681" s="28"/>
      <c r="I681" s="29" t="str">
        <f aca="false">IF(OR(G681="",H681=""),"",IF(G681=H681,"Yes","No"))</f>
        <v/>
      </c>
      <c r="J681" s="28"/>
      <c r="K681" s="29" t="str">
        <f aca="false">IF(E681="Snowballing","n/a",IF(AND(G681="",H681=""),"",IF(OR(G681="",H681=""),"Waiting",IF(G681=H681,G681,IF(AND(G681&lt;&gt;"Exclude",H681&lt;&gt;"Exclude"),"Maybe",IF(J681&lt;&gt;"",J681,"Pending"))))))</f>
        <v/>
      </c>
      <c r="L681" s="28"/>
      <c r="M681" s="28"/>
      <c r="N681" s="28"/>
      <c r="O681" s="28"/>
      <c r="P681" s="28"/>
    </row>
    <row r="682" customFormat="false" ht="15" hidden="false" customHeight="false" outlineLevel="0" collapsed="false">
      <c r="A682" s="28"/>
      <c r="B682" s="28"/>
      <c r="C682" s="28"/>
      <c r="D682" s="28"/>
      <c r="E682" s="28"/>
      <c r="F682" s="28"/>
      <c r="G682" s="28"/>
      <c r="H682" s="28"/>
      <c r="I682" s="29" t="str">
        <f aca="false">IF(OR(G682="",H682=""),"",IF(G682=H682,"Yes","No"))</f>
        <v/>
      </c>
      <c r="J682" s="28"/>
      <c r="K682" s="29" t="str">
        <f aca="false">IF(E682="Snowballing","n/a",IF(AND(G682="",H682=""),"",IF(OR(G682="",H682=""),"Waiting",IF(G682=H682,G682,IF(AND(G682&lt;&gt;"Exclude",H682&lt;&gt;"Exclude"),"Maybe",IF(J682&lt;&gt;"",J682,"Pending"))))))</f>
        <v/>
      </c>
      <c r="L682" s="28"/>
      <c r="M682" s="28"/>
      <c r="N682" s="28"/>
      <c r="O682" s="28"/>
      <c r="P682" s="28"/>
    </row>
    <row r="683" customFormat="false" ht="15" hidden="false" customHeight="false" outlineLevel="0" collapsed="false">
      <c r="A683" s="28"/>
      <c r="B683" s="28"/>
      <c r="C683" s="28"/>
      <c r="D683" s="28"/>
      <c r="E683" s="28"/>
      <c r="F683" s="28"/>
      <c r="G683" s="28"/>
      <c r="H683" s="28"/>
      <c r="I683" s="29" t="str">
        <f aca="false">IF(OR(G683="",H683=""),"",IF(G683=H683,"Yes","No"))</f>
        <v/>
      </c>
      <c r="J683" s="28"/>
      <c r="K683" s="29" t="str">
        <f aca="false">IF(E683="Snowballing","n/a",IF(AND(G683="",H683=""),"",IF(OR(G683="",H683=""),"Waiting",IF(G683=H683,G683,IF(AND(G683&lt;&gt;"Exclude",H683&lt;&gt;"Exclude"),"Maybe",IF(J683&lt;&gt;"",J683,"Pending"))))))</f>
        <v/>
      </c>
      <c r="L683" s="28"/>
      <c r="M683" s="28"/>
      <c r="N683" s="28"/>
      <c r="O683" s="28"/>
      <c r="P683" s="28"/>
    </row>
    <row r="684" customFormat="false" ht="15" hidden="false" customHeight="false" outlineLevel="0" collapsed="false">
      <c r="A684" s="28"/>
      <c r="B684" s="28"/>
      <c r="C684" s="28"/>
      <c r="D684" s="28"/>
      <c r="E684" s="28"/>
      <c r="F684" s="28"/>
      <c r="G684" s="28"/>
      <c r="H684" s="28"/>
      <c r="I684" s="29" t="str">
        <f aca="false">IF(OR(G684="",H684=""),"",IF(G684=H684,"Yes","No"))</f>
        <v/>
      </c>
      <c r="J684" s="28"/>
      <c r="K684" s="29" t="str">
        <f aca="false">IF(E684="Snowballing","n/a",IF(AND(G684="",H684=""),"",IF(OR(G684="",H684=""),"Waiting",IF(G684=H684,G684,IF(AND(G684&lt;&gt;"Exclude",H684&lt;&gt;"Exclude"),"Maybe",IF(J684&lt;&gt;"",J684,"Pending"))))))</f>
        <v/>
      </c>
      <c r="L684" s="28"/>
      <c r="M684" s="28"/>
      <c r="N684" s="28"/>
      <c r="O684" s="28"/>
      <c r="P684" s="28"/>
    </row>
    <row r="685" customFormat="false" ht="15" hidden="false" customHeight="false" outlineLevel="0" collapsed="false">
      <c r="A685" s="28"/>
      <c r="B685" s="28"/>
      <c r="C685" s="28"/>
      <c r="D685" s="28"/>
      <c r="E685" s="28"/>
      <c r="F685" s="28"/>
      <c r="G685" s="28"/>
      <c r="H685" s="28"/>
      <c r="I685" s="29" t="str">
        <f aca="false">IF(OR(G685="",H685=""),"",IF(G685=H685,"Yes","No"))</f>
        <v/>
      </c>
      <c r="J685" s="28"/>
      <c r="K685" s="29" t="str">
        <f aca="false">IF(E685="Snowballing","n/a",IF(AND(G685="",H685=""),"",IF(OR(G685="",H685=""),"Waiting",IF(G685=H685,G685,IF(AND(G685&lt;&gt;"Exclude",H685&lt;&gt;"Exclude"),"Maybe",IF(J685&lt;&gt;"",J685,"Pending"))))))</f>
        <v/>
      </c>
      <c r="L685" s="28"/>
      <c r="M685" s="28"/>
      <c r="N685" s="28"/>
      <c r="O685" s="28"/>
      <c r="P685" s="28"/>
    </row>
    <row r="686" customFormat="false" ht="15" hidden="false" customHeight="false" outlineLevel="0" collapsed="false">
      <c r="A686" s="28"/>
      <c r="B686" s="28"/>
      <c r="C686" s="28"/>
      <c r="D686" s="28"/>
      <c r="E686" s="28"/>
      <c r="F686" s="28"/>
      <c r="G686" s="28"/>
      <c r="H686" s="28"/>
      <c r="I686" s="29" t="str">
        <f aca="false">IF(OR(G686="",H686=""),"",IF(G686=H686,"Yes","No"))</f>
        <v/>
      </c>
      <c r="J686" s="28"/>
      <c r="K686" s="29" t="str">
        <f aca="false">IF(E686="Snowballing","n/a",IF(AND(G686="",H686=""),"",IF(OR(G686="",H686=""),"Waiting",IF(G686=H686,G686,IF(AND(G686&lt;&gt;"Exclude",H686&lt;&gt;"Exclude"),"Maybe",IF(J686&lt;&gt;"",J686,"Pending"))))))</f>
        <v/>
      </c>
      <c r="L686" s="28"/>
      <c r="M686" s="28"/>
      <c r="N686" s="28"/>
      <c r="O686" s="28"/>
      <c r="P686" s="28"/>
    </row>
    <row r="687" customFormat="false" ht="15" hidden="false" customHeight="false" outlineLevel="0" collapsed="false">
      <c r="A687" s="28"/>
      <c r="B687" s="28"/>
      <c r="C687" s="28"/>
      <c r="D687" s="28"/>
      <c r="E687" s="28"/>
      <c r="F687" s="28"/>
      <c r="G687" s="28"/>
      <c r="H687" s="28"/>
      <c r="I687" s="29" t="str">
        <f aca="false">IF(OR(G687="",H687=""),"",IF(G687=H687,"Yes","No"))</f>
        <v/>
      </c>
      <c r="J687" s="28"/>
      <c r="K687" s="29" t="str">
        <f aca="false">IF(E687="Snowballing","n/a",IF(AND(G687="",H687=""),"",IF(OR(G687="",H687=""),"Waiting",IF(G687=H687,G687,IF(AND(G687&lt;&gt;"Exclude",H687&lt;&gt;"Exclude"),"Maybe",IF(J687&lt;&gt;"",J687,"Pending"))))))</f>
        <v/>
      </c>
      <c r="L687" s="28"/>
      <c r="M687" s="28"/>
      <c r="N687" s="28"/>
      <c r="O687" s="28"/>
      <c r="P687" s="28"/>
    </row>
    <row r="688" customFormat="false" ht="15" hidden="false" customHeight="false" outlineLevel="0" collapsed="false">
      <c r="A688" s="28"/>
      <c r="B688" s="28"/>
      <c r="C688" s="28"/>
      <c r="D688" s="28"/>
      <c r="E688" s="28"/>
      <c r="F688" s="28"/>
      <c r="G688" s="28"/>
      <c r="H688" s="28"/>
      <c r="I688" s="29" t="str">
        <f aca="false">IF(OR(G688="",H688=""),"",IF(G688=H688,"Yes","No"))</f>
        <v/>
      </c>
      <c r="J688" s="28"/>
      <c r="K688" s="29" t="str">
        <f aca="false">IF(E688="Snowballing","n/a",IF(AND(G688="",H688=""),"",IF(OR(G688="",H688=""),"Waiting",IF(G688=H688,G688,IF(AND(G688&lt;&gt;"Exclude",H688&lt;&gt;"Exclude"),"Maybe",IF(J688&lt;&gt;"",J688,"Pending"))))))</f>
        <v/>
      </c>
      <c r="L688" s="28"/>
      <c r="M688" s="28"/>
      <c r="N688" s="28"/>
      <c r="O688" s="28"/>
      <c r="P688" s="28"/>
    </row>
    <row r="689" customFormat="false" ht="15" hidden="false" customHeight="false" outlineLevel="0" collapsed="false">
      <c r="A689" s="28"/>
      <c r="B689" s="28"/>
      <c r="C689" s="28"/>
      <c r="D689" s="28"/>
      <c r="E689" s="28"/>
      <c r="F689" s="28"/>
      <c r="G689" s="28"/>
      <c r="H689" s="28"/>
      <c r="I689" s="29" t="str">
        <f aca="false">IF(OR(G689="",H689=""),"",IF(G689=H689,"Yes","No"))</f>
        <v/>
      </c>
      <c r="J689" s="28"/>
      <c r="K689" s="29" t="str">
        <f aca="false">IF(E689="Snowballing","n/a",IF(AND(G689="",H689=""),"",IF(OR(G689="",H689=""),"Waiting",IF(G689=H689,G689,IF(AND(G689&lt;&gt;"Exclude",H689&lt;&gt;"Exclude"),"Maybe",IF(J689&lt;&gt;"",J689,"Pending"))))))</f>
        <v/>
      </c>
      <c r="L689" s="28"/>
      <c r="M689" s="28"/>
      <c r="N689" s="28"/>
      <c r="O689" s="28"/>
      <c r="P689" s="28"/>
    </row>
    <row r="690" customFormat="false" ht="15" hidden="false" customHeight="false" outlineLevel="0" collapsed="false">
      <c r="A690" s="28"/>
      <c r="B690" s="28"/>
      <c r="C690" s="28"/>
      <c r="D690" s="28"/>
      <c r="E690" s="28"/>
      <c r="F690" s="28"/>
      <c r="G690" s="28"/>
      <c r="H690" s="28"/>
      <c r="I690" s="29" t="str">
        <f aca="false">IF(OR(G690="",H690=""),"",IF(G690=H690,"Yes","No"))</f>
        <v/>
      </c>
      <c r="J690" s="28"/>
      <c r="K690" s="29" t="str">
        <f aca="false">IF(E690="Snowballing","n/a",IF(AND(G690="",H690=""),"",IF(OR(G690="",H690=""),"Waiting",IF(G690=H690,G690,IF(AND(G690&lt;&gt;"Exclude",H690&lt;&gt;"Exclude"),"Maybe",IF(J690&lt;&gt;"",J690,"Pending"))))))</f>
        <v/>
      </c>
      <c r="L690" s="28"/>
      <c r="M690" s="28"/>
      <c r="N690" s="28"/>
      <c r="O690" s="28"/>
      <c r="P690" s="28"/>
    </row>
    <row r="691" customFormat="false" ht="15" hidden="false" customHeight="false" outlineLevel="0" collapsed="false">
      <c r="A691" s="28"/>
      <c r="B691" s="28"/>
      <c r="C691" s="28"/>
      <c r="D691" s="28"/>
      <c r="E691" s="28"/>
      <c r="F691" s="28"/>
      <c r="G691" s="28"/>
      <c r="H691" s="28"/>
      <c r="I691" s="29" t="str">
        <f aca="false">IF(OR(G691="",H691=""),"",IF(G691=H691,"Yes","No"))</f>
        <v/>
      </c>
      <c r="J691" s="28"/>
      <c r="K691" s="29" t="str">
        <f aca="false">IF(E691="Snowballing","n/a",IF(AND(G691="",H691=""),"",IF(OR(G691="",H691=""),"Waiting",IF(G691=H691,G691,IF(AND(G691&lt;&gt;"Exclude",H691&lt;&gt;"Exclude"),"Maybe",IF(J691&lt;&gt;"",J691,"Pending"))))))</f>
        <v/>
      </c>
      <c r="L691" s="28"/>
      <c r="M691" s="28"/>
      <c r="N691" s="28"/>
      <c r="O691" s="28"/>
      <c r="P691" s="28"/>
    </row>
    <row r="692" customFormat="false" ht="15" hidden="false" customHeight="false" outlineLevel="0" collapsed="false">
      <c r="A692" s="28"/>
      <c r="B692" s="28"/>
      <c r="C692" s="28"/>
      <c r="D692" s="28"/>
      <c r="E692" s="28"/>
      <c r="F692" s="28"/>
      <c r="G692" s="28"/>
      <c r="H692" s="28"/>
      <c r="I692" s="29" t="str">
        <f aca="false">IF(OR(G692="",H692=""),"",IF(G692=H692,"Yes","No"))</f>
        <v/>
      </c>
      <c r="J692" s="28"/>
      <c r="K692" s="29" t="str">
        <f aca="false">IF(E692="Snowballing","n/a",IF(AND(G692="",H692=""),"",IF(OR(G692="",H692=""),"Waiting",IF(G692=H692,G692,IF(AND(G692&lt;&gt;"Exclude",H692&lt;&gt;"Exclude"),"Maybe",IF(J692&lt;&gt;"",J692,"Pending"))))))</f>
        <v/>
      </c>
      <c r="L692" s="28"/>
      <c r="M692" s="28"/>
      <c r="N692" s="28"/>
      <c r="O692" s="28"/>
      <c r="P692" s="28"/>
    </row>
    <row r="693" customFormat="false" ht="15" hidden="false" customHeight="false" outlineLevel="0" collapsed="false">
      <c r="A693" s="28"/>
      <c r="B693" s="28"/>
      <c r="C693" s="28"/>
      <c r="D693" s="28"/>
      <c r="E693" s="28"/>
      <c r="F693" s="28"/>
      <c r="G693" s="28"/>
      <c r="H693" s="28"/>
      <c r="I693" s="29" t="str">
        <f aca="false">IF(OR(G693="",H693=""),"",IF(G693=H693,"Yes","No"))</f>
        <v/>
      </c>
      <c r="J693" s="28"/>
      <c r="K693" s="29" t="str">
        <f aca="false">IF(E693="Snowballing","n/a",IF(AND(G693="",H693=""),"",IF(OR(G693="",H693=""),"Waiting",IF(G693=H693,G693,IF(AND(G693&lt;&gt;"Exclude",H693&lt;&gt;"Exclude"),"Maybe",IF(J693&lt;&gt;"",J693,"Pending"))))))</f>
        <v/>
      </c>
      <c r="L693" s="28"/>
      <c r="M693" s="28"/>
      <c r="N693" s="28"/>
      <c r="O693" s="28"/>
      <c r="P693" s="28"/>
    </row>
    <row r="694" customFormat="false" ht="15" hidden="false" customHeight="false" outlineLevel="0" collapsed="false">
      <c r="A694" s="28"/>
      <c r="B694" s="28"/>
      <c r="C694" s="28"/>
      <c r="D694" s="28"/>
      <c r="E694" s="28"/>
      <c r="F694" s="28"/>
      <c r="G694" s="28"/>
      <c r="H694" s="28"/>
      <c r="I694" s="29" t="str">
        <f aca="false">IF(OR(G694="",H694=""),"",IF(G694=H694,"Yes","No"))</f>
        <v/>
      </c>
      <c r="J694" s="28"/>
      <c r="K694" s="29" t="str">
        <f aca="false">IF(E694="Snowballing","n/a",IF(AND(G694="",H694=""),"",IF(OR(G694="",H694=""),"Waiting",IF(G694=H694,G694,IF(AND(G694&lt;&gt;"Exclude",H694&lt;&gt;"Exclude"),"Maybe",IF(J694&lt;&gt;"",J694,"Pending"))))))</f>
        <v/>
      </c>
      <c r="L694" s="28"/>
      <c r="M694" s="28"/>
      <c r="N694" s="28"/>
      <c r="O694" s="28"/>
      <c r="P694" s="28"/>
    </row>
    <row r="695" customFormat="false" ht="15" hidden="false" customHeight="false" outlineLevel="0" collapsed="false">
      <c r="A695" s="28"/>
      <c r="B695" s="28"/>
      <c r="C695" s="28"/>
      <c r="D695" s="28"/>
      <c r="E695" s="28"/>
      <c r="F695" s="28"/>
      <c r="G695" s="28"/>
      <c r="H695" s="28"/>
      <c r="I695" s="29" t="str">
        <f aca="false">IF(OR(G695="",H695=""),"",IF(G695=H695,"Yes","No"))</f>
        <v/>
      </c>
      <c r="J695" s="28"/>
      <c r="K695" s="29" t="str">
        <f aca="false">IF(E695="Snowballing","n/a",IF(AND(G695="",H695=""),"",IF(OR(G695="",H695=""),"Waiting",IF(G695=H695,G695,IF(AND(G695&lt;&gt;"Exclude",H695&lt;&gt;"Exclude"),"Maybe",IF(J695&lt;&gt;"",J695,"Pending"))))))</f>
        <v/>
      </c>
      <c r="L695" s="28"/>
      <c r="M695" s="28"/>
      <c r="N695" s="28"/>
      <c r="O695" s="28"/>
      <c r="P695" s="28"/>
    </row>
    <row r="696" customFormat="false" ht="15" hidden="false" customHeight="false" outlineLevel="0" collapsed="false">
      <c r="A696" s="28"/>
      <c r="B696" s="28"/>
      <c r="C696" s="28"/>
      <c r="D696" s="28"/>
      <c r="E696" s="28"/>
      <c r="F696" s="28"/>
      <c r="G696" s="28"/>
      <c r="H696" s="28"/>
      <c r="I696" s="29" t="str">
        <f aca="false">IF(OR(G696="",H696=""),"",IF(G696=H696,"Yes","No"))</f>
        <v/>
      </c>
      <c r="J696" s="28"/>
      <c r="K696" s="29" t="str">
        <f aca="false">IF(E696="Snowballing","n/a",IF(AND(G696="",H696=""),"",IF(OR(G696="",H696=""),"Waiting",IF(G696=H696,G696,IF(AND(G696&lt;&gt;"Exclude",H696&lt;&gt;"Exclude"),"Maybe",IF(J696&lt;&gt;"",J696,"Pending"))))))</f>
        <v/>
      </c>
      <c r="L696" s="28"/>
      <c r="M696" s="28"/>
      <c r="N696" s="28"/>
      <c r="O696" s="28"/>
      <c r="P696" s="28"/>
    </row>
    <row r="697" customFormat="false" ht="15" hidden="false" customHeight="false" outlineLevel="0" collapsed="false">
      <c r="A697" s="28"/>
      <c r="B697" s="28"/>
      <c r="C697" s="28"/>
      <c r="D697" s="28"/>
      <c r="E697" s="28"/>
      <c r="F697" s="28"/>
      <c r="G697" s="28"/>
      <c r="H697" s="28"/>
      <c r="I697" s="29" t="str">
        <f aca="false">IF(OR(G697="",H697=""),"",IF(G697=H697,"Yes","No"))</f>
        <v/>
      </c>
      <c r="J697" s="28"/>
      <c r="K697" s="29" t="str">
        <f aca="false">IF(E697="Snowballing","n/a",IF(AND(G697="",H697=""),"",IF(OR(G697="",H697=""),"Waiting",IF(G697=H697,G697,IF(AND(G697&lt;&gt;"Exclude",H697&lt;&gt;"Exclude"),"Maybe",IF(J697&lt;&gt;"",J697,"Pending"))))))</f>
        <v/>
      </c>
      <c r="L697" s="28"/>
      <c r="M697" s="28"/>
      <c r="N697" s="28"/>
      <c r="O697" s="28"/>
      <c r="P697" s="28"/>
    </row>
    <row r="698" customFormat="false" ht="15" hidden="false" customHeight="false" outlineLevel="0" collapsed="false">
      <c r="A698" s="28"/>
      <c r="B698" s="28"/>
      <c r="C698" s="28"/>
      <c r="D698" s="28"/>
      <c r="E698" s="28"/>
      <c r="F698" s="28"/>
      <c r="G698" s="28"/>
      <c r="H698" s="28"/>
      <c r="I698" s="29" t="str">
        <f aca="false">IF(OR(G698="",H698=""),"",IF(G698=H698,"Yes","No"))</f>
        <v/>
      </c>
      <c r="J698" s="28"/>
      <c r="K698" s="29" t="str">
        <f aca="false">IF(E698="Snowballing","n/a",IF(AND(G698="",H698=""),"",IF(OR(G698="",H698=""),"Waiting",IF(G698=H698,G698,IF(AND(G698&lt;&gt;"Exclude",H698&lt;&gt;"Exclude"),"Maybe",IF(J698&lt;&gt;"",J698,"Pending"))))))</f>
        <v/>
      </c>
      <c r="L698" s="28"/>
      <c r="M698" s="28"/>
      <c r="N698" s="28"/>
      <c r="O698" s="28"/>
      <c r="P698" s="28"/>
    </row>
    <row r="699" customFormat="false" ht="15" hidden="false" customHeight="false" outlineLevel="0" collapsed="false">
      <c r="A699" s="28"/>
      <c r="B699" s="28"/>
      <c r="C699" s="28"/>
      <c r="D699" s="28"/>
      <c r="E699" s="28"/>
      <c r="F699" s="28"/>
      <c r="G699" s="28"/>
      <c r="H699" s="28"/>
      <c r="I699" s="29" t="str">
        <f aca="false">IF(OR(G699="",H699=""),"",IF(G699=H699,"Yes","No"))</f>
        <v/>
      </c>
      <c r="J699" s="28"/>
      <c r="K699" s="29" t="str">
        <f aca="false">IF(E699="Snowballing","n/a",IF(AND(G699="",H699=""),"",IF(OR(G699="",H699=""),"Waiting",IF(G699=H699,G699,IF(AND(G699&lt;&gt;"Exclude",H699&lt;&gt;"Exclude"),"Maybe",IF(J699&lt;&gt;"",J699,"Pending"))))))</f>
        <v/>
      </c>
      <c r="L699" s="28"/>
      <c r="M699" s="28"/>
      <c r="N699" s="28"/>
      <c r="O699" s="28"/>
      <c r="P699" s="28"/>
    </row>
    <row r="700" customFormat="false" ht="15" hidden="false" customHeight="false" outlineLevel="0" collapsed="false">
      <c r="A700" s="28"/>
      <c r="B700" s="28"/>
      <c r="C700" s="28"/>
      <c r="D700" s="28"/>
      <c r="E700" s="28"/>
      <c r="F700" s="28"/>
      <c r="G700" s="28"/>
      <c r="H700" s="28"/>
      <c r="I700" s="29" t="str">
        <f aca="false">IF(OR(G700="",H700=""),"",IF(G700=H700,"Yes","No"))</f>
        <v/>
      </c>
      <c r="J700" s="28"/>
      <c r="K700" s="29" t="str">
        <f aca="false">IF(E700="Snowballing","n/a",IF(AND(G700="",H700=""),"",IF(OR(G700="",H700=""),"Waiting",IF(G700=H700,G700,IF(AND(G700&lt;&gt;"Exclude",H700&lt;&gt;"Exclude"),"Maybe",IF(J700&lt;&gt;"",J700,"Pending"))))))</f>
        <v/>
      </c>
      <c r="L700" s="28"/>
      <c r="M700" s="28"/>
      <c r="N700" s="28"/>
      <c r="O700" s="28"/>
      <c r="P700" s="28"/>
    </row>
    <row r="701" customFormat="false" ht="15" hidden="false" customHeight="false" outlineLevel="0" collapsed="false">
      <c r="A701" s="28"/>
      <c r="B701" s="28"/>
      <c r="C701" s="28"/>
      <c r="D701" s="28"/>
      <c r="E701" s="28"/>
      <c r="F701" s="28"/>
      <c r="G701" s="28"/>
      <c r="H701" s="28"/>
      <c r="I701" s="29" t="str">
        <f aca="false">IF(OR(G701="",H701=""),"",IF(G701=H701,"Yes","No"))</f>
        <v/>
      </c>
      <c r="J701" s="28"/>
      <c r="K701" s="29" t="str">
        <f aca="false">IF(E701="Snowballing","n/a",IF(AND(G701="",H701=""),"",IF(OR(G701="",H701=""),"Waiting",IF(G701=H701,G701,IF(AND(G701&lt;&gt;"Exclude",H701&lt;&gt;"Exclude"),"Maybe",IF(J701&lt;&gt;"",J701,"Pending"))))))</f>
        <v/>
      </c>
      <c r="L701" s="28"/>
      <c r="M701" s="28"/>
      <c r="N701" s="28"/>
      <c r="O701" s="28"/>
      <c r="P701" s="28"/>
    </row>
    <row r="702" customFormat="false" ht="15" hidden="false" customHeight="false" outlineLevel="0" collapsed="false">
      <c r="A702" s="28"/>
      <c r="B702" s="28"/>
      <c r="C702" s="28"/>
      <c r="D702" s="28"/>
      <c r="E702" s="28"/>
      <c r="F702" s="28"/>
      <c r="G702" s="28"/>
      <c r="H702" s="28"/>
      <c r="I702" s="29" t="str">
        <f aca="false">IF(OR(G702="",H702=""),"",IF(G702=H702,"Yes","No"))</f>
        <v/>
      </c>
      <c r="J702" s="28"/>
      <c r="K702" s="29" t="str">
        <f aca="false">IF(E702="Snowballing","n/a",IF(AND(G702="",H702=""),"",IF(OR(G702="",H702=""),"Waiting",IF(G702=H702,G702,IF(AND(G702&lt;&gt;"Exclude",H702&lt;&gt;"Exclude"),"Maybe",IF(J702&lt;&gt;"",J702,"Pending"))))))</f>
        <v/>
      </c>
      <c r="L702" s="28"/>
      <c r="M702" s="28"/>
      <c r="N702" s="28"/>
      <c r="O702" s="28"/>
      <c r="P702" s="28"/>
    </row>
    <row r="703" customFormat="false" ht="15" hidden="false" customHeight="false" outlineLevel="0" collapsed="false">
      <c r="A703" s="28"/>
      <c r="B703" s="28"/>
      <c r="C703" s="28"/>
      <c r="D703" s="28"/>
      <c r="E703" s="28"/>
      <c r="F703" s="28"/>
      <c r="G703" s="28"/>
      <c r="H703" s="28"/>
      <c r="I703" s="29" t="str">
        <f aca="false">IF(OR(G703="",H703=""),"",IF(G703=H703,"Yes","No"))</f>
        <v/>
      </c>
      <c r="J703" s="28"/>
      <c r="K703" s="29" t="str">
        <f aca="false">IF(E703="Snowballing","n/a",IF(AND(G703="",H703=""),"",IF(OR(G703="",H703=""),"Waiting",IF(G703=H703,G703,IF(AND(G703&lt;&gt;"Exclude",H703&lt;&gt;"Exclude"),"Maybe",IF(J703&lt;&gt;"",J703,"Pending"))))))</f>
        <v/>
      </c>
      <c r="L703" s="28"/>
      <c r="M703" s="28"/>
      <c r="N703" s="28"/>
      <c r="O703" s="28"/>
      <c r="P703" s="28"/>
    </row>
    <row r="704" customFormat="false" ht="15" hidden="false" customHeight="false" outlineLevel="0" collapsed="false">
      <c r="A704" s="28"/>
      <c r="B704" s="28"/>
      <c r="C704" s="28"/>
      <c r="D704" s="28"/>
      <c r="E704" s="28"/>
      <c r="F704" s="28"/>
      <c r="G704" s="28"/>
      <c r="H704" s="28"/>
      <c r="I704" s="29" t="str">
        <f aca="false">IF(OR(G704="",H704=""),"",IF(G704=H704,"Yes","No"))</f>
        <v/>
      </c>
      <c r="J704" s="28"/>
      <c r="K704" s="29" t="str">
        <f aca="false">IF(E704="Snowballing","n/a",IF(AND(G704="",H704=""),"",IF(OR(G704="",H704=""),"Waiting",IF(G704=H704,G704,IF(AND(G704&lt;&gt;"Exclude",H704&lt;&gt;"Exclude"),"Maybe",IF(J704&lt;&gt;"",J704,"Pending"))))))</f>
        <v/>
      </c>
      <c r="L704" s="28"/>
      <c r="M704" s="28"/>
      <c r="N704" s="28"/>
      <c r="O704" s="28"/>
      <c r="P704" s="28"/>
    </row>
    <row r="705" customFormat="false" ht="15" hidden="false" customHeight="false" outlineLevel="0" collapsed="false">
      <c r="A705" s="28"/>
      <c r="B705" s="28"/>
      <c r="C705" s="28"/>
      <c r="D705" s="28"/>
      <c r="E705" s="28"/>
      <c r="F705" s="28"/>
      <c r="G705" s="28"/>
      <c r="H705" s="28"/>
      <c r="I705" s="29" t="str">
        <f aca="false">IF(OR(G705="",H705=""),"",IF(G705=H705,"Yes","No"))</f>
        <v/>
      </c>
      <c r="J705" s="28"/>
      <c r="K705" s="29" t="str">
        <f aca="false">IF(E705="Snowballing","n/a",IF(AND(G705="",H705=""),"",IF(OR(G705="",H705=""),"Waiting",IF(G705=H705,G705,IF(AND(G705&lt;&gt;"Exclude",H705&lt;&gt;"Exclude"),"Maybe",IF(J705&lt;&gt;"",J705,"Pending"))))))</f>
        <v/>
      </c>
      <c r="L705" s="28"/>
      <c r="M705" s="28"/>
      <c r="N705" s="28"/>
      <c r="O705" s="28"/>
      <c r="P705" s="28"/>
    </row>
    <row r="706" customFormat="false" ht="15" hidden="false" customHeight="false" outlineLevel="0" collapsed="false">
      <c r="A706" s="28"/>
      <c r="B706" s="28"/>
      <c r="C706" s="28"/>
      <c r="D706" s="28"/>
      <c r="E706" s="28"/>
      <c r="F706" s="28"/>
      <c r="G706" s="28"/>
      <c r="H706" s="28"/>
      <c r="I706" s="29" t="str">
        <f aca="false">IF(OR(G706="",H706=""),"",IF(G706=H706,"Yes","No"))</f>
        <v/>
      </c>
      <c r="J706" s="28"/>
      <c r="K706" s="29" t="str">
        <f aca="false">IF(E706="Snowballing","n/a",IF(AND(G706="",H706=""),"",IF(OR(G706="",H706=""),"Waiting",IF(G706=H706,G706,IF(AND(G706&lt;&gt;"Exclude",H706&lt;&gt;"Exclude"),"Maybe",IF(J706&lt;&gt;"",J706,"Pending"))))))</f>
        <v/>
      </c>
      <c r="L706" s="28"/>
      <c r="M706" s="28"/>
      <c r="N706" s="28"/>
      <c r="O706" s="28"/>
      <c r="P706" s="28"/>
    </row>
    <row r="707" customFormat="false" ht="15" hidden="false" customHeight="false" outlineLevel="0" collapsed="false">
      <c r="A707" s="28"/>
      <c r="B707" s="28"/>
      <c r="C707" s="28"/>
      <c r="D707" s="28"/>
      <c r="E707" s="28"/>
      <c r="F707" s="28"/>
      <c r="G707" s="28"/>
      <c r="H707" s="28"/>
      <c r="I707" s="29" t="str">
        <f aca="false">IF(OR(G707="",H707=""),"",IF(G707=H707,"Yes","No"))</f>
        <v/>
      </c>
      <c r="J707" s="28"/>
      <c r="K707" s="29" t="str">
        <f aca="false">IF(E707="Snowballing","n/a",IF(AND(G707="",H707=""),"",IF(OR(G707="",H707=""),"Waiting",IF(G707=H707,G707,IF(AND(G707&lt;&gt;"Exclude",H707&lt;&gt;"Exclude"),"Maybe",IF(J707&lt;&gt;"",J707,"Pending"))))))</f>
        <v/>
      </c>
      <c r="L707" s="28"/>
      <c r="M707" s="28"/>
      <c r="N707" s="28"/>
      <c r="O707" s="28"/>
      <c r="P707" s="28"/>
    </row>
    <row r="708" customFormat="false" ht="15" hidden="false" customHeight="false" outlineLevel="0" collapsed="false">
      <c r="A708" s="28"/>
      <c r="B708" s="28"/>
      <c r="C708" s="28"/>
      <c r="D708" s="28"/>
      <c r="E708" s="28"/>
      <c r="F708" s="28"/>
      <c r="G708" s="28"/>
      <c r="H708" s="28"/>
      <c r="I708" s="29" t="str">
        <f aca="false">IF(OR(G708="",H708=""),"",IF(G708=H708,"Yes","No"))</f>
        <v/>
      </c>
      <c r="J708" s="28"/>
      <c r="K708" s="29" t="str">
        <f aca="false">IF(E708="Snowballing","n/a",IF(AND(G708="",H708=""),"",IF(OR(G708="",H708=""),"Waiting",IF(G708=H708,G708,IF(AND(G708&lt;&gt;"Exclude",H708&lt;&gt;"Exclude"),"Maybe",IF(J708&lt;&gt;"",J708,"Pending"))))))</f>
        <v/>
      </c>
      <c r="L708" s="28"/>
      <c r="M708" s="28"/>
      <c r="N708" s="28"/>
      <c r="O708" s="28"/>
      <c r="P708" s="28"/>
    </row>
    <row r="709" customFormat="false" ht="15" hidden="false" customHeight="false" outlineLevel="0" collapsed="false">
      <c r="A709" s="28"/>
      <c r="B709" s="28"/>
      <c r="C709" s="28"/>
      <c r="D709" s="28"/>
      <c r="E709" s="28"/>
      <c r="F709" s="28"/>
      <c r="G709" s="28"/>
      <c r="H709" s="28"/>
      <c r="I709" s="29" t="str">
        <f aca="false">IF(OR(G709="",H709=""),"",IF(G709=H709,"Yes","No"))</f>
        <v/>
      </c>
      <c r="J709" s="28"/>
      <c r="K709" s="29" t="str">
        <f aca="false">IF(E709="Snowballing","n/a",IF(AND(G709="",H709=""),"",IF(OR(G709="",H709=""),"Waiting",IF(G709=H709,G709,IF(AND(G709&lt;&gt;"Exclude",H709&lt;&gt;"Exclude"),"Maybe",IF(J709&lt;&gt;"",J709,"Pending"))))))</f>
        <v/>
      </c>
      <c r="L709" s="28"/>
      <c r="M709" s="28"/>
      <c r="N709" s="28"/>
      <c r="O709" s="28"/>
      <c r="P709" s="28"/>
    </row>
    <row r="710" customFormat="false" ht="15" hidden="false" customHeight="false" outlineLevel="0" collapsed="false">
      <c r="A710" s="28"/>
      <c r="B710" s="28"/>
      <c r="C710" s="28"/>
      <c r="D710" s="28"/>
      <c r="E710" s="28"/>
      <c r="F710" s="28"/>
      <c r="G710" s="28"/>
      <c r="H710" s="28"/>
      <c r="I710" s="29" t="str">
        <f aca="false">IF(OR(G710="",H710=""),"",IF(G710=H710,"Yes","No"))</f>
        <v/>
      </c>
      <c r="J710" s="28"/>
      <c r="K710" s="29" t="str">
        <f aca="false">IF(E710="Snowballing","n/a",IF(AND(G710="",H710=""),"",IF(OR(G710="",H710=""),"Waiting",IF(G710=H710,G710,IF(AND(G710&lt;&gt;"Exclude",H710&lt;&gt;"Exclude"),"Maybe",IF(J710&lt;&gt;"",J710,"Pending"))))))</f>
        <v/>
      </c>
      <c r="L710" s="28"/>
      <c r="M710" s="28"/>
      <c r="N710" s="28"/>
      <c r="O710" s="28"/>
      <c r="P710" s="28"/>
    </row>
    <row r="711" customFormat="false" ht="15" hidden="false" customHeight="false" outlineLevel="0" collapsed="false">
      <c r="A711" s="28"/>
      <c r="B711" s="28"/>
      <c r="C711" s="28"/>
      <c r="D711" s="28"/>
      <c r="E711" s="28"/>
      <c r="F711" s="28"/>
      <c r="G711" s="28"/>
      <c r="H711" s="28"/>
      <c r="I711" s="29" t="str">
        <f aca="false">IF(OR(G711="",H711=""),"",IF(G711=H711,"Yes","No"))</f>
        <v/>
      </c>
      <c r="J711" s="28"/>
      <c r="K711" s="29" t="str">
        <f aca="false">IF(E711="Snowballing","n/a",IF(AND(G711="",H711=""),"",IF(OR(G711="",H711=""),"Waiting",IF(G711=H711,G711,IF(AND(G711&lt;&gt;"Exclude",H711&lt;&gt;"Exclude"),"Maybe",IF(J711&lt;&gt;"",J711,"Pending"))))))</f>
        <v/>
      </c>
      <c r="L711" s="28"/>
      <c r="M711" s="28"/>
      <c r="N711" s="28"/>
      <c r="O711" s="28"/>
      <c r="P711" s="28"/>
    </row>
    <row r="712" customFormat="false" ht="15" hidden="false" customHeight="false" outlineLevel="0" collapsed="false">
      <c r="A712" s="28"/>
      <c r="B712" s="28"/>
      <c r="C712" s="28"/>
      <c r="D712" s="28"/>
      <c r="E712" s="28"/>
      <c r="F712" s="28"/>
      <c r="G712" s="28"/>
      <c r="H712" s="28"/>
      <c r="I712" s="29" t="str">
        <f aca="false">IF(OR(G712="",H712=""),"",IF(G712=H712,"Yes","No"))</f>
        <v/>
      </c>
      <c r="J712" s="28"/>
      <c r="K712" s="29" t="str">
        <f aca="false">IF(E712="Snowballing","n/a",IF(AND(G712="",H712=""),"",IF(OR(G712="",H712=""),"Waiting",IF(G712=H712,G712,IF(AND(G712&lt;&gt;"Exclude",H712&lt;&gt;"Exclude"),"Maybe",IF(J712&lt;&gt;"",J712,"Pending"))))))</f>
        <v/>
      </c>
      <c r="L712" s="28"/>
      <c r="M712" s="28"/>
      <c r="N712" s="28"/>
      <c r="O712" s="28"/>
      <c r="P712" s="28"/>
    </row>
    <row r="713" customFormat="false" ht="15" hidden="false" customHeight="false" outlineLevel="0" collapsed="false">
      <c r="A713" s="28"/>
      <c r="B713" s="28"/>
      <c r="C713" s="28"/>
      <c r="D713" s="28"/>
      <c r="E713" s="28"/>
      <c r="F713" s="28"/>
      <c r="G713" s="28"/>
      <c r="H713" s="28"/>
      <c r="I713" s="29" t="str">
        <f aca="false">IF(OR(G713="",H713=""),"",IF(G713=H713,"Yes","No"))</f>
        <v/>
      </c>
      <c r="J713" s="28"/>
      <c r="K713" s="29" t="str">
        <f aca="false">IF(E713="Snowballing","n/a",IF(AND(G713="",H713=""),"",IF(OR(G713="",H713=""),"Waiting",IF(G713=H713,G713,IF(AND(G713&lt;&gt;"Exclude",H713&lt;&gt;"Exclude"),"Maybe",IF(J713&lt;&gt;"",J713,"Pending"))))))</f>
        <v/>
      </c>
      <c r="L713" s="28"/>
      <c r="M713" s="28"/>
      <c r="N713" s="28"/>
      <c r="O713" s="28"/>
      <c r="P713" s="28"/>
    </row>
    <row r="714" customFormat="false" ht="15" hidden="false" customHeight="false" outlineLevel="0" collapsed="false">
      <c r="A714" s="28"/>
      <c r="B714" s="28"/>
      <c r="C714" s="28"/>
      <c r="D714" s="28"/>
      <c r="E714" s="28"/>
      <c r="F714" s="28"/>
      <c r="G714" s="28"/>
      <c r="H714" s="28"/>
      <c r="I714" s="29" t="str">
        <f aca="false">IF(OR(G714="",H714=""),"",IF(G714=H714,"Yes","No"))</f>
        <v/>
      </c>
      <c r="J714" s="28"/>
      <c r="K714" s="29" t="str">
        <f aca="false">IF(E714="Snowballing","n/a",IF(AND(G714="",H714=""),"",IF(OR(G714="",H714=""),"Waiting",IF(G714=H714,G714,IF(AND(G714&lt;&gt;"Exclude",H714&lt;&gt;"Exclude"),"Maybe",IF(J714&lt;&gt;"",J714,"Pending"))))))</f>
        <v/>
      </c>
      <c r="L714" s="28"/>
      <c r="M714" s="28"/>
      <c r="N714" s="28"/>
      <c r="O714" s="28"/>
      <c r="P714" s="28"/>
    </row>
    <row r="715" customFormat="false" ht="15" hidden="false" customHeight="false" outlineLevel="0" collapsed="false">
      <c r="A715" s="28"/>
      <c r="B715" s="28"/>
      <c r="C715" s="28"/>
      <c r="D715" s="28"/>
      <c r="E715" s="28"/>
      <c r="F715" s="28"/>
      <c r="G715" s="28"/>
      <c r="H715" s="28"/>
      <c r="I715" s="29" t="str">
        <f aca="false">IF(OR(G715="",H715=""),"",IF(G715=H715,"Yes","No"))</f>
        <v/>
      </c>
      <c r="J715" s="28"/>
      <c r="K715" s="29" t="str">
        <f aca="false">IF(E715="Snowballing","n/a",IF(AND(G715="",H715=""),"",IF(OR(G715="",H715=""),"Waiting",IF(G715=H715,G715,IF(AND(G715&lt;&gt;"Exclude",H715&lt;&gt;"Exclude"),"Maybe",IF(J715&lt;&gt;"",J715,"Pending"))))))</f>
        <v/>
      </c>
      <c r="L715" s="28"/>
      <c r="M715" s="28"/>
      <c r="N715" s="28"/>
      <c r="O715" s="28"/>
      <c r="P715" s="28"/>
    </row>
    <row r="716" customFormat="false" ht="15" hidden="false" customHeight="false" outlineLevel="0" collapsed="false">
      <c r="A716" s="28"/>
      <c r="B716" s="28"/>
      <c r="C716" s="28"/>
      <c r="D716" s="28"/>
      <c r="E716" s="28"/>
      <c r="F716" s="28"/>
      <c r="G716" s="28"/>
      <c r="H716" s="28"/>
      <c r="I716" s="29" t="str">
        <f aca="false">IF(OR(G716="",H716=""),"",IF(G716=H716,"Yes","No"))</f>
        <v/>
      </c>
      <c r="J716" s="28"/>
      <c r="K716" s="29" t="str">
        <f aca="false">IF(E716="Snowballing","n/a",IF(AND(G716="",H716=""),"",IF(OR(G716="",H716=""),"Waiting",IF(G716=H716,G716,IF(AND(G716&lt;&gt;"Exclude",H716&lt;&gt;"Exclude"),"Maybe",IF(J716&lt;&gt;"",J716,"Pending"))))))</f>
        <v/>
      </c>
      <c r="L716" s="28"/>
      <c r="M716" s="28"/>
      <c r="N716" s="28"/>
      <c r="O716" s="28"/>
      <c r="P716" s="28"/>
    </row>
    <row r="717" customFormat="false" ht="15" hidden="false" customHeight="false" outlineLevel="0" collapsed="false">
      <c r="A717" s="28"/>
      <c r="B717" s="28"/>
      <c r="C717" s="28"/>
      <c r="D717" s="28"/>
      <c r="E717" s="28"/>
      <c r="F717" s="28"/>
      <c r="G717" s="28"/>
      <c r="H717" s="28"/>
      <c r="I717" s="29" t="str">
        <f aca="false">IF(OR(G717="",H717=""),"",IF(G717=H717,"Yes","No"))</f>
        <v/>
      </c>
      <c r="J717" s="28"/>
      <c r="K717" s="29" t="str">
        <f aca="false">IF(E717="Snowballing","n/a",IF(AND(G717="",H717=""),"",IF(OR(G717="",H717=""),"Waiting",IF(G717=H717,G717,IF(AND(G717&lt;&gt;"Exclude",H717&lt;&gt;"Exclude"),"Maybe",IF(J717&lt;&gt;"",J717,"Pending"))))))</f>
        <v/>
      </c>
      <c r="L717" s="28"/>
      <c r="M717" s="28"/>
      <c r="N717" s="28"/>
      <c r="O717" s="28"/>
      <c r="P717" s="28"/>
    </row>
    <row r="718" customFormat="false" ht="15" hidden="false" customHeight="false" outlineLevel="0" collapsed="false">
      <c r="A718" s="28"/>
      <c r="B718" s="28"/>
      <c r="C718" s="28"/>
      <c r="D718" s="28"/>
      <c r="E718" s="28"/>
      <c r="F718" s="28"/>
      <c r="G718" s="28"/>
      <c r="H718" s="28"/>
      <c r="I718" s="29" t="str">
        <f aca="false">IF(OR(G718="",H718=""),"",IF(G718=H718,"Yes","No"))</f>
        <v/>
      </c>
      <c r="J718" s="28"/>
      <c r="K718" s="29" t="str">
        <f aca="false">IF(E718="Snowballing","n/a",IF(AND(G718="",H718=""),"",IF(OR(G718="",H718=""),"Waiting",IF(G718=H718,G718,IF(AND(G718&lt;&gt;"Exclude",H718&lt;&gt;"Exclude"),"Maybe",IF(J718&lt;&gt;"",J718,"Pending"))))))</f>
        <v/>
      </c>
      <c r="L718" s="28"/>
      <c r="M718" s="28"/>
      <c r="N718" s="28"/>
      <c r="O718" s="28"/>
      <c r="P718" s="28"/>
    </row>
    <row r="719" customFormat="false" ht="15" hidden="false" customHeight="false" outlineLevel="0" collapsed="false">
      <c r="A719" s="28"/>
      <c r="B719" s="28"/>
      <c r="C719" s="28"/>
      <c r="D719" s="28"/>
      <c r="E719" s="28"/>
      <c r="F719" s="28"/>
      <c r="G719" s="28"/>
      <c r="H719" s="28"/>
      <c r="I719" s="29" t="str">
        <f aca="false">IF(OR(G719="",H719=""),"",IF(G719=H719,"Yes","No"))</f>
        <v/>
      </c>
      <c r="J719" s="28"/>
      <c r="K719" s="29" t="str">
        <f aca="false">IF(E719="Snowballing","n/a",IF(AND(G719="",H719=""),"",IF(OR(G719="",H719=""),"Waiting",IF(G719=H719,G719,IF(AND(G719&lt;&gt;"Exclude",H719&lt;&gt;"Exclude"),"Maybe",IF(J719&lt;&gt;"",J719,"Pending"))))))</f>
        <v/>
      </c>
      <c r="L719" s="28"/>
      <c r="M719" s="28"/>
      <c r="N719" s="28"/>
      <c r="O719" s="28"/>
      <c r="P719" s="28"/>
    </row>
    <row r="720" customFormat="false" ht="15" hidden="false" customHeight="false" outlineLevel="0" collapsed="false">
      <c r="A720" s="28"/>
      <c r="B720" s="28"/>
      <c r="C720" s="28"/>
      <c r="D720" s="28"/>
      <c r="E720" s="28"/>
      <c r="F720" s="28"/>
      <c r="G720" s="28"/>
      <c r="H720" s="28"/>
      <c r="I720" s="29" t="str">
        <f aca="false">IF(OR(G720="",H720=""),"",IF(G720=H720,"Yes","No"))</f>
        <v/>
      </c>
      <c r="J720" s="28"/>
      <c r="K720" s="29" t="str">
        <f aca="false">IF(E720="Snowballing","n/a",IF(AND(G720="",H720=""),"",IF(OR(G720="",H720=""),"Waiting",IF(G720=H720,G720,IF(AND(G720&lt;&gt;"Exclude",H720&lt;&gt;"Exclude"),"Maybe",IF(J720&lt;&gt;"",J720,"Pending"))))))</f>
        <v/>
      </c>
      <c r="L720" s="28"/>
      <c r="M720" s="28"/>
      <c r="N720" s="28"/>
      <c r="O720" s="28"/>
      <c r="P720" s="28"/>
    </row>
    <row r="721" customFormat="false" ht="15" hidden="false" customHeight="false" outlineLevel="0" collapsed="false">
      <c r="A721" s="28"/>
      <c r="B721" s="28"/>
      <c r="C721" s="28"/>
      <c r="D721" s="28"/>
      <c r="E721" s="28"/>
      <c r="F721" s="28"/>
      <c r="G721" s="28"/>
      <c r="H721" s="28"/>
      <c r="I721" s="29" t="str">
        <f aca="false">IF(OR(G721="",H721=""),"",IF(G721=H721,"Yes","No"))</f>
        <v/>
      </c>
      <c r="J721" s="28"/>
      <c r="K721" s="29" t="str">
        <f aca="false">IF(E721="Snowballing","n/a",IF(AND(G721="",H721=""),"",IF(OR(G721="",H721=""),"Waiting",IF(G721=H721,G721,IF(AND(G721&lt;&gt;"Exclude",H721&lt;&gt;"Exclude"),"Maybe",IF(J721&lt;&gt;"",J721,"Pending"))))))</f>
        <v/>
      </c>
      <c r="L721" s="28"/>
      <c r="M721" s="28"/>
      <c r="N721" s="28"/>
      <c r="O721" s="28"/>
      <c r="P721" s="28"/>
    </row>
    <row r="722" customFormat="false" ht="15" hidden="false" customHeight="false" outlineLevel="0" collapsed="false">
      <c r="A722" s="28"/>
      <c r="B722" s="28"/>
      <c r="C722" s="28"/>
      <c r="D722" s="28"/>
      <c r="E722" s="28"/>
      <c r="F722" s="28"/>
      <c r="G722" s="28"/>
      <c r="H722" s="28"/>
      <c r="I722" s="29" t="str">
        <f aca="false">IF(OR(G722="",H722=""),"",IF(G722=H722,"Yes","No"))</f>
        <v/>
      </c>
      <c r="J722" s="28"/>
      <c r="K722" s="29" t="str">
        <f aca="false">IF(E722="Snowballing","n/a",IF(AND(G722="",H722=""),"",IF(OR(G722="",H722=""),"Waiting",IF(G722=H722,G722,IF(AND(G722&lt;&gt;"Exclude",H722&lt;&gt;"Exclude"),"Maybe",IF(J722&lt;&gt;"",J722,"Pending"))))))</f>
        <v/>
      </c>
      <c r="L722" s="28"/>
      <c r="M722" s="28"/>
      <c r="N722" s="28"/>
      <c r="O722" s="28"/>
      <c r="P722" s="28"/>
    </row>
    <row r="723" customFormat="false" ht="15" hidden="false" customHeight="false" outlineLevel="0" collapsed="false">
      <c r="A723" s="28"/>
      <c r="B723" s="28"/>
      <c r="C723" s="28"/>
      <c r="D723" s="28"/>
      <c r="E723" s="28"/>
      <c r="F723" s="28"/>
      <c r="G723" s="28"/>
      <c r="H723" s="28"/>
      <c r="I723" s="29" t="str">
        <f aca="false">IF(OR(G723="",H723=""),"",IF(G723=H723,"Yes","No"))</f>
        <v/>
      </c>
      <c r="J723" s="28"/>
      <c r="K723" s="29" t="str">
        <f aca="false">IF(E723="Snowballing","n/a",IF(AND(G723="",H723=""),"",IF(OR(G723="",H723=""),"Waiting",IF(G723=H723,G723,IF(AND(G723&lt;&gt;"Exclude",H723&lt;&gt;"Exclude"),"Maybe",IF(J723&lt;&gt;"",J723,"Pending"))))))</f>
        <v/>
      </c>
      <c r="L723" s="28"/>
      <c r="M723" s="28"/>
      <c r="N723" s="28"/>
      <c r="O723" s="28"/>
      <c r="P723" s="28"/>
    </row>
    <row r="724" customFormat="false" ht="15" hidden="false" customHeight="false" outlineLevel="0" collapsed="false">
      <c r="A724" s="28"/>
      <c r="B724" s="28"/>
      <c r="C724" s="28"/>
      <c r="D724" s="28"/>
      <c r="E724" s="28"/>
      <c r="F724" s="28"/>
      <c r="G724" s="28"/>
      <c r="H724" s="28"/>
      <c r="I724" s="29" t="str">
        <f aca="false">IF(OR(G724="",H724=""),"",IF(G724=H724,"Yes","No"))</f>
        <v/>
      </c>
      <c r="J724" s="28"/>
      <c r="K724" s="29" t="str">
        <f aca="false">IF(E724="Snowballing","n/a",IF(AND(G724="",H724=""),"",IF(OR(G724="",H724=""),"Waiting",IF(G724=H724,G724,IF(AND(G724&lt;&gt;"Exclude",H724&lt;&gt;"Exclude"),"Maybe",IF(J724&lt;&gt;"",J724,"Pending"))))))</f>
        <v/>
      </c>
      <c r="L724" s="28"/>
      <c r="M724" s="28"/>
      <c r="N724" s="28"/>
      <c r="O724" s="28"/>
      <c r="P724" s="28"/>
    </row>
    <row r="725" customFormat="false" ht="15" hidden="false" customHeight="false" outlineLevel="0" collapsed="false">
      <c r="A725" s="28"/>
      <c r="B725" s="28"/>
      <c r="C725" s="28"/>
      <c r="D725" s="28"/>
      <c r="E725" s="28"/>
      <c r="F725" s="28"/>
      <c r="G725" s="28"/>
      <c r="H725" s="28"/>
      <c r="I725" s="29" t="str">
        <f aca="false">IF(OR(G725="",H725=""),"",IF(G725=H725,"Yes","No"))</f>
        <v/>
      </c>
      <c r="J725" s="28"/>
      <c r="K725" s="29" t="str">
        <f aca="false">IF(E725="Snowballing","n/a",IF(AND(G725="",H725=""),"",IF(OR(G725="",H725=""),"Waiting",IF(G725=H725,G725,IF(AND(G725&lt;&gt;"Exclude",H725&lt;&gt;"Exclude"),"Maybe",IF(J725&lt;&gt;"",J725,"Pending"))))))</f>
        <v/>
      </c>
      <c r="L725" s="28"/>
      <c r="M725" s="28"/>
      <c r="N725" s="28"/>
      <c r="O725" s="28"/>
      <c r="P725" s="28"/>
    </row>
    <row r="726" customFormat="false" ht="15" hidden="false" customHeight="false" outlineLevel="0" collapsed="false">
      <c r="A726" s="28"/>
      <c r="B726" s="28"/>
      <c r="C726" s="28"/>
      <c r="D726" s="28"/>
      <c r="E726" s="28"/>
      <c r="F726" s="28"/>
      <c r="G726" s="28"/>
      <c r="H726" s="28"/>
      <c r="I726" s="29" t="str">
        <f aca="false">IF(OR(G726="",H726=""),"",IF(G726=H726,"Yes","No"))</f>
        <v/>
      </c>
      <c r="J726" s="28"/>
      <c r="K726" s="29" t="str">
        <f aca="false">IF(E726="Snowballing","n/a",IF(AND(G726="",H726=""),"",IF(OR(G726="",H726=""),"Waiting",IF(G726=H726,G726,IF(AND(G726&lt;&gt;"Exclude",H726&lt;&gt;"Exclude"),"Maybe",IF(J726&lt;&gt;"",J726,"Pending"))))))</f>
        <v/>
      </c>
      <c r="L726" s="28"/>
      <c r="M726" s="28"/>
      <c r="N726" s="28"/>
      <c r="O726" s="28"/>
      <c r="P726" s="28"/>
    </row>
    <row r="727" customFormat="false" ht="15" hidden="false" customHeight="false" outlineLevel="0" collapsed="false">
      <c r="A727" s="28"/>
      <c r="B727" s="28"/>
      <c r="C727" s="28"/>
      <c r="D727" s="28"/>
      <c r="E727" s="28"/>
      <c r="F727" s="28"/>
      <c r="G727" s="28"/>
      <c r="H727" s="28"/>
      <c r="I727" s="29" t="str">
        <f aca="false">IF(OR(G727="",H727=""),"",IF(G727=H727,"Yes","No"))</f>
        <v/>
      </c>
      <c r="J727" s="28"/>
      <c r="K727" s="29" t="str">
        <f aca="false">IF(E727="Snowballing","n/a",IF(AND(G727="",H727=""),"",IF(OR(G727="",H727=""),"Waiting",IF(G727=H727,G727,IF(AND(G727&lt;&gt;"Exclude",H727&lt;&gt;"Exclude"),"Maybe",IF(J727&lt;&gt;"",J727,"Pending"))))))</f>
        <v/>
      </c>
      <c r="L727" s="28"/>
      <c r="M727" s="28"/>
      <c r="N727" s="28"/>
      <c r="O727" s="28"/>
      <c r="P727" s="28"/>
    </row>
    <row r="728" customFormat="false" ht="15" hidden="false" customHeight="false" outlineLevel="0" collapsed="false">
      <c r="A728" s="28"/>
      <c r="B728" s="28"/>
      <c r="C728" s="28"/>
      <c r="D728" s="28"/>
      <c r="E728" s="28"/>
      <c r="F728" s="28"/>
      <c r="G728" s="28"/>
      <c r="H728" s="28"/>
      <c r="I728" s="29" t="str">
        <f aca="false">IF(OR(G728="",H728=""),"",IF(G728=H728,"Yes","No"))</f>
        <v/>
      </c>
      <c r="J728" s="28"/>
      <c r="K728" s="29" t="str">
        <f aca="false">IF(E728="Snowballing","n/a",IF(AND(G728="",H728=""),"",IF(OR(G728="",H728=""),"Waiting",IF(G728=H728,G728,IF(AND(G728&lt;&gt;"Exclude",H728&lt;&gt;"Exclude"),"Maybe",IF(J728&lt;&gt;"",J728,"Pending"))))))</f>
        <v/>
      </c>
      <c r="L728" s="28"/>
      <c r="M728" s="28"/>
      <c r="N728" s="28"/>
      <c r="O728" s="28"/>
      <c r="P728" s="28"/>
    </row>
    <row r="729" customFormat="false" ht="15" hidden="false" customHeight="false" outlineLevel="0" collapsed="false">
      <c r="A729" s="28"/>
      <c r="B729" s="28"/>
      <c r="C729" s="28"/>
      <c r="D729" s="28"/>
      <c r="E729" s="28"/>
      <c r="F729" s="28"/>
      <c r="G729" s="28"/>
      <c r="H729" s="28"/>
      <c r="I729" s="29" t="str">
        <f aca="false">IF(OR(G729="",H729=""),"",IF(G729=H729,"Yes","No"))</f>
        <v/>
      </c>
      <c r="J729" s="28"/>
      <c r="K729" s="29" t="str">
        <f aca="false">IF(E729="Snowballing","n/a",IF(AND(G729="",H729=""),"",IF(OR(G729="",H729=""),"Waiting",IF(G729=H729,G729,IF(AND(G729&lt;&gt;"Exclude",H729&lt;&gt;"Exclude"),"Maybe",IF(J729&lt;&gt;"",J729,"Pending"))))))</f>
        <v/>
      </c>
      <c r="L729" s="28"/>
      <c r="M729" s="28"/>
      <c r="N729" s="28"/>
      <c r="O729" s="28"/>
      <c r="P729" s="28"/>
    </row>
    <row r="730" customFormat="false" ht="15" hidden="false" customHeight="false" outlineLevel="0" collapsed="false">
      <c r="A730" s="28"/>
      <c r="B730" s="28"/>
      <c r="C730" s="28"/>
      <c r="D730" s="28"/>
      <c r="E730" s="28"/>
      <c r="F730" s="28"/>
      <c r="G730" s="28"/>
      <c r="H730" s="28"/>
      <c r="I730" s="29" t="str">
        <f aca="false">IF(OR(G730="",H730=""),"",IF(G730=H730,"Yes","No"))</f>
        <v/>
      </c>
      <c r="J730" s="28"/>
      <c r="K730" s="29" t="str">
        <f aca="false">IF(E730="Snowballing","n/a",IF(AND(G730="",H730=""),"",IF(OR(G730="",H730=""),"Waiting",IF(G730=H730,G730,IF(AND(G730&lt;&gt;"Exclude",H730&lt;&gt;"Exclude"),"Maybe",IF(J730&lt;&gt;"",J730,"Pending"))))))</f>
        <v/>
      </c>
      <c r="L730" s="28"/>
      <c r="M730" s="28"/>
      <c r="N730" s="28"/>
      <c r="O730" s="28"/>
      <c r="P730" s="28"/>
    </row>
    <row r="731" customFormat="false" ht="15" hidden="false" customHeight="false" outlineLevel="0" collapsed="false">
      <c r="A731" s="28"/>
      <c r="B731" s="28"/>
      <c r="C731" s="28"/>
      <c r="D731" s="28"/>
      <c r="E731" s="28"/>
      <c r="F731" s="28"/>
      <c r="G731" s="28"/>
      <c r="H731" s="28"/>
      <c r="I731" s="29" t="str">
        <f aca="false">IF(OR(G731="",H731=""),"",IF(G731=H731,"Yes","No"))</f>
        <v/>
      </c>
      <c r="J731" s="28"/>
      <c r="K731" s="29" t="str">
        <f aca="false">IF(E731="Snowballing","n/a",IF(AND(G731="",H731=""),"",IF(OR(G731="",H731=""),"Waiting",IF(G731=H731,G731,IF(AND(G731&lt;&gt;"Exclude",H731&lt;&gt;"Exclude"),"Maybe",IF(J731&lt;&gt;"",J731,"Pending"))))))</f>
        <v/>
      </c>
      <c r="L731" s="28"/>
      <c r="M731" s="28"/>
      <c r="N731" s="28"/>
      <c r="O731" s="28"/>
      <c r="P731" s="28"/>
    </row>
    <row r="732" customFormat="false" ht="15" hidden="false" customHeight="false" outlineLevel="0" collapsed="false">
      <c r="A732" s="28"/>
      <c r="B732" s="28"/>
      <c r="C732" s="28"/>
      <c r="D732" s="28"/>
      <c r="E732" s="28"/>
      <c r="F732" s="28"/>
      <c r="G732" s="28"/>
      <c r="H732" s="28"/>
      <c r="I732" s="29" t="str">
        <f aca="false">IF(OR(G732="",H732=""),"",IF(G732=H732,"Yes","No"))</f>
        <v/>
      </c>
      <c r="J732" s="28"/>
      <c r="K732" s="29" t="str">
        <f aca="false">IF(E732="Snowballing","n/a",IF(AND(G732="",H732=""),"",IF(OR(G732="",H732=""),"Waiting",IF(G732=H732,G732,IF(AND(G732&lt;&gt;"Exclude",H732&lt;&gt;"Exclude"),"Maybe",IF(J732&lt;&gt;"",J732,"Pending"))))))</f>
        <v/>
      </c>
      <c r="L732" s="28"/>
      <c r="M732" s="28"/>
      <c r="N732" s="28"/>
      <c r="O732" s="28"/>
      <c r="P732" s="28"/>
    </row>
    <row r="733" customFormat="false" ht="15" hidden="false" customHeight="false" outlineLevel="0" collapsed="false">
      <c r="A733" s="28"/>
      <c r="B733" s="28"/>
      <c r="C733" s="28"/>
      <c r="D733" s="28"/>
      <c r="E733" s="28"/>
      <c r="F733" s="28"/>
      <c r="G733" s="28"/>
      <c r="H733" s="28"/>
      <c r="I733" s="29" t="str">
        <f aca="false">IF(OR(G733="",H733=""),"",IF(G733=H733,"Yes","No"))</f>
        <v/>
      </c>
      <c r="J733" s="28"/>
      <c r="K733" s="29" t="str">
        <f aca="false">IF(E733="Snowballing","n/a",IF(AND(G733="",H733=""),"",IF(OR(G733="",H733=""),"Waiting",IF(G733=H733,G733,IF(AND(G733&lt;&gt;"Exclude",H733&lt;&gt;"Exclude"),"Maybe",IF(J733&lt;&gt;"",J733,"Pending"))))))</f>
        <v/>
      </c>
      <c r="L733" s="28"/>
      <c r="M733" s="28"/>
      <c r="N733" s="28"/>
      <c r="O733" s="28"/>
      <c r="P733" s="28"/>
    </row>
    <row r="734" customFormat="false" ht="15" hidden="false" customHeight="false" outlineLevel="0" collapsed="false">
      <c r="A734" s="28"/>
      <c r="B734" s="28"/>
      <c r="C734" s="28"/>
      <c r="D734" s="28"/>
      <c r="E734" s="28"/>
      <c r="F734" s="28"/>
      <c r="G734" s="28"/>
      <c r="H734" s="28"/>
      <c r="I734" s="29" t="str">
        <f aca="false">IF(OR(G734="",H734=""),"",IF(G734=H734,"Yes","No"))</f>
        <v/>
      </c>
      <c r="J734" s="28"/>
      <c r="K734" s="29" t="str">
        <f aca="false">IF(E734="Snowballing","n/a",IF(AND(G734="",H734=""),"",IF(OR(G734="",H734=""),"Waiting",IF(G734=H734,G734,IF(AND(G734&lt;&gt;"Exclude",H734&lt;&gt;"Exclude"),"Maybe",IF(J734&lt;&gt;"",J734,"Pending"))))))</f>
        <v/>
      </c>
      <c r="L734" s="28"/>
      <c r="M734" s="28"/>
      <c r="N734" s="28"/>
      <c r="O734" s="28"/>
      <c r="P734" s="28"/>
    </row>
    <row r="735" customFormat="false" ht="15" hidden="false" customHeight="false" outlineLevel="0" collapsed="false">
      <c r="A735" s="28"/>
      <c r="B735" s="28"/>
      <c r="C735" s="28"/>
      <c r="D735" s="28"/>
      <c r="E735" s="28"/>
      <c r="F735" s="28"/>
      <c r="G735" s="28"/>
      <c r="H735" s="28"/>
      <c r="I735" s="29" t="str">
        <f aca="false">IF(OR(G735="",H735=""),"",IF(G735=H735,"Yes","No"))</f>
        <v/>
      </c>
      <c r="J735" s="28"/>
      <c r="K735" s="29" t="str">
        <f aca="false">IF(E735="Snowballing","n/a",IF(AND(G735="",H735=""),"",IF(OR(G735="",H735=""),"Waiting",IF(G735=H735,G735,IF(AND(G735&lt;&gt;"Exclude",H735&lt;&gt;"Exclude"),"Maybe",IF(J735&lt;&gt;"",J735,"Pending"))))))</f>
        <v/>
      </c>
      <c r="L735" s="28"/>
      <c r="M735" s="28"/>
      <c r="N735" s="28"/>
      <c r="O735" s="28"/>
      <c r="P735" s="28"/>
    </row>
    <row r="736" customFormat="false" ht="15" hidden="false" customHeight="false" outlineLevel="0" collapsed="false">
      <c r="A736" s="28"/>
      <c r="B736" s="28"/>
      <c r="C736" s="28"/>
      <c r="D736" s="28"/>
      <c r="E736" s="28"/>
      <c r="F736" s="28"/>
      <c r="G736" s="28"/>
      <c r="H736" s="28"/>
      <c r="I736" s="29" t="str">
        <f aca="false">IF(OR(G736="",H736=""),"",IF(G736=H736,"Yes","No"))</f>
        <v/>
      </c>
      <c r="J736" s="28"/>
      <c r="K736" s="29" t="str">
        <f aca="false">IF(E736="Snowballing","n/a",IF(AND(G736="",H736=""),"",IF(OR(G736="",H736=""),"Waiting",IF(G736=H736,G736,IF(AND(G736&lt;&gt;"Exclude",H736&lt;&gt;"Exclude"),"Maybe",IF(J736&lt;&gt;"",J736,"Pending"))))))</f>
        <v/>
      </c>
      <c r="L736" s="28"/>
      <c r="M736" s="28"/>
      <c r="N736" s="28"/>
      <c r="O736" s="28"/>
      <c r="P736" s="28"/>
    </row>
    <row r="737" customFormat="false" ht="15" hidden="false" customHeight="false" outlineLevel="0" collapsed="false">
      <c r="A737" s="28"/>
      <c r="B737" s="28"/>
      <c r="C737" s="28"/>
      <c r="D737" s="28"/>
      <c r="E737" s="28"/>
      <c r="F737" s="28"/>
      <c r="G737" s="28"/>
      <c r="H737" s="28"/>
      <c r="I737" s="29" t="str">
        <f aca="false">IF(OR(G737="",H737=""),"",IF(G737=H737,"Yes","No"))</f>
        <v/>
      </c>
      <c r="J737" s="28"/>
      <c r="K737" s="29" t="str">
        <f aca="false">IF(E737="Snowballing","n/a",IF(AND(G737="",H737=""),"",IF(OR(G737="",H737=""),"Waiting",IF(G737=H737,G737,IF(AND(G737&lt;&gt;"Exclude",H737&lt;&gt;"Exclude"),"Maybe",IF(J737&lt;&gt;"",J737,"Pending"))))))</f>
        <v/>
      </c>
      <c r="L737" s="28"/>
      <c r="M737" s="28"/>
      <c r="N737" s="28"/>
      <c r="O737" s="28"/>
      <c r="P737" s="28"/>
    </row>
    <row r="738" customFormat="false" ht="15" hidden="false" customHeight="false" outlineLevel="0" collapsed="false">
      <c r="A738" s="28"/>
      <c r="B738" s="28"/>
      <c r="C738" s="28"/>
      <c r="D738" s="28"/>
      <c r="E738" s="28"/>
      <c r="F738" s="28"/>
      <c r="G738" s="28"/>
      <c r="H738" s="28"/>
      <c r="I738" s="29" t="str">
        <f aca="false">IF(OR(G738="",H738=""),"",IF(G738=H738,"Yes","No"))</f>
        <v/>
      </c>
      <c r="J738" s="28"/>
      <c r="K738" s="29" t="str">
        <f aca="false">IF(E738="Snowballing","n/a",IF(AND(G738="",H738=""),"",IF(OR(G738="",H738=""),"Waiting",IF(G738=H738,G738,IF(AND(G738&lt;&gt;"Exclude",H738&lt;&gt;"Exclude"),"Maybe",IF(J738&lt;&gt;"",J738,"Pending"))))))</f>
        <v/>
      </c>
      <c r="L738" s="28"/>
      <c r="M738" s="28"/>
      <c r="N738" s="28"/>
      <c r="O738" s="28"/>
      <c r="P738" s="28"/>
    </row>
    <row r="739" customFormat="false" ht="15" hidden="false" customHeight="false" outlineLevel="0" collapsed="false">
      <c r="A739" s="28"/>
      <c r="B739" s="28"/>
      <c r="C739" s="28"/>
      <c r="D739" s="28"/>
      <c r="E739" s="28"/>
      <c r="F739" s="28"/>
      <c r="G739" s="28"/>
      <c r="H739" s="28"/>
      <c r="I739" s="29" t="str">
        <f aca="false">IF(OR(G739="",H739=""),"",IF(G739=H739,"Yes","No"))</f>
        <v/>
      </c>
      <c r="J739" s="28"/>
      <c r="K739" s="29" t="str">
        <f aca="false">IF(E739="Snowballing","n/a",IF(AND(G739="",H739=""),"",IF(OR(G739="",H739=""),"Waiting",IF(G739=H739,G739,IF(AND(G739&lt;&gt;"Exclude",H739&lt;&gt;"Exclude"),"Maybe",IF(J739&lt;&gt;"",J739,"Pending"))))))</f>
        <v/>
      </c>
      <c r="L739" s="28"/>
      <c r="M739" s="28"/>
      <c r="N739" s="28"/>
      <c r="O739" s="28"/>
      <c r="P739" s="28"/>
    </row>
    <row r="740" customFormat="false" ht="15" hidden="false" customHeight="false" outlineLevel="0" collapsed="false">
      <c r="A740" s="28"/>
      <c r="B740" s="28"/>
      <c r="C740" s="28"/>
      <c r="D740" s="28"/>
      <c r="E740" s="28"/>
      <c r="F740" s="28"/>
      <c r="G740" s="28"/>
      <c r="H740" s="28"/>
      <c r="I740" s="29" t="str">
        <f aca="false">IF(OR(G740="",H740=""),"",IF(G740=H740,"Yes","No"))</f>
        <v/>
      </c>
      <c r="J740" s="28"/>
      <c r="K740" s="29" t="str">
        <f aca="false">IF(E740="Snowballing","n/a",IF(AND(G740="",H740=""),"",IF(OR(G740="",H740=""),"Waiting",IF(G740=H740,G740,IF(AND(G740&lt;&gt;"Exclude",H740&lt;&gt;"Exclude"),"Maybe",IF(J740&lt;&gt;"",J740,"Pending"))))))</f>
        <v/>
      </c>
      <c r="L740" s="28"/>
      <c r="M740" s="28"/>
      <c r="N740" s="28"/>
      <c r="O740" s="28"/>
      <c r="P740" s="28"/>
    </row>
    <row r="741" customFormat="false" ht="15" hidden="false" customHeight="false" outlineLevel="0" collapsed="false">
      <c r="A741" s="28"/>
      <c r="B741" s="28"/>
      <c r="C741" s="28"/>
      <c r="D741" s="28"/>
      <c r="E741" s="28"/>
      <c r="F741" s="28"/>
      <c r="G741" s="28"/>
      <c r="H741" s="28"/>
      <c r="I741" s="29" t="str">
        <f aca="false">IF(OR(G741="",H741=""),"",IF(G741=H741,"Yes","No"))</f>
        <v/>
      </c>
      <c r="J741" s="28"/>
      <c r="K741" s="29" t="str">
        <f aca="false">IF(E741="Snowballing","n/a",IF(AND(G741="",H741=""),"",IF(OR(G741="",H741=""),"Waiting",IF(G741=H741,G741,IF(AND(G741&lt;&gt;"Exclude",H741&lt;&gt;"Exclude"),"Maybe",IF(J741&lt;&gt;"",J741,"Pending"))))))</f>
        <v/>
      </c>
      <c r="L741" s="28"/>
      <c r="M741" s="28"/>
      <c r="N741" s="28"/>
      <c r="O741" s="28"/>
      <c r="P741" s="28"/>
    </row>
    <row r="742" customFormat="false" ht="15" hidden="false" customHeight="false" outlineLevel="0" collapsed="false">
      <c r="A742" s="28"/>
      <c r="B742" s="28"/>
      <c r="C742" s="28"/>
      <c r="D742" s="28"/>
      <c r="E742" s="28"/>
      <c r="F742" s="28"/>
      <c r="G742" s="28"/>
      <c r="H742" s="28"/>
      <c r="I742" s="29" t="str">
        <f aca="false">IF(OR(G742="",H742=""),"",IF(G742=H742,"Yes","No"))</f>
        <v/>
      </c>
      <c r="J742" s="28"/>
      <c r="K742" s="29" t="str">
        <f aca="false">IF(E742="Snowballing","n/a",IF(AND(G742="",H742=""),"",IF(OR(G742="",H742=""),"Waiting",IF(G742=H742,G742,IF(AND(G742&lt;&gt;"Exclude",H742&lt;&gt;"Exclude"),"Maybe",IF(J742&lt;&gt;"",J742,"Pending"))))))</f>
        <v/>
      </c>
      <c r="L742" s="28"/>
      <c r="M742" s="28"/>
      <c r="N742" s="28"/>
      <c r="O742" s="28"/>
      <c r="P742" s="28"/>
    </row>
    <row r="743" customFormat="false" ht="15" hidden="false" customHeight="false" outlineLevel="0" collapsed="false">
      <c r="A743" s="28"/>
      <c r="B743" s="28"/>
      <c r="C743" s="28"/>
      <c r="D743" s="28"/>
      <c r="E743" s="28"/>
      <c r="F743" s="28"/>
      <c r="G743" s="28"/>
      <c r="H743" s="28"/>
      <c r="I743" s="29" t="str">
        <f aca="false">IF(OR(G743="",H743=""),"",IF(G743=H743,"Yes","No"))</f>
        <v/>
      </c>
      <c r="J743" s="28"/>
      <c r="K743" s="29" t="str">
        <f aca="false">IF(E743="Snowballing","n/a",IF(AND(G743="",H743=""),"",IF(OR(G743="",H743=""),"Waiting",IF(G743=H743,G743,IF(AND(G743&lt;&gt;"Exclude",H743&lt;&gt;"Exclude"),"Maybe",IF(J743&lt;&gt;"",J743,"Pending"))))))</f>
        <v/>
      </c>
      <c r="L743" s="28"/>
      <c r="M743" s="28"/>
      <c r="N743" s="28"/>
      <c r="O743" s="28"/>
      <c r="P743" s="28"/>
    </row>
    <row r="744" customFormat="false" ht="15" hidden="false" customHeight="false" outlineLevel="0" collapsed="false">
      <c r="A744" s="28"/>
      <c r="B744" s="28"/>
      <c r="C744" s="28"/>
      <c r="D744" s="28"/>
      <c r="E744" s="28"/>
      <c r="F744" s="28"/>
      <c r="G744" s="28"/>
      <c r="H744" s="28"/>
      <c r="I744" s="29" t="str">
        <f aca="false">IF(OR(G744="",H744=""),"",IF(G744=H744,"Yes","No"))</f>
        <v/>
      </c>
      <c r="J744" s="28"/>
      <c r="K744" s="29" t="str">
        <f aca="false">IF(E744="Snowballing","n/a",IF(AND(G744="",H744=""),"",IF(OR(G744="",H744=""),"Waiting",IF(G744=H744,G744,IF(AND(G744&lt;&gt;"Exclude",H744&lt;&gt;"Exclude"),"Maybe",IF(J744&lt;&gt;"",J744,"Pending"))))))</f>
        <v/>
      </c>
      <c r="L744" s="28"/>
      <c r="M744" s="28"/>
      <c r="N744" s="28"/>
      <c r="O744" s="28"/>
      <c r="P744" s="28"/>
    </row>
    <row r="745" customFormat="false" ht="15" hidden="false" customHeight="false" outlineLevel="0" collapsed="false">
      <c r="A745" s="28"/>
      <c r="B745" s="28"/>
      <c r="C745" s="28"/>
      <c r="D745" s="28"/>
      <c r="E745" s="28"/>
      <c r="F745" s="28"/>
      <c r="G745" s="28"/>
      <c r="H745" s="28"/>
      <c r="I745" s="29" t="str">
        <f aca="false">IF(OR(G745="",H745=""),"",IF(G745=H745,"Yes","No"))</f>
        <v/>
      </c>
      <c r="J745" s="28"/>
      <c r="K745" s="29" t="str">
        <f aca="false">IF(E745="Snowballing","n/a",IF(AND(G745="",H745=""),"",IF(OR(G745="",H745=""),"Waiting",IF(G745=H745,G745,IF(AND(G745&lt;&gt;"Exclude",H745&lt;&gt;"Exclude"),"Maybe",IF(J745&lt;&gt;"",J745,"Pending"))))))</f>
        <v/>
      </c>
      <c r="L745" s="28"/>
      <c r="M745" s="28"/>
      <c r="N745" s="28"/>
      <c r="O745" s="28"/>
      <c r="P745" s="28"/>
    </row>
    <row r="746" customFormat="false" ht="15" hidden="false" customHeight="false" outlineLevel="0" collapsed="false">
      <c r="A746" s="28"/>
      <c r="B746" s="28"/>
      <c r="C746" s="28"/>
      <c r="D746" s="28"/>
      <c r="E746" s="28"/>
      <c r="F746" s="28"/>
      <c r="G746" s="28"/>
      <c r="H746" s="28"/>
      <c r="I746" s="29" t="str">
        <f aca="false">IF(OR(G746="",H746=""),"",IF(G746=H746,"Yes","No"))</f>
        <v/>
      </c>
      <c r="J746" s="28"/>
      <c r="K746" s="29" t="str">
        <f aca="false">IF(E746="Snowballing","n/a",IF(AND(G746="",H746=""),"",IF(OR(G746="",H746=""),"Waiting",IF(G746=H746,G746,IF(AND(G746&lt;&gt;"Exclude",H746&lt;&gt;"Exclude"),"Maybe",IF(J746&lt;&gt;"",J746,"Pending"))))))</f>
        <v/>
      </c>
      <c r="L746" s="28"/>
      <c r="M746" s="28"/>
      <c r="N746" s="28"/>
      <c r="O746" s="28"/>
      <c r="P746" s="28"/>
    </row>
    <row r="747" customFormat="false" ht="15" hidden="false" customHeight="false" outlineLevel="0" collapsed="false">
      <c r="A747" s="28"/>
      <c r="B747" s="28"/>
      <c r="C747" s="28"/>
      <c r="D747" s="28"/>
      <c r="E747" s="28"/>
      <c r="F747" s="28"/>
      <c r="G747" s="28"/>
      <c r="H747" s="28"/>
      <c r="I747" s="29" t="str">
        <f aca="false">IF(OR(G747="",H747=""),"",IF(G747=H747,"Yes","No"))</f>
        <v/>
      </c>
      <c r="J747" s="28"/>
      <c r="K747" s="29" t="str">
        <f aca="false">IF(E747="Snowballing","n/a",IF(AND(G747="",H747=""),"",IF(OR(G747="",H747=""),"Waiting",IF(G747=H747,G747,IF(AND(G747&lt;&gt;"Exclude",H747&lt;&gt;"Exclude"),"Maybe",IF(J747&lt;&gt;"",J747,"Pending"))))))</f>
        <v/>
      </c>
      <c r="L747" s="28"/>
      <c r="M747" s="28"/>
      <c r="N747" s="28"/>
      <c r="O747" s="28"/>
      <c r="P747" s="28"/>
    </row>
    <row r="748" customFormat="false" ht="15" hidden="false" customHeight="false" outlineLevel="0" collapsed="false">
      <c r="A748" s="28"/>
      <c r="B748" s="28"/>
      <c r="C748" s="28"/>
      <c r="D748" s="28"/>
      <c r="E748" s="28"/>
      <c r="F748" s="28"/>
      <c r="G748" s="28"/>
      <c r="H748" s="28"/>
      <c r="I748" s="29" t="str">
        <f aca="false">IF(OR(G748="",H748=""),"",IF(G748=H748,"Yes","No"))</f>
        <v/>
      </c>
      <c r="J748" s="28"/>
      <c r="K748" s="29" t="str">
        <f aca="false">IF(E748="Snowballing","n/a",IF(AND(G748="",H748=""),"",IF(OR(G748="",H748=""),"Waiting",IF(G748=H748,G748,IF(AND(G748&lt;&gt;"Exclude",H748&lt;&gt;"Exclude"),"Maybe",IF(J748&lt;&gt;"",J748,"Pending"))))))</f>
        <v/>
      </c>
      <c r="L748" s="28"/>
      <c r="M748" s="28"/>
      <c r="N748" s="28"/>
      <c r="O748" s="28"/>
      <c r="P748" s="28"/>
    </row>
    <row r="749" customFormat="false" ht="15" hidden="false" customHeight="false" outlineLevel="0" collapsed="false">
      <c r="A749" s="28"/>
      <c r="B749" s="28"/>
      <c r="C749" s="28"/>
      <c r="D749" s="28"/>
      <c r="E749" s="28"/>
      <c r="F749" s="28"/>
      <c r="G749" s="28"/>
      <c r="H749" s="28"/>
      <c r="I749" s="29" t="str">
        <f aca="false">IF(OR(G749="",H749=""),"",IF(G749=H749,"Yes","No"))</f>
        <v/>
      </c>
      <c r="J749" s="28"/>
      <c r="K749" s="29" t="str">
        <f aca="false">IF(E749="Snowballing","n/a",IF(AND(G749="",H749=""),"",IF(OR(G749="",H749=""),"Waiting",IF(G749=H749,G749,IF(AND(G749&lt;&gt;"Exclude",H749&lt;&gt;"Exclude"),"Maybe",IF(J749&lt;&gt;"",J749,"Pending"))))))</f>
        <v/>
      </c>
      <c r="L749" s="28"/>
      <c r="M749" s="28"/>
      <c r="N749" s="28"/>
      <c r="O749" s="28"/>
      <c r="P749" s="28"/>
    </row>
    <row r="750" customFormat="false" ht="15" hidden="false" customHeight="false" outlineLevel="0" collapsed="false">
      <c r="A750" s="28"/>
      <c r="B750" s="28"/>
      <c r="C750" s="28"/>
      <c r="D750" s="28"/>
      <c r="E750" s="28"/>
      <c r="F750" s="28"/>
      <c r="G750" s="28"/>
      <c r="H750" s="28"/>
      <c r="I750" s="29" t="str">
        <f aca="false">IF(OR(G750="",H750=""),"",IF(G750=H750,"Yes","No"))</f>
        <v/>
      </c>
      <c r="J750" s="28"/>
      <c r="K750" s="29" t="str">
        <f aca="false">IF(E750="Snowballing","n/a",IF(AND(G750="",H750=""),"",IF(OR(G750="",H750=""),"Waiting",IF(G750=H750,G750,IF(AND(G750&lt;&gt;"Exclude",H750&lt;&gt;"Exclude"),"Maybe",IF(J750&lt;&gt;"",J750,"Pending"))))))</f>
        <v/>
      </c>
      <c r="L750" s="28"/>
      <c r="M750" s="28"/>
      <c r="N750" s="28"/>
      <c r="O750" s="28"/>
      <c r="P750" s="28"/>
    </row>
    <row r="751" customFormat="false" ht="15" hidden="false" customHeight="false" outlineLevel="0" collapsed="false">
      <c r="A751" s="28"/>
      <c r="B751" s="28"/>
      <c r="C751" s="28"/>
      <c r="D751" s="28"/>
      <c r="E751" s="28"/>
      <c r="F751" s="28"/>
      <c r="G751" s="28"/>
      <c r="H751" s="28"/>
      <c r="I751" s="29" t="str">
        <f aca="false">IF(OR(G751="",H751=""),"",IF(G751=H751,"Yes","No"))</f>
        <v/>
      </c>
      <c r="J751" s="28"/>
      <c r="K751" s="29" t="str">
        <f aca="false">IF(E751="Snowballing","n/a",IF(AND(G751="",H751=""),"",IF(OR(G751="",H751=""),"Waiting",IF(G751=H751,G751,IF(AND(G751&lt;&gt;"Exclude",H751&lt;&gt;"Exclude"),"Maybe",IF(J751&lt;&gt;"",J751,"Pending"))))))</f>
        <v/>
      </c>
      <c r="L751" s="28"/>
      <c r="M751" s="28"/>
      <c r="N751" s="28"/>
      <c r="O751" s="28"/>
      <c r="P751" s="28"/>
    </row>
    <row r="752" customFormat="false" ht="15" hidden="false" customHeight="false" outlineLevel="0" collapsed="false">
      <c r="A752" s="28"/>
      <c r="B752" s="28"/>
      <c r="C752" s="28"/>
      <c r="D752" s="28"/>
      <c r="E752" s="28"/>
      <c r="F752" s="28"/>
      <c r="G752" s="28"/>
      <c r="H752" s="28"/>
      <c r="I752" s="29" t="str">
        <f aca="false">IF(OR(G752="",H752=""),"",IF(G752=H752,"Yes","No"))</f>
        <v/>
      </c>
      <c r="J752" s="28"/>
      <c r="K752" s="29" t="str">
        <f aca="false">IF(E752="Snowballing","n/a",IF(AND(G752="",H752=""),"",IF(OR(G752="",H752=""),"Waiting",IF(G752=H752,G752,IF(AND(G752&lt;&gt;"Exclude",H752&lt;&gt;"Exclude"),"Maybe",IF(J752&lt;&gt;"",J752,"Pending"))))))</f>
        <v/>
      </c>
      <c r="L752" s="28"/>
      <c r="M752" s="28"/>
      <c r="N752" s="28"/>
      <c r="O752" s="28"/>
      <c r="P752" s="28"/>
    </row>
    <row r="753" customFormat="false" ht="15" hidden="false" customHeight="false" outlineLevel="0" collapsed="false">
      <c r="A753" s="28"/>
      <c r="B753" s="28"/>
      <c r="C753" s="28"/>
      <c r="D753" s="28"/>
      <c r="E753" s="28"/>
      <c r="F753" s="28"/>
      <c r="G753" s="28"/>
      <c r="H753" s="28"/>
      <c r="I753" s="29" t="str">
        <f aca="false">IF(OR(G753="",H753=""),"",IF(G753=H753,"Yes","No"))</f>
        <v/>
      </c>
      <c r="J753" s="28"/>
      <c r="K753" s="29" t="str">
        <f aca="false">IF(E753="Snowballing","n/a",IF(AND(G753="",H753=""),"",IF(OR(G753="",H753=""),"Waiting",IF(G753=H753,G753,IF(AND(G753&lt;&gt;"Exclude",H753&lt;&gt;"Exclude"),"Maybe",IF(J753&lt;&gt;"",J753,"Pending"))))))</f>
        <v/>
      </c>
      <c r="L753" s="28"/>
      <c r="M753" s="28"/>
      <c r="N753" s="28"/>
      <c r="O753" s="28"/>
      <c r="P753" s="28"/>
    </row>
    <row r="754" customFormat="false" ht="15" hidden="false" customHeight="false" outlineLevel="0" collapsed="false">
      <c r="A754" s="28"/>
      <c r="B754" s="28"/>
      <c r="C754" s="28"/>
      <c r="D754" s="28"/>
      <c r="E754" s="28"/>
      <c r="F754" s="28"/>
      <c r="G754" s="28"/>
      <c r="H754" s="28"/>
      <c r="I754" s="29" t="str">
        <f aca="false">IF(OR(G754="",H754=""),"",IF(G754=H754,"Yes","No"))</f>
        <v/>
      </c>
      <c r="J754" s="28"/>
      <c r="K754" s="29" t="str">
        <f aca="false">IF(E754="Snowballing","n/a",IF(AND(G754="",H754=""),"",IF(OR(G754="",H754=""),"Waiting",IF(G754=H754,G754,IF(AND(G754&lt;&gt;"Exclude",H754&lt;&gt;"Exclude"),"Maybe",IF(J754&lt;&gt;"",J754,"Pending"))))))</f>
        <v/>
      </c>
      <c r="L754" s="28"/>
      <c r="M754" s="28"/>
      <c r="N754" s="28"/>
      <c r="O754" s="28"/>
      <c r="P754" s="28"/>
    </row>
    <row r="755" customFormat="false" ht="15" hidden="false" customHeight="false" outlineLevel="0" collapsed="false">
      <c r="A755" s="28"/>
      <c r="B755" s="28"/>
      <c r="C755" s="28"/>
      <c r="D755" s="28"/>
      <c r="E755" s="28"/>
      <c r="F755" s="28"/>
      <c r="G755" s="28"/>
      <c r="H755" s="28"/>
      <c r="I755" s="29" t="str">
        <f aca="false">IF(OR(G755="",H755=""),"",IF(G755=H755,"Yes","No"))</f>
        <v/>
      </c>
      <c r="J755" s="28"/>
      <c r="K755" s="29" t="str">
        <f aca="false">IF(E755="Snowballing","n/a",IF(AND(G755="",H755=""),"",IF(OR(G755="",H755=""),"Waiting",IF(G755=H755,G755,IF(AND(G755&lt;&gt;"Exclude",H755&lt;&gt;"Exclude"),"Maybe",IF(J755&lt;&gt;"",J755,"Pending"))))))</f>
        <v/>
      </c>
      <c r="L755" s="28"/>
      <c r="M755" s="28"/>
      <c r="N755" s="28"/>
      <c r="O755" s="28"/>
      <c r="P755" s="28"/>
    </row>
    <row r="756" customFormat="false" ht="15" hidden="false" customHeight="false" outlineLevel="0" collapsed="false">
      <c r="A756" s="28"/>
      <c r="B756" s="28"/>
      <c r="C756" s="28"/>
      <c r="D756" s="28"/>
      <c r="E756" s="28"/>
      <c r="F756" s="28"/>
      <c r="G756" s="28"/>
      <c r="H756" s="28"/>
      <c r="I756" s="29" t="str">
        <f aca="false">IF(OR(G756="",H756=""),"",IF(G756=H756,"Yes","No"))</f>
        <v/>
      </c>
      <c r="J756" s="28"/>
      <c r="K756" s="29" t="str">
        <f aca="false">IF(E756="Snowballing","n/a",IF(AND(G756="",H756=""),"",IF(OR(G756="",H756=""),"Waiting",IF(G756=H756,G756,IF(AND(G756&lt;&gt;"Exclude",H756&lt;&gt;"Exclude"),"Maybe",IF(J756&lt;&gt;"",J756,"Pending"))))))</f>
        <v/>
      </c>
      <c r="L756" s="28"/>
      <c r="M756" s="28"/>
      <c r="N756" s="28"/>
      <c r="O756" s="28"/>
      <c r="P756" s="28"/>
    </row>
    <row r="757" customFormat="false" ht="15" hidden="false" customHeight="false" outlineLevel="0" collapsed="false">
      <c r="A757" s="28"/>
      <c r="B757" s="28"/>
      <c r="C757" s="28"/>
      <c r="D757" s="28"/>
      <c r="E757" s="28"/>
      <c r="F757" s="28"/>
      <c r="G757" s="28"/>
      <c r="H757" s="28"/>
      <c r="I757" s="29" t="str">
        <f aca="false">IF(OR(G757="",H757=""),"",IF(G757=H757,"Yes","No"))</f>
        <v/>
      </c>
      <c r="J757" s="28"/>
      <c r="K757" s="29" t="str">
        <f aca="false">IF(E757="Snowballing","n/a",IF(AND(G757="",H757=""),"",IF(OR(G757="",H757=""),"Waiting",IF(G757=H757,G757,IF(AND(G757&lt;&gt;"Exclude",H757&lt;&gt;"Exclude"),"Maybe",IF(J757&lt;&gt;"",J757,"Pending"))))))</f>
        <v/>
      </c>
      <c r="L757" s="28"/>
      <c r="M757" s="28"/>
      <c r="N757" s="28"/>
      <c r="O757" s="28"/>
      <c r="P757" s="28"/>
    </row>
    <row r="758" customFormat="false" ht="15" hidden="false" customHeight="false" outlineLevel="0" collapsed="false">
      <c r="A758" s="28"/>
      <c r="B758" s="28"/>
      <c r="C758" s="28"/>
      <c r="D758" s="28"/>
      <c r="E758" s="28"/>
      <c r="F758" s="28"/>
      <c r="G758" s="28"/>
      <c r="H758" s="28"/>
      <c r="I758" s="29" t="str">
        <f aca="false">IF(OR(G758="",H758=""),"",IF(G758=H758,"Yes","No"))</f>
        <v/>
      </c>
      <c r="J758" s="28"/>
      <c r="K758" s="29" t="str">
        <f aca="false">IF(E758="Snowballing","n/a",IF(AND(G758="",H758=""),"",IF(OR(G758="",H758=""),"Waiting",IF(G758=H758,G758,IF(AND(G758&lt;&gt;"Exclude",H758&lt;&gt;"Exclude"),"Maybe",IF(J758&lt;&gt;"",J758,"Pending"))))))</f>
        <v/>
      </c>
      <c r="L758" s="28"/>
      <c r="M758" s="28"/>
      <c r="N758" s="28"/>
      <c r="O758" s="28"/>
      <c r="P758" s="28"/>
    </row>
    <row r="759" customFormat="false" ht="15" hidden="false" customHeight="false" outlineLevel="0" collapsed="false">
      <c r="A759" s="28"/>
      <c r="B759" s="28"/>
      <c r="C759" s="28"/>
      <c r="D759" s="28"/>
      <c r="E759" s="28"/>
      <c r="F759" s="28"/>
      <c r="G759" s="28"/>
      <c r="H759" s="28"/>
      <c r="I759" s="29" t="str">
        <f aca="false">IF(OR(G759="",H759=""),"",IF(G759=H759,"Yes","No"))</f>
        <v/>
      </c>
      <c r="J759" s="28"/>
      <c r="K759" s="29" t="str">
        <f aca="false">IF(E759="Snowballing","n/a",IF(AND(G759="",H759=""),"",IF(OR(G759="",H759=""),"Waiting",IF(G759=H759,G759,IF(AND(G759&lt;&gt;"Exclude",H759&lt;&gt;"Exclude"),"Maybe",IF(J759&lt;&gt;"",J759,"Pending"))))))</f>
        <v/>
      </c>
      <c r="L759" s="28"/>
      <c r="M759" s="28"/>
      <c r="N759" s="28"/>
      <c r="O759" s="28"/>
      <c r="P759" s="28"/>
    </row>
    <row r="760" customFormat="false" ht="15" hidden="false" customHeight="false" outlineLevel="0" collapsed="false">
      <c r="A760" s="28"/>
      <c r="B760" s="28"/>
      <c r="C760" s="28"/>
      <c r="D760" s="28"/>
      <c r="E760" s="28"/>
      <c r="F760" s="28"/>
      <c r="G760" s="28"/>
      <c r="H760" s="28"/>
      <c r="I760" s="29" t="str">
        <f aca="false">IF(OR(G760="",H760=""),"",IF(G760=H760,"Yes","No"))</f>
        <v/>
      </c>
      <c r="J760" s="28"/>
      <c r="K760" s="29" t="str">
        <f aca="false">IF(E760="Snowballing","n/a",IF(AND(G760="",H760=""),"",IF(OR(G760="",H760=""),"Waiting",IF(G760=H760,G760,IF(AND(G760&lt;&gt;"Exclude",H760&lt;&gt;"Exclude"),"Maybe",IF(J760&lt;&gt;"",J760,"Pending"))))))</f>
        <v/>
      </c>
      <c r="L760" s="28"/>
      <c r="M760" s="28"/>
      <c r="N760" s="28"/>
      <c r="O760" s="28"/>
      <c r="P760" s="28"/>
    </row>
    <row r="761" customFormat="false" ht="15" hidden="false" customHeight="false" outlineLevel="0" collapsed="false">
      <c r="A761" s="28"/>
      <c r="B761" s="28"/>
      <c r="C761" s="28"/>
      <c r="D761" s="28"/>
      <c r="E761" s="28"/>
      <c r="F761" s="28"/>
      <c r="G761" s="28"/>
      <c r="H761" s="28"/>
      <c r="I761" s="29" t="str">
        <f aca="false">IF(OR(G761="",H761=""),"",IF(G761=H761,"Yes","No"))</f>
        <v/>
      </c>
      <c r="J761" s="28"/>
      <c r="K761" s="29" t="str">
        <f aca="false">IF(E761="Snowballing","n/a",IF(AND(G761="",H761=""),"",IF(OR(G761="",H761=""),"Waiting",IF(G761=H761,G761,IF(AND(G761&lt;&gt;"Exclude",H761&lt;&gt;"Exclude"),"Maybe",IF(J761&lt;&gt;"",J761,"Pending"))))))</f>
        <v/>
      </c>
      <c r="L761" s="28"/>
      <c r="M761" s="28"/>
      <c r="N761" s="28"/>
      <c r="O761" s="28"/>
      <c r="P761" s="28"/>
    </row>
    <row r="762" customFormat="false" ht="15" hidden="false" customHeight="false" outlineLevel="0" collapsed="false">
      <c r="A762" s="28"/>
      <c r="B762" s="28"/>
      <c r="C762" s="28"/>
      <c r="D762" s="28"/>
      <c r="E762" s="28"/>
      <c r="F762" s="28"/>
      <c r="G762" s="28"/>
      <c r="H762" s="28"/>
      <c r="I762" s="29" t="str">
        <f aca="false">IF(OR(G762="",H762=""),"",IF(G762=H762,"Yes","No"))</f>
        <v/>
      </c>
      <c r="J762" s="28"/>
      <c r="K762" s="29" t="str">
        <f aca="false">IF(E762="Snowballing","n/a",IF(AND(G762="",H762=""),"",IF(OR(G762="",H762=""),"Waiting",IF(G762=H762,G762,IF(AND(G762&lt;&gt;"Exclude",H762&lt;&gt;"Exclude"),"Maybe",IF(J762&lt;&gt;"",J762,"Pending"))))))</f>
        <v/>
      </c>
      <c r="L762" s="28"/>
      <c r="M762" s="28"/>
      <c r="N762" s="28"/>
      <c r="O762" s="28"/>
      <c r="P762" s="28"/>
    </row>
    <row r="763" customFormat="false" ht="15" hidden="false" customHeight="false" outlineLevel="0" collapsed="false">
      <c r="A763" s="28"/>
      <c r="B763" s="28"/>
      <c r="C763" s="28"/>
      <c r="D763" s="28"/>
      <c r="E763" s="28"/>
      <c r="F763" s="28"/>
      <c r="G763" s="28"/>
      <c r="H763" s="28"/>
      <c r="I763" s="29" t="str">
        <f aca="false">IF(OR(G763="",H763=""),"",IF(G763=H763,"Yes","No"))</f>
        <v/>
      </c>
      <c r="J763" s="28"/>
      <c r="K763" s="29" t="str">
        <f aca="false">IF(E763="Snowballing","n/a",IF(AND(G763="",H763=""),"",IF(OR(G763="",H763=""),"Waiting",IF(G763=H763,G763,IF(AND(G763&lt;&gt;"Exclude",H763&lt;&gt;"Exclude"),"Maybe",IF(J763&lt;&gt;"",J763,"Pending"))))))</f>
        <v/>
      </c>
      <c r="L763" s="28"/>
      <c r="M763" s="28"/>
      <c r="N763" s="28"/>
      <c r="O763" s="28"/>
      <c r="P763" s="28"/>
    </row>
    <row r="764" customFormat="false" ht="15" hidden="false" customHeight="false" outlineLevel="0" collapsed="false">
      <c r="A764" s="28"/>
      <c r="B764" s="28"/>
      <c r="C764" s="28"/>
      <c r="D764" s="28"/>
      <c r="E764" s="28"/>
      <c r="F764" s="28"/>
      <c r="G764" s="28"/>
      <c r="H764" s="28"/>
      <c r="I764" s="29" t="str">
        <f aca="false">IF(OR(G764="",H764=""),"",IF(G764=H764,"Yes","No"))</f>
        <v/>
      </c>
      <c r="J764" s="28"/>
      <c r="K764" s="29" t="str">
        <f aca="false">IF(E764="Snowballing","n/a",IF(AND(G764="",H764=""),"",IF(OR(G764="",H764=""),"Waiting",IF(G764=H764,G764,IF(AND(G764&lt;&gt;"Exclude",H764&lt;&gt;"Exclude"),"Maybe",IF(J764&lt;&gt;"",J764,"Pending"))))))</f>
        <v/>
      </c>
      <c r="L764" s="28"/>
      <c r="M764" s="28"/>
      <c r="N764" s="28"/>
      <c r="O764" s="28"/>
      <c r="P764" s="28"/>
    </row>
    <row r="765" customFormat="false" ht="15" hidden="false" customHeight="false" outlineLevel="0" collapsed="false">
      <c r="A765" s="28"/>
      <c r="B765" s="28"/>
      <c r="C765" s="28"/>
      <c r="D765" s="28"/>
      <c r="E765" s="28"/>
      <c r="F765" s="28"/>
      <c r="G765" s="28"/>
      <c r="H765" s="28"/>
      <c r="I765" s="29" t="str">
        <f aca="false">IF(OR(G765="",H765=""),"",IF(G765=H765,"Yes","No"))</f>
        <v/>
      </c>
      <c r="J765" s="28"/>
      <c r="K765" s="29" t="str">
        <f aca="false">IF(E765="Snowballing","n/a",IF(AND(G765="",H765=""),"",IF(OR(G765="",H765=""),"Waiting",IF(G765=H765,G765,IF(AND(G765&lt;&gt;"Exclude",H765&lt;&gt;"Exclude"),"Maybe",IF(J765&lt;&gt;"",J765,"Pending"))))))</f>
        <v/>
      </c>
      <c r="L765" s="28"/>
      <c r="M765" s="28"/>
      <c r="N765" s="28"/>
      <c r="O765" s="28"/>
      <c r="P765" s="28"/>
    </row>
    <row r="766" customFormat="false" ht="15" hidden="false" customHeight="false" outlineLevel="0" collapsed="false">
      <c r="A766" s="28"/>
      <c r="B766" s="28"/>
      <c r="C766" s="28"/>
      <c r="D766" s="28"/>
      <c r="E766" s="28"/>
      <c r="F766" s="28"/>
      <c r="G766" s="28"/>
      <c r="H766" s="28"/>
      <c r="I766" s="29" t="str">
        <f aca="false">IF(OR(G766="",H766=""),"",IF(G766=H766,"Yes","No"))</f>
        <v/>
      </c>
      <c r="J766" s="28"/>
      <c r="K766" s="29" t="str">
        <f aca="false">IF(E766="Snowballing","n/a",IF(AND(G766="",H766=""),"",IF(OR(G766="",H766=""),"Waiting",IF(G766=H766,G766,IF(AND(G766&lt;&gt;"Exclude",H766&lt;&gt;"Exclude"),"Maybe",IF(J766&lt;&gt;"",J766,"Pending"))))))</f>
        <v/>
      </c>
      <c r="L766" s="28"/>
      <c r="M766" s="28"/>
      <c r="N766" s="28"/>
      <c r="O766" s="28"/>
      <c r="P766" s="28"/>
    </row>
    <row r="767" customFormat="false" ht="15" hidden="false" customHeight="false" outlineLevel="0" collapsed="false">
      <c r="A767" s="28"/>
      <c r="B767" s="28"/>
      <c r="C767" s="28"/>
      <c r="D767" s="28"/>
      <c r="E767" s="28"/>
      <c r="F767" s="28"/>
      <c r="G767" s="28"/>
      <c r="H767" s="28"/>
      <c r="I767" s="29" t="str">
        <f aca="false">IF(OR(G767="",H767=""),"",IF(G767=H767,"Yes","No"))</f>
        <v/>
      </c>
      <c r="J767" s="28"/>
      <c r="K767" s="29" t="str">
        <f aca="false">IF(E767="Snowballing","n/a",IF(AND(G767="",H767=""),"",IF(OR(G767="",H767=""),"Waiting",IF(G767=H767,G767,IF(AND(G767&lt;&gt;"Exclude",H767&lt;&gt;"Exclude"),"Maybe",IF(J767&lt;&gt;"",J767,"Pending"))))))</f>
        <v/>
      </c>
      <c r="L767" s="28"/>
      <c r="M767" s="28"/>
      <c r="N767" s="28"/>
      <c r="O767" s="28"/>
      <c r="P767" s="28"/>
    </row>
    <row r="768" customFormat="false" ht="15" hidden="false" customHeight="false" outlineLevel="0" collapsed="false">
      <c r="A768" s="28"/>
      <c r="B768" s="28"/>
      <c r="C768" s="28"/>
      <c r="D768" s="28"/>
      <c r="E768" s="28"/>
      <c r="F768" s="28"/>
      <c r="G768" s="28"/>
      <c r="H768" s="28"/>
      <c r="I768" s="29" t="str">
        <f aca="false">IF(OR(G768="",H768=""),"",IF(G768=H768,"Yes","No"))</f>
        <v/>
      </c>
      <c r="J768" s="28"/>
      <c r="K768" s="29" t="str">
        <f aca="false">IF(E768="Snowballing","n/a",IF(AND(G768="",H768=""),"",IF(OR(G768="",H768=""),"Waiting",IF(G768=H768,G768,IF(AND(G768&lt;&gt;"Exclude",H768&lt;&gt;"Exclude"),"Maybe",IF(J768&lt;&gt;"",J768,"Pending"))))))</f>
        <v/>
      </c>
      <c r="L768" s="28"/>
      <c r="M768" s="28"/>
      <c r="N768" s="28"/>
      <c r="O768" s="28"/>
      <c r="P768" s="28"/>
    </row>
    <row r="769" customFormat="false" ht="15" hidden="false" customHeight="false" outlineLevel="0" collapsed="false">
      <c r="A769" s="28"/>
      <c r="B769" s="28"/>
      <c r="C769" s="28"/>
      <c r="D769" s="28"/>
      <c r="E769" s="28"/>
      <c r="F769" s="28"/>
      <c r="G769" s="28"/>
      <c r="H769" s="28"/>
      <c r="I769" s="29" t="str">
        <f aca="false">IF(OR(G769="",H769=""),"",IF(G769=H769,"Yes","No"))</f>
        <v/>
      </c>
      <c r="J769" s="28"/>
      <c r="K769" s="29" t="str">
        <f aca="false">IF(E769="Snowballing","n/a",IF(AND(G769="",H769=""),"",IF(OR(G769="",H769=""),"Waiting",IF(G769=H769,G769,IF(AND(G769&lt;&gt;"Exclude",H769&lt;&gt;"Exclude"),"Maybe",IF(J769&lt;&gt;"",J769,"Pending"))))))</f>
        <v/>
      </c>
      <c r="L769" s="28"/>
      <c r="M769" s="28"/>
      <c r="N769" s="28"/>
      <c r="O769" s="28"/>
      <c r="P769" s="28"/>
    </row>
    <row r="770" customFormat="false" ht="15" hidden="false" customHeight="false" outlineLevel="0" collapsed="false">
      <c r="A770" s="28"/>
      <c r="B770" s="28"/>
      <c r="C770" s="28"/>
      <c r="D770" s="28"/>
      <c r="E770" s="28"/>
      <c r="F770" s="28"/>
      <c r="G770" s="28"/>
      <c r="H770" s="28"/>
      <c r="I770" s="29" t="str">
        <f aca="false">IF(OR(G770="",H770=""),"",IF(G770=H770,"Yes","No"))</f>
        <v/>
      </c>
      <c r="J770" s="28"/>
      <c r="K770" s="29" t="str">
        <f aca="false">IF(E770="Snowballing","n/a",IF(AND(G770="",H770=""),"",IF(OR(G770="",H770=""),"Waiting",IF(G770=H770,G770,IF(AND(G770&lt;&gt;"Exclude",H770&lt;&gt;"Exclude"),"Maybe",IF(J770&lt;&gt;"",J770,"Pending"))))))</f>
        <v/>
      </c>
      <c r="L770" s="28"/>
      <c r="M770" s="28"/>
      <c r="N770" s="28"/>
      <c r="O770" s="28"/>
      <c r="P770" s="28"/>
    </row>
    <row r="771" customFormat="false" ht="15" hidden="false" customHeight="false" outlineLevel="0" collapsed="false">
      <c r="A771" s="28"/>
      <c r="B771" s="28"/>
      <c r="C771" s="28"/>
      <c r="D771" s="28"/>
      <c r="E771" s="28"/>
      <c r="F771" s="28"/>
      <c r="G771" s="28"/>
      <c r="H771" s="28"/>
      <c r="I771" s="29" t="str">
        <f aca="false">IF(OR(G771="",H771=""),"",IF(G771=H771,"Yes","No"))</f>
        <v/>
      </c>
      <c r="J771" s="28"/>
      <c r="K771" s="29" t="str">
        <f aca="false">IF(E771="Snowballing","n/a",IF(AND(G771="",H771=""),"",IF(OR(G771="",H771=""),"Waiting",IF(G771=H771,G771,IF(AND(G771&lt;&gt;"Exclude",H771&lt;&gt;"Exclude"),"Maybe",IF(J771&lt;&gt;"",J771,"Pending"))))))</f>
        <v/>
      </c>
      <c r="L771" s="28"/>
      <c r="M771" s="28"/>
      <c r="N771" s="28"/>
      <c r="O771" s="28"/>
      <c r="P771" s="28"/>
    </row>
    <row r="772" customFormat="false" ht="15" hidden="false" customHeight="false" outlineLevel="0" collapsed="false">
      <c r="A772" s="28"/>
      <c r="B772" s="28"/>
      <c r="C772" s="28"/>
      <c r="D772" s="28"/>
      <c r="E772" s="28"/>
      <c r="F772" s="28"/>
      <c r="G772" s="28"/>
      <c r="H772" s="28"/>
      <c r="I772" s="29" t="str">
        <f aca="false">IF(OR(G772="",H772=""),"",IF(G772=H772,"Yes","No"))</f>
        <v/>
      </c>
      <c r="J772" s="28"/>
      <c r="K772" s="29" t="str">
        <f aca="false">IF(E772="Snowballing","n/a",IF(AND(G772="",H772=""),"",IF(OR(G772="",H772=""),"Waiting",IF(G772=H772,G772,IF(AND(G772&lt;&gt;"Exclude",H772&lt;&gt;"Exclude"),"Maybe",IF(J772&lt;&gt;"",J772,"Pending"))))))</f>
        <v/>
      </c>
      <c r="L772" s="28"/>
      <c r="M772" s="28"/>
      <c r="N772" s="28"/>
      <c r="O772" s="28"/>
      <c r="P772" s="28"/>
    </row>
    <row r="773" customFormat="false" ht="15" hidden="false" customHeight="false" outlineLevel="0" collapsed="false">
      <c r="A773" s="28"/>
      <c r="B773" s="28"/>
      <c r="C773" s="28"/>
      <c r="D773" s="28"/>
      <c r="E773" s="28"/>
      <c r="F773" s="28"/>
      <c r="G773" s="28"/>
      <c r="H773" s="28"/>
      <c r="I773" s="29" t="str">
        <f aca="false">IF(OR(G773="",H773=""),"",IF(G773=H773,"Yes","No"))</f>
        <v/>
      </c>
      <c r="J773" s="28"/>
      <c r="K773" s="29" t="str">
        <f aca="false">IF(E773="Snowballing","n/a",IF(AND(G773="",H773=""),"",IF(OR(G773="",H773=""),"Waiting",IF(G773=H773,G773,IF(AND(G773&lt;&gt;"Exclude",H773&lt;&gt;"Exclude"),"Maybe",IF(J773&lt;&gt;"",J773,"Pending"))))))</f>
        <v/>
      </c>
      <c r="L773" s="28"/>
      <c r="M773" s="28"/>
      <c r="N773" s="28"/>
      <c r="O773" s="28"/>
      <c r="P773" s="28"/>
    </row>
    <row r="774" customFormat="false" ht="15" hidden="false" customHeight="false" outlineLevel="0" collapsed="false">
      <c r="A774" s="28"/>
      <c r="B774" s="28"/>
      <c r="C774" s="28"/>
      <c r="D774" s="28"/>
      <c r="E774" s="28"/>
      <c r="F774" s="28"/>
      <c r="G774" s="28"/>
      <c r="H774" s="28"/>
      <c r="I774" s="29" t="str">
        <f aca="false">IF(OR(G774="",H774=""),"",IF(G774=H774,"Yes","No"))</f>
        <v/>
      </c>
      <c r="J774" s="28"/>
      <c r="K774" s="29" t="str">
        <f aca="false">IF(E774="Snowballing","n/a",IF(AND(G774="",H774=""),"",IF(OR(G774="",H774=""),"Waiting",IF(G774=H774,G774,IF(AND(G774&lt;&gt;"Exclude",H774&lt;&gt;"Exclude"),"Maybe",IF(J774&lt;&gt;"",J774,"Pending"))))))</f>
        <v/>
      </c>
      <c r="L774" s="28"/>
      <c r="M774" s="28"/>
      <c r="N774" s="28"/>
      <c r="O774" s="28"/>
      <c r="P774" s="28"/>
    </row>
    <row r="775" customFormat="false" ht="15" hidden="false" customHeight="false" outlineLevel="0" collapsed="false">
      <c r="A775" s="28"/>
      <c r="B775" s="28"/>
      <c r="C775" s="28"/>
      <c r="D775" s="28"/>
      <c r="E775" s="28"/>
      <c r="F775" s="28"/>
      <c r="G775" s="28"/>
      <c r="H775" s="28"/>
      <c r="I775" s="29" t="str">
        <f aca="false">IF(OR(G775="",H775=""),"",IF(G775=H775,"Yes","No"))</f>
        <v/>
      </c>
      <c r="J775" s="28"/>
      <c r="K775" s="29" t="str">
        <f aca="false">IF(E775="Snowballing","n/a",IF(AND(G775="",H775=""),"",IF(OR(G775="",H775=""),"Waiting",IF(G775=H775,G775,IF(AND(G775&lt;&gt;"Exclude",H775&lt;&gt;"Exclude"),"Maybe",IF(J775&lt;&gt;"",J775,"Pending"))))))</f>
        <v/>
      </c>
      <c r="L775" s="28"/>
      <c r="M775" s="28"/>
      <c r="N775" s="28"/>
      <c r="O775" s="28"/>
      <c r="P775" s="28"/>
    </row>
    <row r="776" customFormat="false" ht="15" hidden="false" customHeight="false" outlineLevel="0" collapsed="false">
      <c r="A776" s="28"/>
      <c r="B776" s="28"/>
      <c r="C776" s="28"/>
      <c r="D776" s="28"/>
      <c r="E776" s="28"/>
      <c r="F776" s="28"/>
      <c r="G776" s="28"/>
      <c r="H776" s="28"/>
      <c r="I776" s="29" t="str">
        <f aca="false">IF(OR(G776="",H776=""),"",IF(G776=H776,"Yes","No"))</f>
        <v/>
      </c>
      <c r="J776" s="28"/>
      <c r="K776" s="29" t="str">
        <f aca="false">IF(E776="Snowballing","n/a",IF(AND(G776="",H776=""),"",IF(OR(G776="",H776=""),"Waiting",IF(G776=H776,G776,IF(AND(G776&lt;&gt;"Exclude",H776&lt;&gt;"Exclude"),"Maybe",IF(J776&lt;&gt;"",J776,"Pending"))))))</f>
        <v/>
      </c>
      <c r="L776" s="28"/>
      <c r="M776" s="28"/>
      <c r="N776" s="28"/>
      <c r="O776" s="28"/>
      <c r="P776" s="28"/>
    </row>
    <row r="777" customFormat="false" ht="15" hidden="false" customHeight="false" outlineLevel="0" collapsed="false">
      <c r="A777" s="28"/>
      <c r="B777" s="28"/>
      <c r="C777" s="28"/>
      <c r="D777" s="28"/>
      <c r="E777" s="28"/>
      <c r="F777" s="28"/>
      <c r="G777" s="28"/>
      <c r="H777" s="28"/>
      <c r="I777" s="29" t="str">
        <f aca="false">IF(OR(G777="",H777=""),"",IF(G777=H777,"Yes","No"))</f>
        <v/>
      </c>
      <c r="J777" s="28"/>
      <c r="K777" s="29" t="str">
        <f aca="false">IF(E777="Snowballing","n/a",IF(AND(G777="",H777=""),"",IF(OR(G777="",H777=""),"Waiting",IF(G777=H777,G777,IF(AND(G777&lt;&gt;"Exclude",H777&lt;&gt;"Exclude"),"Maybe",IF(J777&lt;&gt;"",J777,"Pending"))))))</f>
        <v/>
      </c>
      <c r="L777" s="28"/>
      <c r="M777" s="28"/>
      <c r="N777" s="28"/>
      <c r="O777" s="28"/>
      <c r="P777" s="28"/>
    </row>
    <row r="778" customFormat="false" ht="15" hidden="false" customHeight="false" outlineLevel="0" collapsed="false">
      <c r="A778" s="28"/>
      <c r="B778" s="28"/>
      <c r="C778" s="28"/>
      <c r="D778" s="28"/>
      <c r="E778" s="28"/>
      <c r="F778" s="28"/>
      <c r="G778" s="28"/>
      <c r="H778" s="28"/>
      <c r="I778" s="29" t="str">
        <f aca="false">IF(OR(G778="",H778=""),"",IF(G778=H778,"Yes","No"))</f>
        <v/>
      </c>
      <c r="J778" s="28"/>
      <c r="K778" s="29" t="str">
        <f aca="false">IF(E778="Snowballing","n/a",IF(AND(G778="",H778=""),"",IF(OR(G778="",H778=""),"Waiting",IF(G778=H778,G778,IF(AND(G778&lt;&gt;"Exclude",H778&lt;&gt;"Exclude"),"Maybe",IF(J778&lt;&gt;"",J778,"Pending"))))))</f>
        <v/>
      </c>
      <c r="L778" s="28"/>
      <c r="M778" s="28"/>
      <c r="N778" s="28"/>
      <c r="O778" s="28"/>
      <c r="P778" s="28"/>
    </row>
    <row r="779" customFormat="false" ht="15" hidden="false" customHeight="false" outlineLevel="0" collapsed="false">
      <c r="A779" s="28"/>
      <c r="B779" s="28"/>
      <c r="C779" s="28"/>
      <c r="D779" s="28"/>
      <c r="E779" s="28"/>
      <c r="F779" s="28"/>
      <c r="G779" s="28"/>
      <c r="H779" s="28"/>
      <c r="I779" s="29" t="str">
        <f aca="false">IF(OR(G779="",H779=""),"",IF(G779=H779,"Yes","No"))</f>
        <v/>
      </c>
      <c r="J779" s="28"/>
      <c r="K779" s="29" t="str">
        <f aca="false">IF(E779="Snowballing","n/a",IF(AND(G779="",H779=""),"",IF(OR(G779="",H779=""),"Waiting",IF(G779=H779,G779,IF(AND(G779&lt;&gt;"Exclude",H779&lt;&gt;"Exclude"),"Maybe",IF(J779&lt;&gt;"",J779,"Pending"))))))</f>
        <v/>
      </c>
      <c r="L779" s="28"/>
      <c r="M779" s="28"/>
      <c r="N779" s="28"/>
      <c r="O779" s="28"/>
      <c r="P779" s="28"/>
    </row>
    <row r="780" customFormat="false" ht="15" hidden="false" customHeight="false" outlineLevel="0" collapsed="false">
      <c r="A780" s="28"/>
      <c r="B780" s="28"/>
      <c r="C780" s="28"/>
      <c r="D780" s="28"/>
      <c r="E780" s="28"/>
      <c r="F780" s="28"/>
      <c r="G780" s="28"/>
      <c r="H780" s="28"/>
      <c r="I780" s="29" t="str">
        <f aca="false">IF(OR(G780="",H780=""),"",IF(G780=H780,"Yes","No"))</f>
        <v/>
      </c>
      <c r="J780" s="28"/>
      <c r="K780" s="29" t="str">
        <f aca="false">IF(E780="Snowballing","n/a",IF(AND(G780="",H780=""),"",IF(OR(G780="",H780=""),"Waiting",IF(G780=H780,G780,IF(AND(G780&lt;&gt;"Exclude",H780&lt;&gt;"Exclude"),"Maybe",IF(J780&lt;&gt;"",J780,"Pending"))))))</f>
        <v/>
      </c>
      <c r="L780" s="28"/>
      <c r="M780" s="28"/>
      <c r="N780" s="28"/>
      <c r="O780" s="28"/>
      <c r="P780" s="28"/>
    </row>
    <row r="781" customFormat="false" ht="15" hidden="false" customHeight="false" outlineLevel="0" collapsed="false">
      <c r="A781" s="28"/>
      <c r="B781" s="28"/>
      <c r="C781" s="28"/>
      <c r="D781" s="28"/>
      <c r="E781" s="28"/>
      <c r="F781" s="28"/>
      <c r="G781" s="28"/>
      <c r="H781" s="28"/>
      <c r="I781" s="29" t="str">
        <f aca="false">IF(OR(G781="",H781=""),"",IF(G781=H781,"Yes","No"))</f>
        <v/>
      </c>
      <c r="J781" s="28"/>
      <c r="K781" s="29" t="str">
        <f aca="false">IF(E781="Snowballing","n/a",IF(AND(G781="",H781=""),"",IF(OR(G781="",H781=""),"Waiting",IF(G781=H781,G781,IF(AND(G781&lt;&gt;"Exclude",H781&lt;&gt;"Exclude"),"Maybe",IF(J781&lt;&gt;"",J781,"Pending"))))))</f>
        <v/>
      </c>
      <c r="L781" s="28"/>
      <c r="M781" s="28"/>
      <c r="N781" s="28"/>
      <c r="O781" s="28"/>
      <c r="P781" s="28"/>
    </row>
    <row r="782" customFormat="false" ht="15" hidden="false" customHeight="false" outlineLevel="0" collapsed="false">
      <c r="A782" s="28"/>
      <c r="B782" s="28"/>
      <c r="C782" s="28"/>
      <c r="D782" s="28"/>
      <c r="E782" s="28"/>
      <c r="F782" s="28"/>
      <c r="G782" s="28"/>
      <c r="H782" s="28"/>
      <c r="I782" s="29" t="str">
        <f aca="false">IF(OR(G782="",H782=""),"",IF(G782=H782,"Yes","No"))</f>
        <v/>
      </c>
      <c r="J782" s="28"/>
      <c r="K782" s="29" t="str">
        <f aca="false">IF(E782="Snowballing","n/a",IF(AND(G782="",H782=""),"",IF(OR(G782="",H782=""),"Waiting",IF(G782=H782,G782,IF(AND(G782&lt;&gt;"Exclude",H782&lt;&gt;"Exclude"),"Maybe",IF(J782&lt;&gt;"",J782,"Pending"))))))</f>
        <v/>
      </c>
      <c r="L782" s="28"/>
      <c r="M782" s="28"/>
      <c r="N782" s="28"/>
      <c r="O782" s="28"/>
      <c r="P782" s="28"/>
    </row>
    <row r="783" customFormat="false" ht="15" hidden="false" customHeight="false" outlineLevel="0" collapsed="false">
      <c r="A783" s="28"/>
      <c r="B783" s="28"/>
      <c r="C783" s="28"/>
      <c r="D783" s="28"/>
      <c r="E783" s="28"/>
      <c r="F783" s="28"/>
      <c r="G783" s="28"/>
      <c r="H783" s="28"/>
      <c r="I783" s="29" t="str">
        <f aca="false">IF(OR(G783="",H783=""),"",IF(G783=H783,"Yes","No"))</f>
        <v/>
      </c>
      <c r="J783" s="28"/>
      <c r="K783" s="29" t="str">
        <f aca="false">IF(E783="Snowballing","n/a",IF(AND(G783="",H783=""),"",IF(OR(G783="",H783=""),"Waiting",IF(G783=H783,G783,IF(AND(G783&lt;&gt;"Exclude",H783&lt;&gt;"Exclude"),"Maybe",IF(J783&lt;&gt;"",J783,"Pending"))))))</f>
        <v/>
      </c>
      <c r="L783" s="28"/>
      <c r="M783" s="28"/>
      <c r="N783" s="28"/>
      <c r="O783" s="28"/>
      <c r="P783" s="28"/>
    </row>
    <row r="784" customFormat="false" ht="15" hidden="false" customHeight="false" outlineLevel="0" collapsed="false">
      <c r="A784" s="28"/>
      <c r="B784" s="28"/>
      <c r="C784" s="28"/>
      <c r="D784" s="28"/>
      <c r="E784" s="28"/>
      <c r="F784" s="28"/>
      <c r="G784" s="28"/>
      <c r="H784" s="28"/>
      <c r="I784" s="29" t="str">
        <f aca="false">IF(OR(G784="",H784=""),"",IF(G784=H784,"Yes","No"))</f>
        <v/>
      </c>
      <c r="J784" s="28"/>
      <c r="K784" s="29" t="str">
        <f aca="false">IF(E784="Snowballing","n/a",IF(AND(G784="",H784=""),"",IF(OR(G784="",H784=""),"Waiting",IF(G784=H784,G784,IF(AND(G784&lt;&gt;"Exclude",H784&lt;&gt;"Exclude"),"Maybe",IF(J784&lt;&gt;"",J784,"Pending"))))))</f>
        <v/>
      </c>
      <c r="L784" s="28"/>
      <c r="M784" s="28"/>
      <c r="N784" s="28"/>
      <c r="O784" s="28"/>
      <c r="P784" s="28"/>
    </row>
    <row r="785" customFormat="false" ht="15" hidden="false" customHeight="false" outlineLevel="0" collapsed="false">
      <c r="A785" s="28"/>
      <c r="B785" s="28"/>
      <c r="C785" s="28"/>
      <c r="D785" s="28"/>
      <c r="E785" s="28"/>
      <c r="F785" s="28"/>
      <c r="G785" s="28"/>
      <c r="H785" s="28"/>
      <c r="I785" s="29" t="str">
        <f aca="false">IF(OR(G785="",H785=""),"",IF(G785=H785,"Yes","No"))</f>
        <v/>
      </c>
      <c r="J785" s="28"/>
      <c r="K785" s="29" t="str">
        <f aca="false">IF(E785="Snowballing","n/a",IF(AND(G785="",H785=""),"",IF(OR(G785="",H785=""),"Waiting",IF(G785=H785,G785,IF(AND(G785&lt;&gt;"Exclude",H785&lt;&gt;"Exclude"),"Maybe",IF(J785&lt;&gt;"",J785,"Pending"))))))</f>
        <v/>
      </c>
      <c r="L785" s="28"/>
      <c r="M785" s="28"/>
      <c r="N785" s="28"/>
      <c r="O785" s="28"/>
      <c r="P785" s="28"/>
    </row>
    <row r="786" customFormat="false" ht="15" hidden="false" customHeight="false" outlineLevel="0" collapsed="false">
      <c r="A786" s="28"/>
      <c r="B786" s="28"/>
      <c r="C786" s="28"/>
      <c r="D786" s="28"/>
      <c r="E786" s="28"/>
      <c r="F786" s="28"/>
      <c r="G786" s="28"/>
      <c r="H786" s="28"/>
      <c r="I786" s="29" t="str">
        <f aca="false">IF(OR(G786="",H786=""),"",IF(G786=H786,"Yes","No"))</f>
        <v/>
      </c>
      <c r="J786" s="28"/>
      <c r="K786" s="29" t="str">
        <f aca="false">IF(E786="Snowballing","n/a",IF(AND(G786="",H786=""),"",IF(OR(G786="",H786=""),"Waiting",IF(G786=H786,G786,IF(AND(G786&lt;&gt;"Exclude",H786&lt;&gt;"Exclude"),"Maybe",IF(J786&lt;&gt;"",J786,"Pending"))))))</f>
        <v/>
      </c>
      <c r="L786" s="28"/>
      <c r="M786" s="28"/>
      <c r="N786" s="28"/>
      <c r="O786" s="28"/>
      <c r="P786" s="28"/>
    </row>
    <row r="787" customFormat="false" ht="15" hidden="false" customHeight="false" outlineLevel="0" collapsed="false">
      <c r="A787" s="28"/>
      <c r="B787" s="28"/>
      <c r="C787" s="28"/>
      <c r="D787" s="28"/>
      <c r="E787" s="28"/>
      <c r="F787" s="28"/>
      <c r="G787" s="28"/>
      <c r="H787" s="28"/>
      <c r="I787" s="29" t="str">
        <f aca="false">IF(OR(G787="",H787=""),"",IF(G787=H787,"Yes","No"))</f>
        <v/>
      </c>
      <c r="J787" s="28"/>
      <c r="K787" s="29" t="str">
        <f aca="false">IF(E787="Snowballing","n/a",IF(AND(G787="",H787=""),"",IF(OR(G787="",H787=""),"Waiting",IF(G787=H787,G787,IF(AND(G787&lt;&gt;"Exclude",H787&lt;&gt;"Exclude"),"Maybe",IF(J787&lt;&gt;"",J787,"Pending"))))))</f>
        <v/>
      </c>
      <c r="L787" s="28"/>
      <c r="M787" s="28"/>
      <c r="N787" s="28"/>
      <c r="O787" s="28"/>
      <c r="P787" s="28"/>
    </row>
    <row r="788" customFormat="false" ht="15" hidden="false" customHeight="false" outlineLevel="0" collapsed="false">
      <c r="A788" s="28"/>
      <c r="B788" s="28"/>
      <c r="C788" s="28"/>
      <c r="D788" s="28"/>
      <c r="E788" s="28"/>
      <c r="F788" s="28"/>
      <c r="G788" s="28"/>
      <c r="H788" s="28"/>
      <c r="I788" s="29" t="str">
        <f aca="false">IF(OR(G788="",H788=""),"",IF(G788=H788,"Yes","No"))</f>
        <v/>
      </c>
      <c r="J788" s="28"/>
      <c r="K788" s="29" t="str">
        <f aca="false">IF(E788="Snowballing","n/a",IF(AND(G788="",H788=""),"",IF(OR(G788="",H788=""),"Waiting",IF(G788=H788,G788,IF(AND(G788&lt;&gt;"Exclude",H788&lt;&gt;"Exclude"),"Maybe",IF(J788&lt;&gt;"",J788,"Pending"))))))</f>
        <v/>
      </c>
      <c r="L788" s="28"/>
      <c r="M788" s="28"/>
      <c r="N788" s="28"/>
      <c r="O788" s="28"/>
      <c r="P788" s="28"/>
    </row>
    <row r="789" customFormat="false" ht="15" hidden="false" customHeight="false" outlineLevel="0" collapsed="false">
      <c r="A789" s="28"/>
      <c r="B789" s="28"/>
      <c r="C789" s="28"/>
      <c r="D789" s="28"/>
      <c r="E789" s="28"/>
      <c r="F789" s="28"/>
      <c r="G789" s="28"/>
      <c r="H789" s="28"/>
      <c r="I789" s="29" t="str">
        <f aca="false">IF(OR(G789="",H789=""),"",IF(G789=H789,"Yes","No"))</f>
        <v/>
      </c>
      <c r="J789" s="28"/>
      <c r="K789" s="29" t="str">
        <f aca="false">IF(E789="Snowballing","n/a",IF(AND(G789="",H789=""),"",IF(OR(G789="",H789=""),"Waiting",IF(G789=H789,G789,IF(AND(G789&lt;&gt;"Exclude",H789&lt;&gt;"Exclude"),"Maybe",IF(J789&lt;&gt;"",J789,"Pending"))))))</f>
        <v/>
      </c>
      <c r="L789" s="28"/>
      <c r="M789" s="28"/>
      <c r="N789" s="28"/>
      <c r="O789" s="28"/>
      <c r="P789" s="28"/>
    </row>
    <row r="790" customFormat="false" ht="15" hidden="false" customHeight="false" outlineLevel="0" collapsed="false">
      <c r="A790" s="28"/>
      <c r="B790" s="28"/>
      <c r="C790" s="28"/>
      <c r="D790" s="28"/>
      <c r="E790" s="28"/>
      <c r="F790" s="28"/>
      <c r="G790" s="28"/>
      <c r="H790" s="28"/>
      <c r="I790" s="29" t="str">
        <f aca="false">IF(OR(G790="",H790=""),"",IF(G790=H790,"Yes","No"))</f>
        <v/>
      </c>
      <c r="J790" s="28"/>
      <c r="K790" s="29" t="str">
        <f aca="false">IF(E790="Snowballing","n/a",IF(AND(G790="",H790=""),"",IF(OR(G790="",H790=""),"Waiting",IF(G790=H790,G790,IF(AND(G790&lt;&gt;"Exclude",H790&lt;&gt;"Exclude"),"Maybe",IF(J790&lt;&gt;"",J790,"Pending"))))))</f>
        <v/>
      </c>
      <c r="L790" s="28"/>
      <c r="M790" s="28"/>
      <c r="N790" s="28"/>
      <c r="O790" s="28"/>
      <c r="P790" s="28"/>
    </row>
    <row r="791" customFormat="false" ht="15" hidden="false" customHeight="false" outlineLevel="0" collapsed="false">
      <c r="A791" s="28"/>
      <c r="B791" s="28"/>
      <c r="C791" s="28"/>
      <c r="D791" s="28"/>
      <c r="E791" s="28"/>
      <c r="F791" s="28"/>
      <c r="G791" s="28"/>
      <c r="H791" s="28"/>
      <c r="I791" s="29" t="str">
        <f aca="false">IF(OR(G791="",H791=""),"",IF(G791=H791,"Yes","No"))</f>
        <v/>
      </c>
      <c r="J791" s="28"/>
      <c r="K791" s="29" t="str">
        <f aca="false">IF(E791="Snowballing","n/a",IF(AND(G791="",H791=""),"",IF(OR(G791="",H791=""),"Waiting",IF(G791=H791,G791,IF(AND(G791&lt;&gt;"Exclude",H791&lt;&gt;"Exclude"),"Maybe",IF(J791&lt;&gt;"",J791,"Pending"))))))</f>
        <v/>
      </c>
      <c r="L791" s="28"/>
      <c r="M791" s="28"/>
      <c r="N791" s="28"/>
      <c r="O791" s="28"/>
      <c r="P791" s="28"/>
    </row>
    <row r="792" customFormat="false" ht="15" hidden="false" customHeight="false" outlineLevel="0" collapsed="false">
      <c r="A792" s="28"/>
      <c r="B792" s="28"/>
      <c r="C792" s="28"/>
      <c r="D792" s="28"/>
      <c r="E792" s="28"/>
      <c r="F792" s="28"/>
      <c r="G792" s="28"/>
      <c r="H792" s="28"/>
      <c r="I792" s="29" t="str">
        <f aca="false">IF(OR(G792="",H792=""),"",IF(G792=H792,"Yes","No"))</f>
        <v/>
      </c>
      <c r="J792" s="28"/>
      <c r="K792" s="29" t="str">
        <f aca="false">IF(E792="Snowballing","n/a",IF(AND(G792="",H792=""),"",IF(OR(G792="",H792=""),"Waiting",IF(G792=H792,G792,IF(AND(G792&lt;&gt;"Exclude",H792&lt;&gt;"Exclude"),"Maybe",IF(J792&lt;&gt;"",J792,"Pending"))))))</f>
        <v/>
      </c>
      <c r="L792" s="28"/>
      <c r="M792" s="28"/>
      <c r="N792" s="28"/>
      <c r="O792" s="28"/>
      <c r="P792" s="28"/>
    </row>
    <row r="793" customFormat="false" ht="15" hidden="false" customHeight="false" outlineLevel="0" collapsed="false">
      <c r="A793" s="28"/>
      <c r="B793" s="28"/>
      <c r="C793" s="28"/>
      <c r="D793" s="28"/>
      <c r="E793" s="28"/>
      <c r="F793" s="28"/>
      <c r="G793" s="28"/>
      <c r="H793" s="28"/>
      <c r="I793" s="29" t="str">
        <f aca="false">IF(OR(G793="",H793=""),"",IF(G793=H793,"Yes","No"))</f>
        <v/>
      </c>
      <c r="J793" s="28"/>
      <c r="K793" s="29" t="str">
        <f aca="false">IF(E793="Snowballing","n/a",IF(AND(G793="",H793=""),"",IF(OR(G793="",H793=""),"Waiting",IF(G793=H793,G793,IF(AND(G793&lt;&gt;"Exclude",H793&lt;&gt;"Exclude"),"Maybe",IF(J793&lt;&gt;"",J793,"Pending"))))))</f>
        <v/>
      </c>
      <c r="L793" s="28"/>
      <c r="M793" s="28"/>
      <c r="N793" s="28"/>
      <c r="O793" s="28"/>
      <c r="P793" s="28"/>
    </row>
    <row r="794" customFormat="false" ht="15" hidden="false" customHeight="false" outlineLevel="0" collapsed="false">
      <c r="A794" s="28"/>
      <c r="B794" s="28"/>
      <c r="C794" s="28"/>
      <c r="D794" s="28"/>
      <c r="E794" s="28"/>
      <c r="F794" s="28"/>
      <c r="G794" s="28"/>
      <c r="H794" s="28"/>
      <c r="I794" s="29" t="str">
        <f aca="false">IF(OR(G794="",H794=""),"",IF(G794=H794,"Yes","No"))</f>
        <v/>
      </c>
      <c r="J794" s="28"/>
      <c r="K794" s="29" t="str">
        <f aca="false">IF(E794="Snowballing","n/a",IF(AND(G794="",H794=""),"",IF(OR(G794="",H794=""),"Waiting",IF(G794=H794,G794,IF(AND(G794&lt;&gt;"Exclude",H794&lt;&gt;"Exclude"),"Maybe",IF(J794&lt;&gt;"",J794,"Pending"))))))</f>
        <v/>
      </c>
      <c r="L794" s="28"/>
      <c r="M794" s="28"/>
      <c r="N794" s="28"/>
      <c r="O794" s="28"/>
      <c r="P794" s="28"/>
    </row>
    <row r="795" customFormat="false" ht="15" hidden="false" customHeight="false" outlineLevel="0" collapsed="false">
      <c r="A795" s="28"/>
      <c r="B795" s="28"/>
      <c r="C795" s="28"/>
      <c r="D795" s="28"/>
      <c r="E795" s="28"/>
      <c r="F795" s="28"/>
      <c r="G795" s="28"/>
      <c r="H795" s="28"/>
      <c r="I795" s="29" t="str">
        <f aca="false">IF(OR(G795="",H795=""),"",IF(G795=H795,"Yes","No"))</f>
        <v/>
      </c>
      <c r="J795" s="28"/>
      <c r="K795" s="29" t="str">
        <f aca="false">IF(E795="Snowballing","n/a",IF(AND(G795="",H795=""),"",IF(OR(G795="",H795=""),"Waiting",IF(G795=H795,G795,IF(AND(G795&lt;&gt;"Exclude",H795&lt;&gt;"Exclude"),"Maybe",IF(J795&lt;&gt;"",J795,"Pending"))))))</f>
        <v/>
      </c>
      <c r="L795" s="28"/>
      <c r="M795" s="28"/>
      <c r="N795" s="28"/>
      <c r="O795" s="28"/>
      <c r="P795" s="28"/>
    </row>
    <row r="796" customFormat="false" ht="15" hidden="false" customHeight="false" outlineLevel="0" collapsed="false">
      <c r="A796" s="28"/>
      <c r="B796" s="28"/>
      <c r="C796" s="28"/>
      <c r="D796" s="28"/>
      <c r="E796" s="28"/>
      <c r="F796" s="28"/>
      <c r="G796" s="28"/>
      <c r="H796" s="28"/>
      <c r="I796" s="29" t="str">
        <f aca="false">IF(OR(G796="",H796=""),"",IF(G796=H796,"Yes","No"))</f>
        <v/>
      </c>
      <c r="J796" s="28"/>
      <c r="K796" s="29" t="str">
        <f aca="false">IF(E796="Snowballing","n/a",IF(AND(G796="",H796=""),"",IF(OR(G796="",H796=""),"Waiting",IF(G796=H796,G796,IF(AND(G796&lt;&gt;"Exclude",H796&lt;&gt;"Exclude"),"Maybe",IF(J796&lt;&gt;"",J796,"Pending"))))))</f>
        <v/>
      </c>
      <c r="L796" s="28"/>
      <c r="M796" s="28"/>
      <c r="N796" s="28"/>
      <c r="O796" s="28"/>
      <c r="P796" s="28"/>
    </row>
    <row r="797" customFormat="false" ht="15" hidden="false" customHeight="false" outlineLevel="0" collapsed="false">
      <c r="A797" s="28"/>
      <c r="B797" s="28"/>
      <c r="C797" s="28"/>
      <c r="D797" s="28"/>
      <c r="E797" s="28"/>
      <c r="F797" s="28"/>
      <c r="G797" s="28"/>
      <c r="H797" s="28"/>
      <c r="I797" s="29" t="str">
        <f aca="false">IF(OR(G797="",H797=""),"",IF(G797=H797,"Yes","No"))</f>
        <v/>
      </c>
      <c r="J797" s="28"/>
      <c r="K797" s="29" t="str">
        <f aca="false">IF(E797="Snowballing","n/a",IF(AND(G797="",H797=""),"",IF(OR(G797="",H797=""),"Waiting",IF(G797=H797,G797,IF(AND(G797&lt;&gt;"Exclude",H797&lt;&gt;"Exclude"),"Maybe",IF(J797&lt;&gt;"",J797,"Pending"))))))</f>
        <v/>
      </c>
      <c r="L797" s="28"/>
      <c r="M797" s="28"/>
      <c r="N797" s="28"/>
      <c r="O797" s="28"/>
      <c r="P797" s="28"/>
    </row>
    <row r="798" customFormat="false" ht="15" hidden="false" customHeight="false" outlineLevel="0" collapsed="false">
      <c r="A798" s="28"/>
      <c r="B798" s="28"/>
      <c r="C798" s="28"/>
      <c r="D798" s="28"/>
      <c r="E798" s="28"/>
      <c r="F798" s="28"/>
      <c r="G798" s="28"/>
      <c r="H798" s="28"/>
      <c r="I798" s="29" t="str">
        <f aca="false">IF(OR(G798="",H798=""),"",IF(G798=H798,"Yes","No"))</f>
        <v/>
      </c>
      <c r="J798" s="28"/>
      <c r="K798" s="29" t="str">
        <f aca="false">IF(E798="Snowballing","n/a",IF(AND(G798="",H798=""),"",IF(OR(G798="",H798=""),"Waiting",IF(G798=H798,G798,IF(AND(G798&lt;&gt;"Exclude",H798&lt;&gt;"Exclude"),"Maybe",IF(J798&lt;&gt;"",J798,"Pending"))))))</f>
        <v/>
      </c>
      <c r="L798" s="28"/>
      <c r="M798" s="28"/>
      <c r="N798" s="28"/>
      <c r="O798" s="28"/>
      <c r="P798" s="28"/>
    </row>
    <row r="799" customFormat="false" ht="15" hidden="false" customHeight="false" outlineLevel="0" collapsed="false">
      <c r="A799" s="28"/>
      <c r="B799" s="28"/>
      <c r="C799" s="28"/>
      <c r="D799" s="28"/>
      <c r="E799" s="28"/>
      <c r="F799" s="28"/>
      <c r="G799" s="28"/>
      <c r="H799" s="28"/>
      <c r="I799" s="29" t="str">
        <f aca="false">IF(OR(G799="",H799=""),"",IF(G799=H799,"Yes","No"))</f>
        <v/>
      </c>
      <c r="J799" s="28"/>
      <c r="K799" s="29" t="str">
        <f aca="false">IF(E799="Snowballing","n/a",IF(AND(G799="",H799=""),"",IF(OR(G799="",H799=""),"Waiting",IF(G799=H799,G799,IF(AND(G799&lt;&gt;"Exclude",H799&lt;&gt;"Exclude"),"Maybe",IF(J799&lt;&gt;"",J799,"Pending"))))))</f>
        <v/>
      </c>
      <c r="L799" s="28"/>
      <c r="M799" s="28"/>
      <c r="N799" s="28"/>
      <c r="O799" s="28"/>
      <c r="P799" s="28"/>
    </row>
    <row r="800" customFormat="false" ht="15" hidden="false" customHeight="false" outlineLevel="0" collapsed="false">
      <c r="A800" s="28"/>
      <c r="B800" s="28"/>
      <c r="C800" s="28"/>
      <c r="D800" s="28"/>
      <c r="E800" s="28"/>
      <c r="F800" s="28"/>
      <c r="G800" s="28"/>
      <c r="H800" s="28"/>
      <c r="I800" s="29" t="str">
        <f aca="false">IF(OR(G800="",H800=""),"",IF(G800=H800,"Yes","No"))</f>
        <v/>
      </c>
      <c r="J800" s="28"/>
      <c r="K800" s="29" t="str">
        <f aca="false">IF(E800="Snowballing","n/a",IF(AND(G800="",H800=""),"",IF(OR(G800="",H800=""),"Waiting",IF(G800=H800,G800,IF(AND(G800&lt;&gt;"Exclude",H800&lt;&gt;"Exclude"),"Maybe",IF(J800&lt;&gt;"",J800,"Pending"))))))</f>
        <v/>
      </c>
      <c r="L800" s="28"/>
      <c r="M800" s="28"/>
      <c r="N800" s="28"/>
      <c r="O800" s="28"/>
      <c r="P800" s="28"/>
    </row>
    <row r="801" customFormat="false" ht="15" hidden="false" customHeight="false" outlineLevel="0" collapsed="false">
      <c r="A801" s="28"/>
      <c r="B801" s="28"/>
      <c r="C801" s="28"/>
      <c r="D801" s="28"/>
      <c r="E801" s="28"/>
      <c r="F801" s="28"/>
      <c r="G801" s="28"/>
      <c r="H801" s="28"/>
      <c r="I801" s="29" t="str">
        <f aca="false">IF(OR(G801="",H801=""),"",IF(G801=H801,"Yes","No"))</f>
        <v/>
      </c>
      <c r="J801" s="28"/>
      <c r="K801" s="29" t="str">
        <f aca="false">IF(E801="Snowballing","n/a",IF(AND(G801="",H801=""),"",IF(OR(G801="",H801=""),"Waiting",IF(G801=H801,G801,IF(AND(G801&lt;&gt;"Exclude",H801&lt;&gt;"Exclude"),"Maybe",IF(J801&lt;&gt;"",J801,"Pending"))))))</f>
        <v/>
      </c>
      <c r="L801" s="28"/>
      <c r="M801" s="28"/>
      <c r="N801" s="28"/>
      <c r="O801" s="28"/>
      <c r="P801" s="28"/>
    </row>
  </sheetData>
  <autoFilter ref="A1:P801"/>
  <conditionalFormatting sqref="I2:I801">
    <cfRule type="expression" priority="2" aboveAverage="0" equalAverage="0" bottom="0" percent="0" rank="0" text="" dxfId="5">
      <formula>I2="No"</formula>
    </cfRule>
  </conditionalFormatting>
  <conditionalFormatting sqref="K2:K801">
    <cfRule type="expression" priority="3" aboveAverage="0" equalAverage="0" bottom="0" percent="0" rank="0" text="" dxfId="5">
      <formula>K2="Pending"</formula>
    </cfRule>
  </conditionalFormatting>
  <conditionalFormatting sqref="O2:O801">
    <cfRule type="expression" priority="4" aboveAverage="0" equalAverage="0" bottom="0" percent="0" rank="0" text="" dxfId="6">
      <formula>AND(N2="Exclude",O2="")</formula>
    </cfRule>
  </conditionalFormatting>
  <dataValidations count="8">
    <dataValidation allowBlank="true" error="Pick a value from the list." errorStyle="stop" errorTitle="Source" operator="between" showDropDown="false" showErrorMessage="true" showInputMessage="false" sqref="E2:E801" type="list">
      <formula1>Lists!$D$2:$D$5</formula1>
      <formula2>0</formula2>
    </dataValidation>
    <dataValidation allowBlank="true" error="Pick a value from the list." errorStyle="stop" errorTitle="Pair" operator="between" showDropDown="false" showErrorMessage="true" showInputMessage="false" sqref="F2:F801" type="list">
      <formula1>"Pair 1,Pair 2,Pair 3"</formula1>
      <formula2>0</formula2>
    </dataValidation>
    <dataValidation allowBlank="true" error="Pick a value from the list." errorStyle="stop" errorTitle="Decision" operator="between" showDropDown="false" showErrorMessage="true" showInputMessage="false" sqref="G2:H801" type="list">
      <formula1>"Include,Exclude,Maybe"</formula1>
      <formula2>0</formula2>
    </dataValidation>
    <dataValidation allowBlank="true" error="Pick a value from the list." errorStyle="stop" errorTitle="Resolved decision" operator="between" showDropDown="false" showErrorMessage="true" showInputMessage="false" sqref="J2:J801" type="list">
      <formula1>"Include,Exclude"</formula1>
      <formula2>0</formula2>
    </dataValidation>
    <dataValidation allowBlank="true" error="Pick a value from the list." errorStyle="stop" errorTitle="Reader" operator="between" showDropDown="false" showErrorMessage="true" showInputMessage="false" sqref="L2:L801" type="list">
      <formula1>Lists!$E$2:$E$7</formula1>
      <formula2>0</formula2>
    </dataValidation>
    <dataValidation allowBlank="true" error="Pick a value from the list." errorStyle="stop" errorTitle="Full text" operator="between" showDropDown="false" showErrorMessage="true" showInputMessage="false" sqref="M2:M801" type="list">
      <formula1>"Yes,No"</formula1>
      <formula2>0</formula2>
    </dataValidation>
    <dataValidation allowBlank="true" error="Pick a value from the list." errorStyle="stop" errorTitle="Full-text decision" operator="between" showDropDown="false" showErrorMessage="true" showInputMessage="false" sqref="N2:N801" type="list">
      <formula1>"Include,Exclude"</formula1>
      <formula2>0</formula2>
    </dataValidation>
    <dataValidation allowBlank="true" error="Pick a value from the list." errorStyle="stop" errorTitle="Exclusion code" operator="between" showDropDown="false" showErrorMessage="true" showInputMessage="false" sqref="O2:O801" type="list">
      <formula1>"E1,E2,E3,E4,E6"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2026-10-09T15:41:58Z</dcterms:created>
  <dc:creator>openpyxl</dc:creator>
  <dc:description/>
  <dc:language>en-US</dc:language>
  <cp:lastModifiedBy/>
  <dcterms:modified xsi:type="dcterms:W3CDTF">2026-10-09T15:41:59Z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