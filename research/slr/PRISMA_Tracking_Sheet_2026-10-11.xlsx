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ev\fhe-heart-risk\research\slr\"/>
    </mc:Choice>
  </mc:AlternateContent>
  <xr:revisionPtr revIDLastSave="0" documentId="13_ncr:1_{6AE05708-5750-45AD-9D58-B4367436E60A}" xr6:coauthVersionLast="47" xr6:coauthVersionMax="47" xr10:uidLastSave="{00000000-0000-0000-0000-000000000000}"/>
  <bookViews>
    <workbookView xWindow="-108" yWindow="-108" windowWidth="23256" windowHeight="12456" tabRatio="500" xr2:uid="{00000000-000D-0000-FFFF-FFFF00000000}"/>
  </bookViews>
  <sheets>
    <sheet name="How to use" sheetId="1" r:id="rId1"/>
    <sheet name="PRISMA Counts" sheetId="2" r:id="rId2"/>
    <sheet name="Lists" sheetId="3" r:id="rId3"/>
    <sheet name="Search Log" sheetId="4" r:id="rId4"/>
    <sheet name="Screening Log" sheetId="5" r:id="rId5"/>
  </sheets>
  <definedNames>
    <definedName name="_xlnm._FilterDatabase" localSheetId="4" hidden="1">'Screening Log'!$A$1:$Q$1046</definedName>
  </definedNames>
  <calcPr calcId="181029" iterateDelta="1E-4"/>
</workbook>
</file>

<file path=xl/calcChain.xml><?xml version="1.0" encoding="utf-8"?>
<calcChain xmlns="http://schemas.openxmlformats.org/spreadsheetml/2006/main">
  <c r="K1046" i="5" l="1"/>
  <c r="I1046" i="5"/>
  <c r="K1045" i="5"/>
  <c r="I1045" i="5"/>
  <c r="K1044" i="5"/>
  <c r="I1044" i="5"/>
  <c r="K1043" i="5"/>
  <c r="I1043" i="5"/>
  <c r="K1042" i="5"/>
  <c r="I1042" i="5"/>
  <c r="K1041" i="5"/>
  <c r="I1041" i="5"/>
  <c r="K1040" i="5"/>
  <c r="I1040" i="5"/>
  <c r="K1039" i="5"/>
  <c r="I1039" i="5"/>
  <c r="K1038" i="5"/>
  <c r="I1038" i="5"/>
  <c r="K1037" i="5"/>
  <c r="I1037" i="5"/>
  <c r="K1036" i="5"/>
  <c r="I1036" i="5"/>
  <c r="K1035" i="5"/>
  <c r="I1035" i="5"/>
  <c r="K1034" i="5"/>
  <c r="I1034" i="5"/>
  <c r="K1033" i="5"/>
  <c r="I1033" i="5"/>
  <c r="K1032" i="5"/>
  <c r="I1032" i="5"/>
  <c r="K1031" i="5"/>
  <c r="I1031" i="5"/>
  <c r="K1030" i="5"/>
  <c r="I1030" i="5"/>
  <c r="K1029" i="5"/>
  <c r="I1029" i="5"/>
  <c r="K1028" i="5"/>
  <c r="I1028" i="5"/>
  <c r="K1027" i="5"/>
  <c r="I1027" i="5"/>
  <c r="K1026" i="5"/>
  <c r="I1026" i="5"/>
  <c r="K1025" i="5"/>
  <c r="I1025" i="5"/>
  <c r="K1024" i="5"/>
  <c r="I1024" i="5"/>
  <c r="K1023" i="5"/>
  <c r="I1023" i="5"/>
  <c r="K1022" i="5"/>
  <c r="I1022" i="5"/>
  <c r="K1021" i="5"/>
  <c r="I1021" i="5"/>
  <c r="K1020" i="5"/>
  <c r="I1020" i="5"/>
  <c r="K1019" i="5"/>
  <c r="I1019" i="5"/>
  <c r="K1018" i="5"/>
  <c r="I1018" i="5"/>
  <c r="K1017" i="5"/>
  <c r="I1017" i="5"/>
  <c r="K1016" i="5"/>
  <c r="I1016" i="5"/>
  <c r="K1015" i="5"/>
  <c r="I1015" i="5"/>
  <c r="K1014" i="5"/>
  <c r="I1014" i="5"/>
  <c r="K1013" i="5"/>
  <c r="I1013" i="5"/>
  <c r="K1012" i="5"/>
  <c r="I1012" i="5"/>
  <c r="K1011" i="5"/>
  <c r="I1011" i="5"/>
  <c r="K1010" i="5"/>
  <c r="I1010" i="5"/>
  <c r="K1009" i="5"/>
  <c r="I1009" i="5"/>
  <c r="K1008" i="5"/>
  <c r="I1008" i="5"/>
  <c r="K1007" i="5"/>
  <c r="I1007" i="5"/>
  <c r="K1006" i="5"/>
  <c r="I1006" i="5"/>
  <c r="K1005" i="5"/>
  <c r="I1005" i="5"/>
  <c r="K1004" i="5"/>
  <c r="I1004" i="5"/>
  <c r="K1003" i="5"/>
  <c r="I1003" i="5"/>
  <c r="K1002" i="5"/>
  <c r="I1002" i="5"/>
  <c r="K1001" i="5"/>
  <c r="I1001" i="5"/>
  <c r="K1000" i="5"/>
  <c r="I1000" i="5"/>
  <c r="K999" i="5"/>
  <c r="I999" i="5"/>
  <c r="K998" i="5"/>
  <c r="I998" i="5"/>
  <c r="K997" i="5"/>
  <c r="I997" i="5"/>
  <c r="K996" i="5"/>
  <c r="I996" i="5"/>
  <c r="K995" i="5"/>
  <c r="I995" i="5"/>
  <c r="K994" i="5"/>
  <c r="I994" i="5"/>
  <c r="K993" i="5"/>
  <c r="I993" i="5"/>
  <c r="K992" i="5"/>
  <c r="I992" i="5"/>
  <c r="K991" i="5"/>
  <c r="I991" i="5"/>
  <c r="K990" i="5"/>
  <c r="I990" i="5"/>
  <c r="K989" i="5"/>
  <c r="I989" i="5"/>
  <c r="K988" i="5"/>
  <c r="I988" i="5"/>
  <c r="K987" i="5"/>
  <c r="I987" i="5"/>
  <c r="K986" i="5"/>
  <c r="I986" i="5"/>
  <c r="K985" i="5"/>
  <c r="I985" i="5"/>
  <c r="K984" i="5"/>
  <c r="I984" i="5"/>
  <c r="K983" i="5"/>
  <c r="I983" i="5"/>
  <c r="K982" i="5"/>
  <c r="I982" i="5"/>
  <c r="K981" i="5"/>
  <c r="I981" i="5"/>
  <c r="K980" i="5"/>
  <c r="I980" i="5"/>
  <c r="K979" i="5"/>
  <c r="I979" i="5"/>
  <c r="K978" i="5"/>
  <c r="I978" i="5"/>
  <c r="K977" i="5"/>
  <c r="I977" i="5"/>
  <c r="K976" i="5"/>
  <c r="I976" i="5"/>
  <c r="K975" i="5"/>
  <c r="I975" i="5"/>
  <c r="K974" i="5"/>
  <c r="I974" i="5"/>
  <c r="K973" i="5"/>
  <c r="I973" i="5"/>
  <c r="K972" i="5"/>
  <c r="I972" i="5"/>
  <c r="K971" i="5"/>
  <c r="I971" i="5"/>
  <c r="K970" i="5"/>
  <c r="I970" i="5"/>
  <c r="K969" i="5"/>
  <c r="I969" i="5"/>
  <c r="K968" i="5"/>
  <c r="I968" i="5"/>
  <c r="K967" i="5"/>
  <c r="I967" i="5"/>
  <c r="K966" i="5"/>
  <c r="I966" i="5"/>
  <c r="K965" i="5"/>
  <c r="I965" i="5"/>
  <c r="K964" i="5"/>
  <c r="I964" i="5"/>
  <c r="K963" i="5"/>
  <c r="I963" i="5"/>
  <c r="K962" i="5"/>
  <c r="I962" i="5"/>
  <c r="K961" i="5"/>
  <c r="I961" i="5"/>
  <c r="K960" i="5"/>
  <c r="I960" i="5"/>
  <c r="K959" i="5"/>
  <c r="I959" i="5"/>
  <c r="K958" i="5"/>
  <c r="I958" i="5"/>
  <c r="K957" i="5"/>
  <c r="I957" i="5"/>
  <c r="K956" i="5"/>
  <c r="I956" i="5"/>
  <c r="K955" i="5"/>
  <c r="I955" i="5"/>
  <c r="K954" i="5"/>
  <c r="I954" i="5"/>
  <c r="K953" i="5"/>
  <c r="I953" i="5"/>
  <c r="K952" i="5"/>
  <c r="I952" i="5"/>
  <c r="K951" i="5"/>
  <c r="I951" i="5"/>
  <c r="K950" i="5"/>
  <c r="I950" i="5"/>
  <c r="K949" i="5"/>
  <c r="I949" i="5"/>
  <c r="K948" i="5"/>
  <c r="I948" i="5"/>
  <c r="K947" i="5"/>
  <c r="I947" i="5"/>
  <c r="K946" i="5"/>
  <c r="I946" i="5"/>
  <c r="K945" i="5"/>
  <c r="I945" i="5"/>
  <c r="K944" i="5"/>
  <c r="I944" i="5"/>
  <c r="K943" i="5"/>
  <c r="I943" i="5"/>
  <c r="K942" i="5"/>
  <c r="I942" i="5"/>
  <c r="K941" i="5"/>
  <c r="I941" i="5"/>
  <c r="K940" i="5"/>
  <c r="I940" i="5"/>
  <c r="K939" i="5"/>
  <c r="I939" i="5"/>
  <c r="K938" i="5"/>
  <c r="I938" i="5"/>
  <c r="K937" i="5"/>
  <c r="I937" i="5"/>
  <c r="K936" i="5"/>
  <c r="I936" i="5"/>
  <c r="K935" i="5"/>
  <c r="I935" i="5"/>
  <c r="K934" i="5"/>
  <c r="I934" i="5"/>
  <c r="K933" i="5"/>
  <c r="I933" i="5"/>
  <c r="K932" i="5"/>
  <c r="I932" i="5"/>
  <c r="K931" i="5"/>
  <c r="I931" i="5"/>
  <c r="K930" i="5"/>
  <c r="I930" i="5"/>
  <c r="K929" i="5"/>
  <c r="I929" i="5"/>
  <c r="K928" i="5"/>
  <c r="I928" i="5"/>
  <c r="K927" i="5"/>
  <c r="I927" i="5"/>
  <c r="K926" i="5"/>
  <c r="I926" i="5"/>
  <c r="K925" i="5"/>
  <c r="I925" i="5"/>
  <c r="K924" i="5"/>
  <c r="I924" i="5"/>
  <c r="K923" i="5"/>
  <c r="I923" i="5"/>
  <c r="K922" i="5"/>
  <c r="I922" i="5"/>
  <c r="K921" i="5"/>
  <c r="I921" i="5"/>
  <c r="K920" i="5"/>
  <c r="I920" i="5"/>
  <c r="K919" i="5"/>
  <c r="I919" i="5"/>
  <c r="K918" i="5"/>
  <c r="I918" i="5"/>
  <c r="K917" i="5"/>
  <c r="I917" i="5"/>
  <c r="K916" i="5"/>
  <c r="I916" i="5"/>
  <c r="K915" i="5"/>
  <c r="I915" i="5"/>
  <c r="K914" i="5"/>
  <c r="I914" i="5"/>
  <c r="K913" i="5"/>
  <c r="I913" i="5"/>
  <c r="K912" i="5"/>
  <c r="I912" i="5"/>
  <c r="K911" i="5"/>
  <c r="I911" i="5"/>
  <c r="K910" i="5"/>
  <c r="I910" i="5"/>
  <c r="K909" i="5"/>
  <c r="I909" i="5"/>
  <c r="K908" i="5"/>
  <c r="I908" i="5"/>
  <c r="K907" i="5"/>
  <c r="I907" i="5"/>
  <c r="K906" i="5"/>
  <c r="I906" i="5"/>
  <c r="K905" i="5"/>
  <c r="I905" i="5"/>
  <c r="K904" i="5"/>
  <c r="I904" i="5"/>
  <c r="K903" i="5"/>
  <c r="I903" i="5"/>
  <c r="K902" i="5"/>
  <c r="I902" i="5"/>
  <c r="K901" i="5"/>
  <c r="I901" i="5"/>
  <c r="K900" i="5"/>
  <c r="I900" i="5"/>
  <c r="K899" i="5"/>
  <c r="I899" i="5"/>
  <c r="K898" i="5"/>
  <c r="I898" i="5"/>
  <c r="K897" i="5"/>
  <c r="I897" i="5"/>
  <c r="K896" i="5"/>
  <c r="I896" i="5"/>
  <c r="K895" i="5"/>
  <c r="I895" i="5"/>
  <c r="K894" i="5"/>
  <c r="I894" i="5"/>
  <c r="K893" i="5"/>
  <c r="I893" i="5"/>
  <c r="K892" i="5"/>
  <c r="I892" i="5"/>
  <c r="K891" i="5"/>
  <c r="I891" i="5"/>
  <c r="K890" i="5"/>
  <c r="I890" i="5"/>
  <c r="K889" i="5"/>
  <c r="I889" i="5"/>
  <c r="K888" i="5"/>
  <c r="I888" i="5"/>
  <c r="K887" i="5"/>
  <c r="I887" i="5"/>
  <c r="K886" i="5"/>
  <c r="I886" i="5"/>
  <c r="K885" i="5"/>
  <c r="I885" i="5"/>
  <c r="K884" i="5"/>
  <c r="I884" i="5"/>
  <c r="K883" i="5"/>
  <c r="I883" i="5"/>
  <c r="K882" i="5"/>
  <c r="I882" i="5"/>
  <c r="K881" i="5"/>
  <c r="I881" i="5"/>
  <c r="K880" i="5"/>
  <c r="I880" i="5"/>
  <c r="K879" i="5"/>
  <c r="I879" i="5"/>
  <c r="K878" i="5"/>
  <c r="I878" i="5"/>
  <c r="K877" i="5"/>
  <c r="I877" i="5"/>
  <c r="K876" i="5"/>
  <c r="I876" i="5"/>
  <c r="K875" i="5"/>
  <c r="I875" i="5"/>
  <c r="K874" i="5"/>
  <c r="I874" i="5"/>
  <c r="K873" i="5"/>
  <c r="I873" i="5"/>
  <c r="K872" i="5"/>
  <c r="I872" i="5"/>
  <c r="K871" i="5"/>
  <c r="I871" i="5"/>
  <c r="K870" i="5"/>
  <c r="I870" i="5"/>
  <c r="K869" i="5"/>
  <c r="I869" i="5"/>
  <c r="K868" i="5"/>
  <c r="I868" i="5"/>
  <c r="K867" i="5"/>
  <c r="I867" i="5"/>
  <c r="K866" i="5"/>
  <c r="I866" i="5"/>
  <c r="K865" i="5"/>
  <c r="I865" i="5"/>
  <c r="K864" i="5"/>
  <c r="I864" i="5"/>
  <c r="K863" i="5"/>
  <c r="I863" i="5"/>
  <c r="K862" i="5"/>
  <c r="I862" i="5"/>
  <c r="K861" i="5"/>
  <c r="I861" i="5"/>
  <c r="K860" i="5"/>
  <c r="I860" i="5"/>
  <c r="K859" i="5"/>
  <c r="I859" i="5"/>
  <c r="K858" i="5"/>
  <c r="I858" i="5"/>
  <c r="K857" i="5"/>
  <c r="I857" i="5"/>
  <c r="K856" i="5"/>
  <c r="I856" i="5"/>
  <c r="K855" i="5"/>
  <c r="I855" i="5"/>
  <c r="K854" i="5"/>
  <c r="I854" i="5"/>
  <c r="K853" i="5"/>
  <c r="I853" i="5"/>
  <c r="K852" i="5"/>
  <c r="I852" i="5"/>
  <c r="K851" i="5"/>
  <c r="I851" i="5"/>
  <c r="K850" i="5"/>
  <c r="I850" i="5"/>
  <c r="K849" i="5"/>
  <c r="I849" i="5"/>
  <c r="K848" i="5"/>
  <c r="I848" i="5"/>
  <c r="K847" i="5"/>
  <c r="I847" i="5"/>
  <c r="K846" i="5"/>
  <c r="I846" i="5"/>
  <c r="K845" i="5"/>
  <c r="I845" i="5"/>
  <c r="K844" i="5"/>
  <c r="I844" i="5"/>
  <c r="K843" i="5"/>
  <c r="I843" i="5"/>
  <c r="K842" i="5"/>
  <c r="I842" i="5"/>
  <c r="K841" i="5"/>
  <c r="I841" i="5"/>
  <c r="K840" i="5"/>
  <c r="I840" i="5"/>
  <c r="K839" i="5"/>
  <c r="I839" i="5"/>
  <c r="K838" i="5"/>
  <c r="I838" i="5"/>
  <c r="K837" i="5"/>
  <c r="I837" i="5"/>
  <c r="K836" i="5"/>
  <c r="I836" i="5"/>
  <c r="K835" i="5"/>
  <c r="I835" i="5"/>
  <c r="K834" i="5"/>
  <c r="I834" i="5"/>
  <c r="K833" i="5"/>
  <c r="I833" i="5"/>
  <c r="K832" i="5"/>
  <c r="I832" i="5"/>
  <c r="K831" i="5"/>
  <c r="I831" i="5"/>
  <c r="K830" i="5"/>
  <c r="I830" i="5"/>
  <c r="K829" i="5"/>
  <c r="I829" i="5"/>
  <c r="K828" i="5"/>
  <c r="I828" i="5"/>
  <c r="K827" i="5"/>
  <c r="I827" i="5"/>
  <c r="K826" i="5"/>
  <c r="I826" i="5"/>
  <c r="K825" i="5"/>
  <c r="I825" i="5"/>
  <c r="K824" i="5"/>
  <c r="I824" i="5"/>
  <c r="K823" i="5"/>
  <c r="I823" i="5"/>
  <c r="K822" i="5"/>
  <c r="I822" i="5"/>
  <c r="K821" i="5"/>
  <c r="I821" i="5"/>
  <c r="K820" i="5"/>
  <c r="I820" i="5"/>
  <c r="K819" i="5"/>
  <c r="I819" i="5"/>
  <c r="K818" i="5"/>
  <c r="I818" i="5"/>
  <c r="K817" i="5"/>
  <c r="I817" i="5"/>
  <c r="K816" i="5"/>
  <c r="I816" i="5"/>
  <c r="K815" i="5"/>
  <c r="I815" i="5"/>
  <c r="K814" i="5"/>
  <c r="I814" i="5"/>
  <c r="K813" i="5"/>
  <c r="I813" i="5"/>
  <c r="K812" i="5"/>
  <c r="I812" i="5"/>
  <c r="K811" i="5"/>
  <c r="I811" i="5"/>
  <c r="K810" i="5"/>
  <c r="I810" i="5"/>
  <c r="K809" i="5"/>
  <c r="I809" i="5"/>
  <c r="K808" i="5"/>
  <c r="I808" i="5"/>
  <c r="K807" i="5"/>
  <c r="I807" i="5"/>
  <c r="K806" i="5"/>
  <c r="I806" i="5"/>
  <c r="K805" i="5"/>
  <c r="I805" i="5"/>
  <c r="K804" i="5"/>
  <c r="I804" i="5"/>
  <c r="K803" i="5"/>
  <c r="I803" i="5"/>
  <c r="K802" i="5"/>
  <c r="I802" i="5"/>
  <c r="K801" i="5"/>
  <c r="I801" i="5"/>
  <c r="K800" i="5"/>
  <c r="I800" i="5"/>
  <c r="K799" i="5"/>
  <c r="I799" i="5"/>
  <c r="K798" i="5"/>
  <c r="I798" i="5"/>
  <c r="K797" i="5"/>
  <c r="I797" i="5"/>
  <c r="K796" i="5"/>
  <c r="I796" i="5"/>
  <c r="K795" i="5"/>
  <c r="I795" i="5"/>
  <c r="K794" i="5"/>
  <c r="I794" i="5"/>
  <c r="K793" i="5"/>
  <c r="I793" i="5"/>
  <c r="K792" i="5"/>
  <c r="I792" i="5"/>
  <c r="K791" i="5"/>
  <c r="I791" i="5"/>
  <c r="K790" i="5"/>
  <c r="I790" i="5"/>
  <c r="K789" i="5"/>
  <c r="I789" i="5"/>
  <c r="K788" i="5"/>
  <c r="I788" i="5"/>
  <c r="K787" i="5"/>
  <c r="I787" i="5"/>
  <c r="K786" i="5"/>
  <c r="I786" i="5"/>
  <c r="K785" i="5"/>
  <c r="I785" i="5"/>
  <c r="K784" i="5"/>
  <c r="I784" i="5"/>
  <c r="K783" i="5"/>
  <c r="I783" i="5"/>
  <c r="K782" i="5"/>
  <c r="I782" i="5"/>
  <c r="K781" i="5"/>
  <c r="I781" i="5"/>
  <c r="K780" i="5"/>
  <c r="I780" i="5"/>
  <c r="K779" i="5"/>
  <c r="I779" i="5"/>
  <c r="K778" i="5"/>
  <c r="I778" i="5"/>
  <c r="K777" i="5"/>
  <c r="I777" i="5"/>
  <c r="K776" i="5"/>
  <c r="I776" i="5"/>
  <c r="K775" i="5"/>
  <c r="I775" i="5"/>
  <c r="K774" i="5"/>
  <c r="I774" i="5"/>
  <c r="K773" i="5"/>
  <c r="I773" i="5"/>
  <c r="K772" i="5"/>
  <c r="I772" i="5"/>
  <c r="K771" i="5"/>
  <c r="I771" i="5"/>
  <c r="K770" i="5"/>
  <c r="I770" i="5"/>
  <c r="K769" i="5"/>
  <c r="I769" i="5"/>
  <c r="K768" i="5"/>
  <c r="I768" i="5"/>
  <c r="K767" i="5"/>
  <c r="I767" i="5"/>
  <c r="K766" i="5"/>
  <c r="I766" i="5"/>
  <c r="K765" i="5"/>
  <c r="I765" i="5"/>
  <c r="K764" i="5"/>
  <c r="I764" i="5"/>
  <c r="K763" i="5"/>
  <c r="I763" i="5"/>
  <c r="K762" i="5"/>
  <c r="I762" i="5"/>
  <c r="K761" i="5"/>
  <c r="I761" i="5"/>
  <c r="K760" i="5"/>
  <c r="I760" i="5"/>
  <c r="K759" i="5"/>
  <c r="I759" i="5"/>
  <c r="K758" i="5"/>
  <c r="I758" i="5"/>
  <c r="K757" i="5"/>
  <c r="I757" i="5"/>
  <c r="K756" i="5"/>
  <c r="I756" i="5"/>
  <c r="K755" i="5"/>
  <c r="I755" i="5"/>
  <c r="K754" i="5"/>
  <c r="I754" i="5"/>
  <c r="K753" i="5"/>
  <c r="I753" i="5"/>
  <c r="K752" i="5"/>
  <c r="I752" i="5"/>
  <c r="K751" i="5"/>
  <c r="I751" i="5"/>
  <c r="K750" i="5"/>
  <c r="I750" i="5"/>
  <c r="K749" i="5"/>
  <c r="I749" i="5"/>
  <c r="K748" i="5"/>
  <c r="I748" i="5"/>
  <c r="K747" i="5"/>
  <c r="I747" i="5"/>
  <c r="K746" i="5"/>
  <c r="I746" i="5"/>
  <c r="K745" i="5"/>
  <c r="I745" i="5"/>
  <c r="K744" i="5"/>
  <c r="I744" i="5"/>
  <c r="K743" i="5"/>
  <c r="I743" i="5"/>
  <c r="K742" i="5"/>
  <c r="I742" i="5"/>
  <c r="K741" i="5"/>
  <c r="I741" i="5"/>
  <c r="K740" i="5"/>
  <c r="I740" i="5"/>
  <c r="K739" i="5"/>
  <c r="I739" i="5"/>
  <c r="K738" i="5"/>
  <c r="I738" i="5"/>
  <c r="K737" i="5"/>
  <c r="I737" i="5"/>
  <c r="K736" i="5"/>
  <c r="I736" i="5"/>
  <c r="K735" i="5"/>
  <c r="I735" i="5"/>
  <c r="K734" i="5"/>
  <c r="I734" i="5"/>
  <c r="K733" i="5"/>
  <c r="I733" i="5"/>
  <c r="K732" i="5"/>
  <c r="I732" i="5"/>
  <c r="K731" i="5"/>
  <c r="I731" i="5"/>
  <c r="K730" i="5"/>
  <c r="I730" i="5"/>
  <c r="K729" i="5"/>
  <c r="I729" i="5"/>
  <c r="K728" i="5"/>
  <c r="I728" i="5"/>
  <c r="K727" i="5"/>
  <c r="I727" i="5"/>
  <c r="K726" i="5"/>
  <c r="I726" i="5"/>
  <c r="K725" i="5"/>
  <c r="I725" i="5"/>
  <c r="K724" i="5"/>
  <c r="I724" i="5"/>
  <c r="K723" i="5"/>
  <c r="I723" i="5"/>
  <c r="K722" i="5"/>
  <c r="I722" i="5"/>
  <c r="K721" i="5"/>
  <c r="I721" i="5"/>
  <c r="K720" i="5"/>
  <c r="I720" i="5"/>
  <c r="K719" i="5"/>
  <c r="I719" i="5"/>
  <c r="K718" i="5"/>
  <c r="I718" i="5"/>
  <c r="K717" i="5"/>
  <c r="I717" i="5"/>
  <c r="K716" i="5"/>
  <c r="I716" i="5"/>
  <c r="K715" i="5"/>
  <c r="I715" i="5"/>
  <c r="K714" i="5"/>
  <c r="I714" i="5"/>
  <c r="K713" i="5"/>
  <c r="I713" i="5"/>
  <c r="K712" i="5"/>
  <c r="I712" i="5"/>
  <c r="K711" i="5"/>
  <c r="I711" i="5"/>
  <c r="K710" i="5"/>
  <c r="I710" i="5"/>
  <c r="K709" i="5"/>
  <c r="I709" i="5"/>
  <c r="K708" i="5"/>
  <c r="I708" i="5"/>
  <c r="K707" i="5"/>
  <c r="I707" i="5"/>
  <c r="K706" i="5"/>
  <c r="I706" i="5"/>
  <c r="K705" i="5"/>
  <c r="I705" i="5"/>
  <c r="K704" i="5"/>
  <c r="I704" i="5"/>
  <c r="K703" i="5"/>
  <c r="I703" i="5"/>
  <c r="K702" i="5"/>
  <c r="I702" i="5"/>
  <c r="K701" i="5"/>
  <c r="I701" i="5"/>
  <c r="K700" i="5"/>
  <c r="I700" i="5"/>
  <c r="K699" i="5"/>
  <c r="I699" i="5"/>
  <c r="K698" i="5"/>
  <c r="I698" i="5"/>
  <c r="K697" i="5"/>
  <c r="I697" i="5"/>
  <c r="K696" i="5"/>
  <c r="I696" i="5"/>
  <c r="K695" i="5"/>
  <c r="I695" i="5"/>
  <c r="K694" i="5"/>
  <c r="I694" i="5"/>
  <c r="K693" i="5"/>
  <c r="I693" i="5"/>
  <c r="K692" i="5"/>
  <c r="I692" i="5"/>
  <c r="K691" i="5"/>
  <c r="I691" i="5"/>
  <c r="K690" i="5"/>
  <c r="I690" i="5"/>
  <c r="K689" i="5"/>
  <c r="I689" i="5"/>
  <c r="K688" i="5"/>
  <c r="I688" i="5"/>
  <c r="K687" i="5"/>
  <c r="I687" i="5"/>
  <c r="K686" i="5"/>
  <c r="I686" i="5"/>
  <c r="K685" i="5"/>
  <c r="I685" i="5"/>
  <c r="K684" i="5"/>
  <c r="I684" i="5"/>
  <c r="K683" i="5"/>
  <c r="I683" i="5"/>
  <c r="K682" i="5"/>
  <c r="I682" i="5"/>
  <c r="K681" i="5"/>
  <c r="I681" i="5"/>
  <c r="K680" i="5"/>
  <c r="I680" i="5"/>
  <c r="K679" i="5"/>
  <c r="I679" i="5"/>
  <c r="K678" i="5"/>
  <c r="I678" i="5"/>
  <c r="K677" i="5"/>
  <c r="I677" i="5"/>
  <c r="K676" i="5"/>
  <c r="I676" i="5"/>
  <c r="K675" i="5"/>
  <c r="I675" i="5"/>
  <c r="K674" i="5"/>
  <c r="I674" i="5"/>
  <c r="K673" i="5"/>
  <c r="I673" i="5"/>
  <c r="K672" i="5"/>
  <c r="I672" i="5"/>
  <c r="K671" i="5"/>
  <c r="I671" i="5"/>
  <c r="K670" i="5"/>
  <c r="I670" i="5"/>
  <c r="K669" i="5"/>
  <c r="I669" i="5"/>
  <c r="K668" i="5"/>
  <c r="I668" i="5"/>
  <c r="K667" i="5"/>
  <c r="I667" i="5"/>
  <c r="K666" i="5"/>
  <c r="I666" i="5"/>
  <c r="K665" i="5"/>
  <c r="I665" i="5"/>
  <c r="K664" i="5"/>
  <c r="I664" i="5"/>
  <c r="K663" i="5"/>
  <c r="I663" i="5"/>
  <c r="K662" i="5"/>
  <c r="I662" i="5"/>
  <c r="K661" i="5"/>
  <c r="I661" i="5"/>
  <c r="K660" i="5"/>
  <c r="I660" i="5"/>
  <c r="K659" i="5"/>
  <c r="I659" i="5"/>
  <c r="K658" i="5"/>
  <c r="I658" i="5"/>
  <c r="K657" i="5"/>
  <c r="I657" i="5"/>
  <c r="K656" i="5"/>
  <c r="I656" i="5"/>
  <c r="K655" i="5"/>
  <c r="I655" i="5"/>
  <c r="K654" i="5"/>
  <c r="I654" i="5"/>
  <c r="K653" i="5"/>
  <c r="I653" i="5"/>
  <c r="K652" i="5"/>
  <c r="I652" i="5"/>
  <c r="K651" i="5"/>
  <c r="I651" i="5"/>
  <c r="K650" i="5"/>
  <c r="I650" i="5"/>
  <c r="K649" i="5"/>
  <c r="I649" i="5"/>
  <c r="K648" i="5"/>
  <c r="I648" i="5"/>
  <c r="K647" i="5"/>
  <c r="I647" i="5"/>
  <c r="K646" i="5"/>
  <c r="I646" i="5"/>
  <c r="K645" i="5"/>
  <c r="I645" i="5"/>
  <c r="K644" i="5"/>
  <c r="I644" i="5"/>
  <c r="K643" i="5"/>
  <c r="I643" i="5"/>
  <c r="K642" i="5"/>
  <c r="I642" i="5"/>
  <c r="K641" i="5"/>
  <c r="I641" i="5"/>
  <c r="K640" i="5"/>
  <c r="I640" i="5"/>
  <c r="K639" i="5"/>
  <c r="I639" i="5"/>
  <c r="K638" i="5"/>
  <c r="I638" i="5"/>
  <c r="K637" i="5"/>
  <c r="I637" i="5"/>
  <c r="K636" i="5"/>
  <c r="I636" i="5"/>
  <c r="K635" i="5"/>
  <c r="I635" i="5"/>
  <c r="K634" i="5"/>
  <c r="I634" i="5"/>
  <c r="K633" i="5"/>
  <c r="I633" i="5"/>
  <c r="K632" i="5"/>
  <c r="I632" i="5"/>
  <c r="K631" i="5"/>
  <c r="I631" i="5"/>
  <c r="K630" i="5"/>
  <c r="I630" i="5"/>
  <c r="K629" i="5"/>
  <c r="I629" i="5"/>
  <c r="K628" i="5"/>
  <c r="I628" i="5"/>
  <c r="K627" i="5"/>
  <c r="I627" i="5"/>
  <c r="K626" i="5"/>
  <c r="I626" i="5"/>
  <c r="K625" i="5"/>
  <c r="I625" i="5"/>
  <c r="K624" i="5"/>
  <c r="I624" i="5"/>
  <c r="K623" i="5"/>
  <c r="I623" i="5"/>
  <c r="K622" i="5"/>
  <c r="I622" i="5"/>
  <c r="K621" i="5"/>
  <c r="I621" i="5"/>
  <c r="K620" i="5"/>
  <c r="I620" i="5"/>
  <c r="K619" i="5"/>
  <c r="I619" i="5"/>
  <c r="K618" i="5"/>
  <c r="I618" i="5"/>
  <c r="K617" i="5"/>
  <c r="I617" i="5"/>
  <c r="K616" i="5"/>
  <c r="I616" i="5"/>
  <c r="K615" i="5"/>
  <c r="I615" i="5"/>
  <c r="K614" i="5"/>
  <c r="I614" i="5"/>
  <c r="K613" i="5"/>
  <c r="I613" i="5"/>
  <c r="K612" i="5"/>
  <c r="I612" i="5"/>
  <c r="K611" i="5"/>
  <c r="I611" i="5"/>
  <c r="K610" i="5"/>
  <c r="I610" i="5"/>
  <c r="K609" i="5"/>
  <c r="I609" i="5"/>
  <c r="K608" i="5"/>
  <c r="I608" i="5"/>
  <c r="K607" i="5"/>
  <c r="I607" i="5"/>
  <c r="K606" i="5"/>
  <c r="I606" i="5"/>
  <c r="K605" i="5"/>
  <c r="I605" i="5"/>
  <c r="K604" i="5"/>
  <c r="I604" i="5"/>
  <c r="K603" i="5"/>
  <c r="I603" i="5"/>
  <c r="K602" i="5"/>
  <c r="I602" i="5"/>
  <c r="K601" i="5"/>
  <c r="I601" i="5"/>
  <c r="K600" i="5"/>
  <c r="I600" i="5"/>
  <c r="K599" i="5"/>
  <c r="I599" i="5"/>
  <c r="K598" i="5"/>
  <c r="I598" i="5"/>
  <c r="K597" i="5"/>
  <c r="I597" i="5"/>
  <c r="K596" i="5"/>
  <c r="I596" i="5"/>
  <c r="K595" i="5"/>
  <c r="I595" i="5"/>
  <c r="K594" i="5"/>
  <c r="I594" i="5"/>
  <c r="K593" i="5"/>
  <c r="I593" i="5"/>
  <c r="K592" i="5"/>
  <c r="I592" i="5"/>
  <c r="K591" i="5"/>
  <c r="I591" i="5"/>
  <c r="K590" i="5"/>
  <c r="I590" i="5"/>
  <c r="K589" i="5"/>
  <c r="I589" i="5"/>
  <c r="K588" i="5"/>
  <c r="I588" i="5"/>
  <c r="K587" i="5"/>
  <c r="I587" i="5"/>
  <c r="K586" i="5"/>
  <c r="I586" i="5"/>
  <c r="K585" i="5"/>
  <c r="I585" i="5"/>
  <c r="K584" i="5"/>
  <c r="I584" i="5"/>
  <c r="K583" i="5"/>
  <c r="I583" i="5"/>
  <c r="K582" i="5"/>
  <c r="I582" i="5"/>
  <c r="K581" i="5"/>
  <c r="I581" i="5"/>
  <c r="K580" i="5"/>
  <c r="I580" i="5"/>
  <c r="K579" i="5"/>
  <c r="I579" i="5"/>
  <c r="K578" i="5"/>
  <c r="I578" i="5"/>
  <c r="K577" i="5"/>
  <c r="I577" i="5"/>
  <c r="K576" i="5"/>
  <c r="I576" i="5"/>
  <c r="K575" i="5"/>
  <c r="I575" i="5"/>
  <c r="K574" i="5"/>
  <c r="I574" i="5"/>
  <c r="K573" i="5"/>
  <c r="I573" i="5"/>
  <c r="K572" i="5"/>
  <c r="I572" i="5"/>
  <c r="K571" i="5"/>
  <c r="I571" i="5"/>
  <c r="K570" i="5"/>
  <c r="I570" i="5"/>
  <c r="K569" i="5"/>
  <c r="I569" i="5"/>
  <c r="K568" i="5"/>
  <c r="I568" i="5"/>
  <c r="K567" i="5"/>
  <c r="I567" i="5"/>
  <c r="K566" i="5"/>
  <c r="I566" i="5"/>
  <c r="K565" i="5"/>
  <c r="I565" i="5"/>
  <c r="K564" i="5"/>
  <c r="I564" i="5"/>
  <c r="K563" i="5"/>
  <c r="I563" i="5"/>
  <c r="K562" i="5"/>
  <c r="I562" i="5"/>
  <c r="K561" i="5"/>
  <c r="I561" i="5"/>
  <c r="K560" i="5"/>
  <c r="I560" i="5"/>
  <c r="K559" i="5"/>
  <c r="I559" i="5"/>
  <c r="K558" i="5"/>
  <c r="I558" i="5"/>
  <c r="K557" i="5"/>
  <c r="I557" i="5"/>
  <c r="K556" i="5"/>
  <c r="I556" i="5"/>
  <c r="K555" i="5"/>
  <c r="I555" i="5"/>
  <c r="K554" i="5"/>
  <c r="I554" i="5"/>
  <c r="K553" i="5"/>
  <c r="I553" i="5"/>
  <c r="K552" i="5"/>
  <c r="I552" i="5"/>
  <c r="K551" i="5"/>
  <c r="I551" i="5"/>
  <c r="K550" i="5"/>
  <c r="I550" i="5"/>
  <c r="K549" i="5"/>
  <c r="I549" i="5"/>
  <c r="K548" i="5"/>
  <c r="I548" i="5"/>
  <c r="K547" i="5"/>
  <c r="I547" i="5"/>
  <c r="K546" i="5"/>
  <c r="I546" i="5"/>
  <c r="K545" i="5"/>
  <c r="I545" i="5"/>
  <c r="K544" i="5"/>
  <c r="I544" i="5"/>
  <c r="K543" i="5"/>
  <c r="I543" i="5"/>
  <c r="K542" i="5"/>
  <c r="I542" i="5"/>
  <c r="K541" i="5"/>
  <c r="I541" i="5"/>
  <c r="K540" i="5"/>
  <c r="I540" i="5"/>
  <c r="K539" i="5"/>
  <c r="I539" i="5"/>
  <c r="K538" i="5"/>
  <c r="I538" i="5"/>
  <c r="K537" i="5"/>
  <c r="I537" i="5"/>
  <c r="K536" i="5"/>
  <c r="I536" i="5"/>
  <c r="K535" i="5"/>
  <c r="I535" i="5"/>
  <c r="K534" i="5"/>
  <c r="I534" i="5"/>
  <c r="K533" i="5"/>
  <c r="I533" i="5"/>
  <c r="K532" i="5"/>
  <c r="I532" i="5"/>
  <c r="K531" i="5"/>
  <c r="I531" i="5"/>
  <c r="K530" i="5"/>
  <c r="I530" i="5"/>
  <c r="K529" i="5"/>
  <c r="I529" i="5"/>
  <c r="K528" i="5"/>
  <c r="I528" i="5"/>
  <c r="K527" i="5"/>
  <c r="I527" i="5"/>
  <c r="K526" i="5"/>
  <c r="I526" i="5"/>
  <c r="K525" i="5"/>
  <c r="I525" i="5"/>
  <c r="K524" i="5"/>
  <c r="I524" i="5"/>
  <c r="K523" i="5"/>
  <c r="I523" i="5"/>
  <c r="K522" i="5"/>
  <c r="I522" i="5"/>
  <c r="K521" i="5"/>
  <c r="I521" i="5"/>
  <c r="K520" i="5"/>
  <c r="I520" i="5"/>
  <c r="K519" i="5"/>
  <c r="I519" i="5"/>
  <c r="K518" i="5"/>
  <c r="I518" i="5"/>
  <c r="K517" i="5"/>
  <c r="I517" i="5"/>
  <c r="K516" i="5"/>
  <c r="I516" i="5"/>
  <c r="K515" i="5"/>
  <c r="I515" i="5"/>
  <c r="K514" i="5"/>
  <c r="I514" i="5"/>
  <c r="K513" i="5"/>
  <c r="I513" i="5"/>
  <c r="K512" i="5"/>
  <c r="I512" i="5"/>
  <c r="K511" i="5"/>
  <c r="I511" i="5"/>
  <c r="K510" i="5"/>
  <c r="I510" i="5"/>
  <c r="K509" i="5"/>
  <c r="I509" i="5"/>
  <c r="K508" i="5"/>
  <c r="I508" i="5"/>
  <c r="K507" i="5"/>
  <c r="I507" i="5"/>
  <c r="K506" i="5"/>
  <c r="I506" i="5"/>
  <c r="K505" i="5"/>
  <c r="I505" i="5"/>
  <c r="K504" i="5"/>
  <c r="I504" i="5"/>
  <c r="K503" i="5"/>
  <c r="I503" i="5"/>
  <c r="K502" i="5"/>
  <c r="I502" i="5"/>
  <c r="K501" i="5"/>
  <c r="I501" i="5"/>
  <c r="K500" i="5"/>
  <c r="I500" i="5"/>
  <c r="K499" i="5"/>
  <c r="I499" i="5"/>
  <c r="K498" i="5"/>
  <c r="I498" i="5"/>
  <c r="K497" i="5"/>
  <c r="I497" i="5"/>
  <c r="K496" i="5"/>
  <c r="I496" i="5"/>
  <c r="K495" i="5"/>
  <c r="I495" i="5"/>
  <c r="K494" i="5"/>
  <c r="I494" i="5"/>
  <c r="K493" i="5"/>
  <c r="I493" i="5"/>
  <c r="K492" i="5"/>
  <c r="I492" i="5"/>
  <c r="K491" i="5"/>
  <c r="I491" i="5"/>
  <c r="K490" i="5"/>
  <c r="I490" i="5"/>
  <c r="K489" i="5"/>
  <c r="I489" i="5"/>
  <c r="K488" i="5"/>
  <c r="I488" i="5"/>
  <c r="K487" i="5"/>
  <c r="I487" i="5"/>
  <c r="K486" i="5"/>
  <c r="I486" i="5"/>
  <c r="K485" i="5"/>
  <c r="I485" i="5"/>
  <c r="K484" i="5"/>
  <c r="I484" i="5"/>
  <c r="K483" i="5"/>
  <c r="I483" i="5"/>
  <c r="K482" i="5"/>
  <c r="I482" i="5"/>
  <c r="K481" i="5"/>
  <c r="I481" i="5"/>
  <c r="K480" i="5"/>
  <c r="I480" i="5"/>
  <c r="K479" i="5"/>
  <c r="I479" i="5"/>
  <c r="K478" i="5"/>
  <c r="I478" i="5"/>
  <c r="K477" i="5"/>
  <c r="I477" i="5"/>
  <c r="K476" i="5"/>
  <c r="I476" i="5"/>
  <c r="K475" i="5"/>
  <c r="I475" i="5"/>
  <c r="K474" i="5"/>
  <c r="I474" i="5"/>
  <c r="K473" i="5"/>
  <c r="I473" i="5"/>
  <c r="K472" i="5"/>
  <c r="I472" i="5"/>
  <c r="K471" i="5"/>
  <c r="I471" i="5"/>
  <c r="K470" i="5"/>
  <c r="I470" i="5"/>
  <c r="K469" i="5"/>
  <c r="I469" i="5"/>
  <c r="K468" i="5"/>
  <c r="I468" i="5"/>
  <c r="K467" i="5"/>
  <c r="I467" i="5"/>
  <c r="K466" i="5"/>
  <c r="I466" i="5"/>
  <c r="K465" i="5"/>
  <c r="I465" i="5"/>
  <c r="K464" i="5"/>
  <c r="I464" i="5"/>
  <c r="K463" i="5"/>
  <c r="I463" i="5"/>
  <c r="K462" i="5"/>
  <c r="I462" i="5"/>
  <c r="K461" i="5"/>
  <c r="I461" i="5"/>
  <c r="K460" i="5"/>
  <c r="I460" i="5"/>
  <c r="K459" i="5"/>
  <c r="I459" i="5"/>
  <c r="K458" i="5"/>
  <c r="I458" i="5"/>
  <c r="K457" i="5"/>
  <c r="I457" i="5"/>
  <c r="K456" i="5"/>
  <c r="I456" i="5"/>
  <c r="K455" i="5"/>
  <c r="I455" i="5"/>
  <c r="K454" i="5"/>
  <c r="I454" i="5"/>
  <c r="K453" i="5"/>
  <c r="I453" i="5"/>
  <c r="K452" i="5"/>
  <c r="I452" i="5"/>
  <c r="K451" i="5"/>
  <c r="I451" i="5"/>
  <c r="K450" i="5"/>
  <c r="I450" i="5"/>
  <c r="K449" i="5"/>
  <c r="I449" i="5"/>
  <c r="K448" i="5"/>
  <c r="I448" i="5"/>
  <c r="K447" i="5"/>
  <c r="I447" i="5"/>
  <c r="K446" i="5"/>
  <c r="I446" i="5"/>
  <c r="K445" i="5"/>
  <c r="I445" i="5"/>
  <c r="K444" i="5"/>
  <c r="I444" i="5"/>
  <c r="K443" i="5"/>
  <c r="I443" i="5"/>
  <c r="K442" i="5"/>
  <c r="I442" i="5"/>
  <c r="K441" i="5"/>
  <c r="I441" i="5"/>
  <c r="K440" i="5"/>
  <c r="I440" i="5"/>
  <c r="K439" i="5"/>
  <c r="I439" i="5"/>
  <c r="K438" i="5"/>
  <c r="I438" i="5"/>
  <c r="K437" i="5"/>
  <c r="I437" i="5"/>
  <c r="K436" i="5"/>
  <c r="I436" i="5"/>
  <c r="K435" i="5"/>
  <c r="I435" i="5"/>
  <c r="K434" i="5"/>
  <c r="I434" i="5"/>
  <c r="K433" i="5"/>
  <c r="I433" i="5"/>
  <c r="K432" i="5"/>
  <c r="I432" i="5"/>
  <c r="K431" i="5"/>
  <c r="I431" i="5"/>
  <c r="K430" i="5"/>
  <c r="I430" i="5"/>
  <c r="K429" i="5"/>
  <c r="I429" i="5"/>
  <c r="K428" i="5"/>
  <c r="I428" i="5"/>
  <c r="K427" i="5"/>
  <c r="I427" i="5"/>
  <c r="K426" i="5"/>
  <c r="I426" i="5"/>
  <c r="K425" i="5"/>
  <c r="I425" i="5"/>
  <c r="K424" i="5"/>
  <c r="I424" i="5"/>
  <c r="K423" i="5"/>
  <c r="I423" i="5"/>
  <c r="K422" i="5"/>
  <c r="I422" i="5"/>
  <c r="K421" i="5"/>
  <c r="I421" i="5"/>
  <c r="K420" i="5"/>
  <c r="I420" i="5"/>
  <c r="K419" i="5"/>
  <c r="I419" i="5"/>
  <c r="K418" i="5"/>
  <c r="I418" i="5"/>
  <c r="K417" i="5"/>
  <c r="I417" i="5"/>
  <c r="K416" i="5"/>
  <c r="I416" i="5"/>
  <c r="K415" i="5"/>
  <c r="I415" i="5"/>
  <c r="K414" i="5"/>
  <c r="I414" i="5"/>
  <c r="K413" i="5"/>
  <c r="I413" i="5"/>
  <c r="K412" i="5"/>
  <c r="I412" i="5"/>
  <c r="K411" i="5"/>
  <c r="I411" i="5"/>
  <c r="K410" i="5"/>
  <c r="I410" i="5"/>
  <c r="K409" i="5"/>
  <c r="I409" i="5"/>
  <c r="K408" i="5"/>
  <c r="I408" i="5"/>
  <c r="K407" i="5"/>
  <c r="I407" i="5"/>
  <c r="K406" i="5"/>
  <c r="I406" i="5"/>
  <c r="K405" i="5"/>
  <c r="I405" i="5"/>
  <c r="K404" i="5"/>
  <c r="I404" i="5"/>
  <c r="K403" i="5"/>
  <c r="I403" i="5"/>
  <c r="K402" i="5"/>
  <c r="I402" i="5"/>
  <c r="K401" i="5"/>
  <c r="I401" i="5"/>
  <c r="K400" i="5"/>
  <c r="I400" i="5"/>
  <c r="K399" i="5"/>
  <c r="I399" i="5"/>
  <c r="K398" i="5"/>
  <c r="I398" i="5"/>
  <c r="K397" i="5"/>
  <c r="I397" i="5"/>
  <c r="K396" i="5"/>
  <c r="I396" i="5"/>
  <c r="K395" i="5"/>
  <c r="I395" i="5"/>
  <c r="K394" i="5"/>
  <c r="I394" i="5"/>
  <c r="K393" i="5"/>
  <c r="I393" i="5"/>
  <c r="K392" i="5"/>
  <c r="I392" i="5"/>
  <c r="K391" i="5"/>
  <c r="I391" i="5"/>
  <c r="K390" i="5"/>
  <c r="I390" i="5"/>
  <c r="K389" i="5"/>
  <c r="I389" i="5"/>
  <c r="K388" i="5"/>
  <c r="I388" i="5"/>
  <c r="K387" i="5"/>
  <c r="I387" i="5"/>
  <c r="K386" i="5"/>
  <c r="I386" i="5"/>
  <c r="K385" i="5"/>
  <c r="I385" i="5"/>
  <c r="K384" i="5"/>
  <c r="I384" i="5"/>
  <c r="K383" i="5"/>
  <c r="I383" i="5"/>
  <c r="K382" i="5"/>
  <c r="I382" i="5"/>
  <c r="K381" i="5"/>
  <c r="I381" i="5"/>
  <c r="K380" i="5"/>
  <c r="I380" i="5"/>
  <c r="K379" i="5"/>
  <c r="I379" i="5"/>
  <c r="K378" i="5"/>
  <c r="I378" i="5"/>
  <c r="K377" i="5"/>
  <c r="I377" i="5"/>
  <c r="K376" i="5"/>
  <c r="I376" i="5"/>
  <c r="K375" i="5"/>
  <c r="I375" i="5"/>
  <c r="K374" i="5"/>
  <c r="I374" i="5"/>
  <c r="K373" i="5"/>
  <c r="I373" i="5"/>
  <c r="K372" i="5"/>
  <c r="I372" i="5"/>
  <c r="K371" i="5"/>
  <c r="I371" i="5"/>
  <c r="K370" i="5"/>
  <c r="I370" i="5"/>
  <c r="K369" i="5"/>
  <c r="I369" i="5"/>
  <c r="K368" i="5"/>
  <c r="I368" i="5"/>
  <c r="K367" i="5"/>
  <c r="I367" i="5"/>
  <c r="K366" i="5"/>
  <c r="I366" i="5"/>
  <c r="K365" i="5"/>
  <c r="I365" i="5"/>
  <c r="K364" i="5"/>
  <c r="I364" i="5"/>
  <c r="K363" i="5"/>
  <c r="I363" i="5"/>
  <c r="K362" i="5"/>
  <c r="I362" i="5"/>
  <c r="K361" i="5"/>
  <c r="I361" i="5"/>
  <c r="K360" i="5"/>
  <c r="I360" i="5"/>
  <c r="K359" i="5"/>
  <c r="I359" i="5"/>
  <c r="K358" i="5"/>
  <c r="I358" i="5"/>
  <c r="K357" i="5"/>
  <c r="I357" i="5"/>
  <c r="K356" i="5"/>
  <c r="I356" i="5"/>
  <c r="K355" i="5"/>
  <c r="I355" i="5"/>
  <c r="K354" i="5"/>
  <c r="I354" i="5"/>
  <c r="K353" i="5"/>
  <c r="I353" i="5"/>
  <c r="K352" i="5"/>
  <c r="I352" i="5"/>
  <c r="K351" i="5"/>
  <c r="I351" i="5"/>
  <c r="K350" i="5"/>
  <c r="I350" i="5"/>
  <c r="K349" i="5"/>
  <c r="I349" i="5"/>
  <c r="K348" i="5"/>
  <c r="I348" i="5"/>
  <c r="K347" i="5"/>
  <c r="I347" i="5"/>
  <c r="K346" i="5"/>
  <c r="I346" i="5"/>
  <c r="K345" i="5"/>
  <c r="I345" i="5"/>
  <c r="K344" i="5"/>
  <c r="I344" i="5"/>
  <c r="K343" i="5"/>
  <c r="I343" i="5"/>
  <c r="K342" i="5"/>
  <c r="I342" i="5"/>
  <c r="K341" i="5"/>
  <c r="I341" i="5"/>
  <c r="K340" i="5"/>
  <c r="I340" i="5"/>
  <c r="K339" i="5"/>
  <c r="I339" i="5"/>
  <c r="K338" i="5"/>
  <c r="I338" i="5"/>
  <c r="K337" i="5"/>
  <c r="I337" i="5"/>
  <c r="K336" i="5"/>
  <c r="I336" i="5"/>
  <c r="K335" i="5"/>
  <c r="I335" i="5"/>
  <c r="K334" i="5"/>
  <c r="I334" i="5"/>
  <c r="K333" i="5"/>
  <c r="I333" i="5"/>
  <c r="K332" i="5"/>
  <c r="I332" i="5"/>
  <c r="K331" i="5"/>
  <c r="I331" i="5"/>
  <c r="K330" i="5"/>
  <c r="I330" i="5"/>
  <c r="K329" i="5"/>
  <c r="I329" i="5"/>
  <c r="K328" i="5"/>
  <c r="I328" i="5"/>
  <c r="K327" i="5"/>
  <c r="I327" i="5"/>
  <c r="K326" i="5"/>
  <c r="I326" i="5"/>
  <c r="K325" i="5"/>
  <c r="I325" i="5"/>
  <c r="K324" i="5"/>
  <c r="I324" i="5"/>
  <c r="K323" i="5"/>
  <c r="I323" i="5"/>
  <c r="K322" i="5"/>
  <c r="I322" i="5"/>
  <c r="K321" i="5"/>
  <c r="I321" i="5"/>
  <c r="K320" i="5"/>
  <c r="I320" i="5"/>
  <c r="K319" i="5"/>
  <c r="I319" i="5"/>
  <c r="K318" i="5"/>
  <c r="I318" i="5"/>
  <c r="K317" i="5"/>
  <c r="I317" i="5"/>
  <c r="K316" i="5"/>
  <c r="I316" i="5"/>
  <c r="K315" i="5"/>
  <c r="I315" i="5"/>
  <c r="K314" i="5"/>
  <c r="I314" i="5"/>
  <c r="K313" i="5"/>
  <c r="I313" i="5"/>
  <c r="K312" i="5"/>
  <c r="I312" i="5"/>
  <c r="K311" i="5"/>
  <c r="I311" i="5"/>
  <c r="K310" i="5"/>
  <c r="I310" i="5"/>
  <c r="K309" i="5"/>
  <c r="I309" i="5"/>
  <c r="K308" i="5"/>
  <c r="I308" i="5"/>
  <c r="K307" i="5"/>
  <c r="I307" i="5"/>
  <c r="K306" i="5"/>
  <c r="I306" i="5"/>
  <c r="K305" i="5"/>
  <c r="I305" i="5"/>
  <c r="K304" i="5"/>
  <c r="I304" i="5"/>
  <c r="K303" i="5"/>
  <c r="I303" i="5"/>
  <c r="K302" i="5"/>
  <c r="I302" i="5"/>
  <c r="K301" i="5"/>
  <c r="I301" i="5"/>
  <c r="K300" i="5"/>
  <c r="I300" i="5"/>
  <c r="K299" i="5"/>
  <c r="I299" i="5"/>
  <c r="K298" i="5"/>
  <c r="I298" i="5"/>
  <c r="K297" i="5"/>
  <c r="I297" i="5"/>
  <c r="K296" i="5"/>
  <c r="I296" i="5"/>
  <c r="K295" i="5"/>
  <c r="I295" i="5"/>
  <c r="K294" i="5"/>
  <c r="I294" i="5"/>
  <c r="K293" i="5"/>
  <c r="I293" i="5"/>
  <c r="K292" i="5"/>
  <c r="I292" i="5"/>
  <c r="K291" i="5"/>
  <c r="I291" i="5"/>
  <c r="K290" i="5"/>
  <c r="I290" i="5"/>
  <c r="K289" i="5"/>
  <c r="I289" i="5"/>
  <c r="K288" i="5"/>
  <c r="I288" i="5"/>
  <c r="K287" i="5"/>
  <c r="I287" i="5"/>
  <c r="K286" i="5"/>
  <c r="I286" i="5"/>
  <c r="K285" i="5"/>
  <c r="I285" i="5"/>
  <c r="K284" i="5"/>
  <c r="I284" i="5"/>
  <c r="K283" i="5"/>
  <c r="I283" i="5"/>
  <c r="K282" i="5"/>
  <c r="I282" i="5"/>
  <c r="K281" i="5"/>
  <c r="I281" i="5"/>
  <c r="K280" i="5"/>
  <c r="I280" i="5"/>
  <c r="K279" i="5"/>
  <c r="I279" i="5"/>
  <c r="K278" i="5"/>
  <c r="I278" i="5"/>
  <c r="K277" i="5"/>
  <c r="I277" i="5"/>
  <c r="K276" i="5"/>
  <c r="I276" i="5"/>
  <c r="K275" i="5"/>
  <c r="I275" i="5"/>
  <c r="K274" i="5"/>
  <c r="I274" i="5"/>
  <c r="K273" i="5"/>
  <c r="I273" i="5"/>
  <c r="K272" i="5"/>
  <c r="I272" i="5"/>
  <c r="K271" i="5"/>
  <c r="I271" i="5"/>
  <c r="K270" i="5"/>
  <c r="I270" i="5"/>
  <c r="K269" i="5"/>
  <c r="I269" i="5"/>
  <c r="K268" i="5"/>
  <c r="I268" i="5"/>
  <c r="K267" i="5"/>
  <c r="I267" i="5"/>
  <c r="K266" i="5"/>
  <c r="I266" i="5"/>
  <c r="K265" i="5"/>
  <c r="I265" i="5"/>
  <c r="K264" i="5"/>
  <c r="I264" i="5"/>
  <c r="K263" i="5"/>
  <c r="I263" i="5"/>
  <c r="K262" i="5"/>
  <c r="I262" i="5"/>
  <c r="K261" i="5"/>
  <c r="I261" i="5"/>
  <c r="K260" i="5"/>
  <c r="I260" i="5"/>
  <c r="K259" i="5"/>
  <c r="I259" i="5"/>
  <c r="K258" i="5"/>
  <c r="I258" i="5"/>
  <c r="K257" i="5"/>
  <c r="I257" i="5"/>
  <c r="K256" i="5"/>
  <c r="I256" i="5"/>
  <c r="K255" i="5"/>
  <c r="I255" i="5"/>
  <c r="K254" i="5"/>
  <c r="I254" i="5"/>
  <c r="K253" i="5"/>
  <c r="I253" i="5"/>
  <c r="K252" i="5"/>
  <c r="I252" i="5"/>
  <c r="K251" i="5"/>
  <c r="I251" i="5"/>
  <c r="K250" i="5"/>
  <c r="I250" i="5"/>
  <c r="K249" i="5"/>
  <c r="I249" i="5"/>
  <c r="K248" i="5"/>
  <c r="I248" i="5"/>
  <c r="K247" i="5"/>
  <c r="I247" i="5"/>
  <c r="K246" i="5"/>
  <c r="I246" i="5"/>
  <c r="K245" i="5"/>
  <c r="I245" i="5"/>
  <c r="K244" i="5"/>
  <c r="I244" i="5"/>
  <c r="K243" i="5"/>
  <c r="I243" i="5"/>
  <c r="K242" i="5"/>
  <c r="I242" i="5"/>
  <c r="K241" i="5"/>
  <c r="I241" i="5"/>
  <c r="K240" i="5"/>
  <c r="I240" i="5"/>
  <c r="K239" i="5"/>
  <c r="I239" i="5"/>
  <c r="K238" i="5"/>
  <c r="I238" i="5"/>
  <c r="K237" i="5"/>
  <c r="I237" i="5"/>
  <c r="K236" i="5"/>
  <c r="I236" i="5"/>
  <c r="K235" i="5"/>
  <c r="I235" i="5"/>
  <c r="K234" i="5"/>
  <c r="I234" i="5"/>
  <c r="K233" i="5"/>
  <c r="I233" i="5"/>
  <c r="K232" i="5"/>
  <c r="I232" i="5"/>
  <c r="K231" i="5"/>
  <c r="I231" i="5"/>
  <c r="K230" i="5"/>
  <c r="I230" i="5"/>
  <c r="K229" i="5"/>
  <c r="I229" i="5"/>
  <c r="K228" i="5"/>
  <c r="I228" i="5"/>
  <c r="K227" i="5"/>
  <c r="I227" i="5"/>
  <c r="K226" i="5"/>
  <c r="I226" i="5"/>
  <c r="K225" i="5"/>
  <c r="I225" i="5"/>
  <c r="K224" i="5"/>
  <c r="I224" i="5"/>
  <c r="K223" i="5"/>
  <c r="I223" i="5"/>
  <c r="K222" i="5"/>
  <c r="I222" i="5"/>
  <c r="K221" i="5"/>
  <c r="I221" i="5"/>
  <c r="K220" i="5"/>
  <c r="I220" i="5"/>
  <c r="K219" i="5"/>
  <c r="I219" i="5"/>
  <c r="K218" i="5"/>
  <c r="I218" i="5"/>
  <c r="K217" i="5"/>
  <c r="I217" i="5"/>
  <c r="K216" i="5"/>
  <c r="I216" i="5"/>
  <c r="K215" i="5"/>
  <c r="I215" i="5"/>
  <c r="K214" i="5"/>
  <c r="I214" i="5"/>
  <c r="K213" i="5"/>
  <c r="I213" i="5"/>
  <c r="K212" i="5"/>
  <c r="I212" i="5"/>
  <c r="K211" i="5"/>
  <c r="I211" i="5"/>
  <c r="K210" i="5"/>
  <c r="I210" i="5"/>
  <c r="K209" i="5"/>
  <c r="I209" i="5"/>
  <c r="K208" i="5"/>
  <c r="I208" i="5"/>
  <c r="K207" i="5"/>
  <c r="I207" i="5"/>
  <c r="K206" i="5"/>
  <c r="I206" i="5"/>
  <c r="K205" i="5"/>
  <c r="I205" i="5"/>
  <c r="K204" i="5"/>
  <c r="I204" i="5"/>
  <c r="K203" i="5"/>
  <c r="I203" i="5"/>
  <c r="K202" i="5"/>
  <c r="I202" i="5"/>
  <c r="K201" i="5"/>
  <c r="I201" i="5"/>
  <c r="K200" i="5"/>
  <c r="I200" i="5"/>
  <c r="K199" i="5"/>
  <c r="I199" i="5"/>
  <c r="K198" i="5"/>
  <c r="I198" i="5"/>
  <c r="K197" i="5"/>
  <c r="I197" i="5"/>
  <c r="K196" i="5"/>
  <c r="I196" i="5"/>
  <c r="K195" i="5"/>
  <c r="I195" i="5"/>
  <c r="K194" i="5"/>
  <c r="I194" i="5"/>
  <c r="K193" i="5"/>
  <c r="I193" i="5"/>
  <c r="K192" i="5"/>
  <c r="I192" i="5"/>
  <c r="K191" i="5"/>
  <c r="I191" i="5"/>
  <c r="K190" i="5"/>
  <c r="I190" i="5"/>
  <c r="K189" i="5"/>
  <c r="I189" i="5"/>
  <c r="K188" i="5"/>
  <c r="I188" i="5"/>
  <c r="K187" i="5"/>
  <c r="I187" i="5"/>
  <c r="K186" i="5"/>
  <c r="I186" i="5"/>
  <c r="K185" i="5"/>
  <c r="I185" i="5"/>
  <c r="K184" i="5"/>
  <c r="I184" i="5"/>
  <c r="K183" i="5"/>
  <c r="I183" i="5"/>
  <c r="K182" i="5"/>
  <c r="I182" i="5"/>
  <c r="K181" i="5"/>
  <c r="I181" i="5"/>
  <c r="K180" i="5"/>
  <c r="I180" i="5"/>
  <c r="K179" i="5"/>
  <c r="I179" i="5"/>
  <c r="K178" i="5"/>
  <c r="I178" i="5"/>
  <c r="K177" i="5"/>
  <c r="I177" i="5"/>
  <c r="K176" i="5"/>
  <c r="I176" i="5"/>
  <c r="K175" i="5"/>
  <c r="I175" i="5"/>
  <c r="K174" i="5"/>
  <c r="I174" i="5"/>
  <c r="K173" i="5"/>
  <c r="I173" i="5"/>
  <c r="K172" i="5"/>
  <c r="I172" i="5"/>
  <c r="K171" i="5"/>
  <c r="I171" i="5"/>
  <c r="K170" i="5"/>
  <c r="I170" i="5"/>
  <c r="K169" i="5"/>
  <c r="I169" i="5"/>
  <c r="K168" i="5"/>
  <c r="I168" i="5"/>
  <c r="K167" i="5"/>
  <c r="I167" i="5"/>
  <c r="K166" i="5"/>
  <c r="I166" i="5"/>
  <c r="K165" i="5"/>
  <c r="I165" i="5"/>
  <c r="K164" i="5"/>
  <c r="I164" i="5"/>
  <c r="K163" i="5"/>
  <c r="I163" i="5"/>
  <c r="K162" i="5"/>
  <c r="I162" i="5"/>
  <c r="K161" i="5"/>
  <c r="I161" i="5"/>
  <c r="K160" i="5"/>
  <c r="I160" i="5"/>
  <c r="K159" i="5"/>
  <c r="I159" i="5"/>
  <c r="K158" i="5"/>
  <c r="I158" i="5"/>
  <c r="K157" i="5"/>
  <c r="I157" i="5"/>
  <c r="K156" i="5"/>
  <c r="I156" i="5"/>
  <c r="K155" i="5"/>
  <c r="I155" i="5"/>
  <c r="K154" i="5"/>
  <c r="I154" i="5"/>
  <c r="K153" i="5"/>
  <c r="I153" i="5"/>
  <c r="K152" i="5"/>
  <c r="I152" i="5"/>
  <c r="K151" i="5"/>
  <c r="I151" i="5"/>
  <c r="K150" i="5"/>
  <c r="I150" i="5"/>
  <c r="K149" i="5"/>
  <c r="I149" i="5"/>
  <c r="K148" i="5"/>
  <c r="I148" i="5"/>
  <c r="K147" i="5"/>
  <c r="I147" i="5"/>
  <c r="K146" i="5"/>
  <c r="I146" i="5"/>
  <c r="K145" i="5"/>
  <c r="I145" i="5"/>
  <c r="K144" i="5"/>
  <c r="I144" i="5"/>
  <c r="K143" i="5"/>
  <c r="I143" i="5"/>
  <c r="K142" i="5"/>
  <c r="I142" i="5"/>
  <c r="K141" i="5"/>
  <c r="I141" i="5"/>
  <c r="K140" i="5"/>
  <c r="I140" i="5"/>
  <c r="K139" i="5"/>
  <c r="I139" i="5"/>
  <c r="K138" i="5"/>
  <c r="I138" i="5"/>
  <c r="K137" i="5"/>
  <c r="I137" i="5"/>
  <c r="K136" i="5"/>
  <c r="I136" i="5"/>
  <c r="K135" i="5"/>
  <c r="I135" i="5"/>
  <c r="K134" i="5"/>
  <c r="I134" i="5"/>
  <c r="K133" i="5"/>
  <c r="I133" i="5"/>
  <c r="K132" i="5"/>
  <c r="I132" i="5"/>
  <c r="K131" i="5"/>
  <c r="I131" i="5"/>
  <c r="K130" i="5"/>
  <c r="I130" i="5"/>
  <c r="K129" i="5"/>
  <c r="I129" i="5"/>
  <c r="K128" i="5"/>
  <c r="I128" i="5"/>
  <c r="K127" i="5"/>
  <c r="I127" i="5"/>
  <c r="K126" i="5"/>
  <c r="I126" i="5"/>
  <c r="K125" i="5"/>
  <c r="I125" i="5"/>
  <c r="K124" i="5"/>
  <c r="I124" i="5"/>
  <c r="K123" i="5"/>
  <c r="I123" i="5"/>
  <c r="K122" i="5"/>
  <c r="I122" i="5"/>
  <c r="K121" i="5"/>
  <c r="I121" i="5"/>
  <c r="K120" i="5"/>
  <c r="I120" i="5"/>
  <c r="K119" i="5"/>
  <c r="I119" i="5"/>
  <c r="K118" i="5"/>
  <c r="I118" i="5"/>
  <c r="K117" i="5"/>
  <c r="I117" i="5"/>
  <c r="K116" i="5"/>
  <c r="I116" i="5"/>
  <c r="K115" i="5"/>
  <c r="I115" i="5"/>
  <c r="K114" i="5"/>
  <c r="I114" i="5"/>
  <c r="K113" i="5"/>
  <c r="I113" i="5"/>
  <c r="K112" i="5"/>
  <c r="I112" i="5"/>
  <c r="K111" i="5"/>
  <c r="I111" i="5"/>
  <c r="K110" i="5"/>
  <c r="I110" i="5"/>
  <c r="K109" i="5"/>
  <c r="I109" i="5"/>
  <c r="K108" i="5"/>
  <c r="I108" i="5"/>
  <c r="K107" i="5"/>
  <c r="I107" i="5"/>
  <c r="K106" i="5"/>
  <c r="I106" i="5"/>
  <c r="K105" i="5"/>
  <c r="I105" i="5"/>
  <c r="K104" i="5"/>
  <c r="I104" i="5"/>
  <c r="K103" i="5"/>
  <c r="I103" i="5"/>
  <c r="K102" i="5"/>
  <c r="I102" i="5"/>
  <c r="K101" i="5"/>
  <c r="I101" i="5"/>
  <c r="K100" i="5"/>
  <c r="I100" i="5"/>
  <c r="K99" i="5"/>
  <c r="I99" i="5"/>
  <c r="K98" i="5"/>
  <c r="I98" i="5"/>
  <c r="K97" i="5"/>
  <c r="I97" i="5"/>
  <c r="K96" i="5"/>
  <c r="I96" i="5"/>
  <c r="K95" i="5"/>
  <c r="I95" i="5"/>
  <c r="K94" i="5"/>
  <c r="I94" i="5"/>
  <c r="K93" i="5"/>
  <c r="I93" i="5"/>
  <c r="K92" i="5"/>
  <c r="I92" i="5"/>
  <c r="K91" i="5"/>
  <c r="I91" i="5"/>
  <c r="K90" i="5"/>
  <c r="I90" i="5"/>
  <c r="K89" i="5"/>
  <c r="I89" i="5"/>
  <c r="K88" i="5"/>
  <c r="I88" i="5"/>
  <c r="K87" i="5"/>
  <c r="I87" i="5"/>
  <c r="K86" i="5"/>
  <c r="I86" i="5"/>
  <c r="K85" i="5"/>
  <c r="I85" i="5"/>
  <c r="K84" i="5"/>
  <c r="I84" i="5"/>
  <c r="K83" i="5"/>
  <c r="I83" i="5"/>
  <c r="K82" i="5"/>
  <c r="I82" i="5"/>
  <c r="K81" i="5"/>
  <c r="I81" i="5"/>
  <c r="K80" i="5"/>
  <c r="I80" i="5"/>
  <c r="K79" i="5"/>
  <c r="I79" i="5"/>
  <c r="K78" i="5"/>
  <c r="I78" i="5"/>
  <c r="K77" i="5"/>
  <c r="I77" i="5"/>
  <c r="K76" i="5"/>
  <c r="I76" i="5"/>
  <c r="K75" i="5"/>
  <c r="I75" i="5"/>
  <c r="K74" i="5"/>
  <c r="I74" i="5"/>
  <c r="K73" i="5"/>
  <c r="I73" i="5"/>
  <c r="K72" i="5"/>
  <c r="I72" i="5"/>
  <c r="K71" i="5"/>
  <c r="I71" i="5"/>
  <c r="K70" i="5"/>
  <c r="I70" i="5"/>
  <c r="K69" i="5"/>
  <c r="I69" i="5"/>
  <c r="K68" i="5"/>
  <c r="I68" i="5"/>
  <c r="K67" i="5"/>
  <c r="I67" i="5"/>
  <c r="K66" i="5"/>
  <c r="I66" i="5"/>
  <c r="K65" i="5"/>
  <c r="I65" i="5"/>
  <c r="K64" i="5"/>
  <c r="I64" i="5"/>
  <c r="K63" i="5"/>
  <c r="I63" i="5"/>
  <c r="K62" i="5"/>
  <c r="I62" i="5"/>
  <c r="K61" i="5"/>
  <c r="I61" i="5"/>
  <c r="K60" i="5"/>
  <c r="I60" i="5"/>
  <c r="K59" i="5"/>
  <c r="I59" i="5"/>
  <c r="K58" i="5"/>
  <c r="I58" i="5"/>
  <c r="K57" i="5"/>
  <c r="I57" i="5"/>
  <c r="K56" i="5"/>
  <c r="I56" i="5"/>
  <c r="K55" i="5"/>
  <c r="I55" i="5"/>
  <c r="K54" i="5"/>
  <c r="I54" i="5"/>
  <c r="K53" i="5"/>
  <c r="I53" i="5"/>
  <c r="K52" i="5"/>
  <c r="I52" i="5"/>
  <c r="K51" i="5"/>
  <c r="I51" i="5"/>
  <c r="K50" i="5"/>
  <c r="I50" i="5"/>
  <c r="K49" i="5"/>
  <c r="I49" i="5"/>
  <c r="K48" i="5"/>
  <c r="I48" i="5"/>
  <c r="K47" i="5"/>
  <c r="I47" i="5"/>
  <c r="K46" i="5"/>
  <c r="I46" i="5"/>
  <c r="K45" i="5"/>
  <c r="I45" i="5"/>
  <c r="K44" i="5"/>
  <c r="I44" i="5"/>
  <c r="K43" i="5"/>
  <c r="I43" i="5"/>
  <c r="K42" i="5"/>
  <c r="I42" i="5"/>
  <c r="K41" i="5"/>
  <c r="I41" i="5"/>
  <c r="K40" i="5"/>
  <c r="I40" i="5"/>
  <c r="K39" i="5"/>
  <c r="I39" i="5"/>
  <c r="K38" i="5"/>
  <c r="I38" i="5"/>
  <c r="K37" i="5"/>
  <c r="I37" i="5"/>
  <c r="K36" i="5"/>
  <c r="I36" i="5"/>
  <c r="K35" i="5"/>
  <c r="I35" i="5"/>
  <c r="K34" i="5"/>
  <c r="I34" i="5"/>
  <c r="K33" i="5"/>
  <c r="I33" i="5"/>
  <c r="K32" i="5"/>
  <c r="I32" i="5"/>
  <c r="K31" i="5"/>
  <c r="I31" i="5"/>
  <c r="K30" i="5"/>
  <c r="I30" i="5"/>
  <c r="K29" i="5"/>
  <c r="I29" i="5"/>
  <c r="K28" i="5"/>
  <c r="I28" i="5"/>
  <c r="K27" i="5"/>
  <c r="I27" i="5"/>
  <c r="K26" i="5"/>
  <c r="I26" i="5"/>
  <c r="K25" i="5"/>
  <c r="I25" i="5"/>
  <c r="K24" i="5"/>
  <c r="I24" i="5"/>
  <c r="K23" i="5"/>
  <c r="I23" i="5"/>
  <c r="K22" i="5"/>
  <c r="I22" i="5"/>
  <c r="K21" i="5"/>
  <c r="I21" i="5"/>
  <c r="K20" i="5"/>
  <c r="I20" i="5"/>
  <c r="K19" i="5"/>
  <c r="I19" i="5"/>
  <c r="K18" i="5"/>
  <c r="I18" i="5"/>
  <c r="K17" i="5"/>
  <c r="I17" i="5"/>
  <c r="K16" i="5"/>
  <c r="I16" i="5"/>
  <c r="K15" i="5"/>
  <c r="I15" i="5"/>
  <c r="K14" i="5"/>
  <c r="I14" i="5"/>
  <c r="K13" i="5"/>
  <c r="I13" i="5"/>
  <c r="K12" i="5"/>
  <c r="I12" i="5"/>
  <c r="K11" i="5"/>
  <c r="I11" i="5"/>
  <c r="K10" i="5"/>
  <c r="I10" i="5"/>
  <c r="K9" i="5"/>
  <c r="I9" i="5"/>
  <c r="K8" i="5"/>
  <c r="I8" i="5"/>
  <c r="K7" i="5"/>
  <c r="I7" i="5"/>
  <c r="K6" i="5"/>
  <c r="I6" i="5"/>
  <c r="K5" i="5"/>
  <c r="I5" i="5"/>
  <c r="K4" i="5"/>
  <c r="I4" i="5"/>
  <c r="K3" i="5"/>
  <c r="I3" i="5"/>
  <c r="K2" i="5"/>
  <c r="B13" i="2" s="1"/>
  <c r="I2" i="5"/>
  <c r="H5" i="4"/>
  <c r="B54" i="2"/>
  <c r="B51" i="2"/>
  <c r="B48" i="2"/>
  <c r="B47" i="2"/>
  <c r="B46" i="2"/>
  <c r="B45" i="2"/>
  <c r="B44" i="2"/>
  <c r="B43" i="2"/>
  <c r="B42" i="2"/>
  <c r="B41" i="2"/>
  <c r="B40" i="2"/>
  <c r="B35" i="2"/>
  <c r="B37" i="2" s="1"/>
  <c r="B31" i="2"/>
  <c r="B30" i="2"/>
  <c r="B28" i="2"/>
  <c r="B27" i="2"/>
  <c r="B29" i="2" s="1"/>
  <c r="B24" i="2"/>
  <c r="B22" i="2"/>
  <c r="B21" i="2"/>
  <c r="B20" i="2"/>
  <c r="B19" i="2"/>
  <c r="B18" i="2"/>
  <c r="B23" i="2" s="1"/>
  <c r="B16" i="2"/>
  <c r="B12" i="2"/>
  <c r="B7" i="2"/>
  <c r="B6" i="2"/>
  <c r="B5" i="2"/>
  <c r="B15" i="2" l="1"/>
  <c r="B17" i="2" s="1"/>
  <c r="B25" i="2" s="1"/>
  <c r="B33" i="2"/>
  <c r="B8" i="2"/>
  <c r="B10" i="2" s="1"/>
  <c r="B36" i="2"/>
  <c r="B55" i="2"/>
  <c r="B50" i="2"/>
  <c r="B52" i="2"/>
  <c r="B38" i="2"/>
  <c r="B53" i="2"/>
  <c r="B14" i="2" l="1"/>
</calcChain>
</file>

<file path=xl/sharedStrings.xml><?xml version="1.0" encoding="utf-8"?>
<sst xmlns="http://schemas.openxmlformats.org/spreadsheetml/2006/main" count="7545" uniqueCount="5349">
  <si>
    <t>PRISMA tracking sheet</t>
  </si>
  <si>
    <t>Project</t>
  </si>
  <si>
    <t>Privacy-Preserving Heart Disease Risk Prediction Using FHE · COMP4101 Practicum · UDST</t>
  </si>
  <si>
    <t>Goes with</t>
  </si>
  <si>
    <t>SLR_Protocol_v3 + SLR_Protocol_v4_changes.md (team roles, criteria I1–I5 and E1–E6)</t>
  </si>
  <si>
    <t>Colour legend</t>
  </si>
  <si>
    <t>Yellow cells</t>
  </si>
  <si>
    <t>Type here. These are the only cells anyone should edit.</t>
  </si>
  <si>
    <t>Grey cells</t>
  </si>
  <si>
    <t>Calculated automatically. Do not type over them.</t>
  </si>
  <si>
    <t>Pairs</t>
  </si>
  <si>
    <t>Pair 1</t>
  </si>
  <si>
    <t>Saif (screener 1) and Naif (screener 2): IEEE Xplore, Set 1, synthesis RQ1 and RQ4</t>
  </si>
  <si>
    <t>Pair 2</t>
  </si>
  <si>
    <t>Sarim (screener 1) and Hassan (screener 2): PubMed, Set 2, synthesis RQ3</t>
  </si>
  <si>
    <t>Pair 3</t>
  </si>
  <si>
    <t>Khalid (screener 1) and Abdullah (screener 2): Scopus, Set 3, synthesis RQ2</t>
  </si>
  <si>
    <t>Who fills what</t>
  </si>
  <si>
    <t>Search Log</t>
  </si>
  <si>
    <t>The first person in each pair types the search row on the day it is run; the partner re-runs it and ticks 'Confirmed by'.</t>
  </si>
  <si>
    <t>PRISMA Counts</t>
  </si>
  <si>
    <t>Hassan types 'Duplicate records removed' after de-duplication (done by script, 10 Oct 2026; see research/slr/dedup/). Everything else on that tab fills itself.</t>
  </si>
  <si>
    <t>Screening Log</t>
  </si>
  <si>
    <t>Hassan pastes one row per de-duplicated record and assigns it to Pair 1, 2 or 3 (split evenly, at random). Screener 1 fills column G and screener 2 fills column H, independently. If one says Exclude and the other does not, the row shows 'Pending' and the tie-breaker fills 'Resolved decision' (Naif for Pairs 2 and 3, Abdullah for Pair 1).</t>
  </si>
  <si>
    <t>Full text</t>
  </si>
  <si>
    <t>Each pair splits its surviving papers between its two members: put your name in 'Full-text reader'. The partner checks every exclusion.</t>
  </si>
  <si>
    <t>Snowballing</t>
  </si>
  <si>
    <t>Papers found in reference lists of included studies: add them with Source = Snowballing. They skip title/abstract screening and go straight to full text. Known papers that no database search retrieved (Kim JMIR 2018) use Source = Other sources and are treated the same way.</t>
  </si>
  <si>
    <t>Rules</t>
  </si>
  <si>
    <t>Include vs Maybe</t>
  </si>
  <si>
    <t>If neither screener says Exclude, the record goes to full text automatically. Only Exclude-vs-not disagreements need resolving.</t>
  </si>
  <si>
    <t>Full text not available</t>
  </si>
  <si>
    <t>Set 'Full text retrieved?' to No. That is exclusion E5, so leave the decision and code columns empty.</t>
  </si>
  <si>
    <t>Excluding at full text</t>
  </si>
  <si>
    <t>Set 'Full-text decision' to Exclude and pick a code (E1, E2, E3, E4 or E6). Every exclusion needs a code.</t>
  </si>
  <si>
    <t>Checks</t>
  </si>
  <si>
    <t>The PRISMA Counts tab shows OK or a warning beside each check. Fix warnings before the numbers go into a report.</t>
  </si>
  <si>
    <t>Example Screening Log row</t>
  </si>
  <si>
    <t>(format only; do not copy into the log)</t>
  </si>
  <si>
    <t>Record ID</t>
  </si>
  <si>
    <t>S-001</t>
  </si>
  <si>
    <t>Title</t>
  </si>
  <si>
    <t>Secure logistic regression based on homomorphic encryption: design and evaluation</t>
  </si>
  <si>
    <t>Authors</t>
  </si>
  <si>
    <t>Kim M; Song Y; Wang S; Xia Y; Jiang X</t>
  </si>
  <si>
    <t>Year</t>
  </si>
  <si>
    <t>2018</t>
  </si>
  <si>
    <t>Source</t>
  </si>
  <si>
    <t>Scopus</t>
  </si>
  <si>
    <t>Pair</t>
  </si>
  <si>
    <t>Screener 1 decision</t>
  </si>
  <si>
    <t>Include</t>
  </si>
  <si>
    <t>Screener 2 decision</t>
  </si>
  <si>
    <t>Agree?</t>
  </si>
  <si>
    <t>Yes</t>
  </si>
  <si>
    <t>Resolved decision</t>
  </si>
  <si>
    <t>Final T/A</t>
  </si>
  <si>
    <t>Full-text reader</t>
  </si>
  <si>
    <t>Khalid</t>
  </si>
  <si>
    <t>Full text retrieved?</t>
  </si>
  <si>
    <t>Full-text decision</t>
  </si>
  <si>
    <t>Exclusion code</t>
  </si>
  <si>
    <t>Notes</t>
  </si>
  <si>
    <t>Search-check paper</t>
  </si>
  <si>
    <t>PRISMA 2020 flow counts</t>
  </si>
  <si>
    <t>Labels follow the PRISMA 2020 flow diagram boxes, so each number can be copied straight into the diagram.</t>
  </si>
  <si>
    <t>Identification (databases)</t>
  </si>
  <si>
    <t>Records identified: IEEE Xplore</t>
  </si>
  <si>
    <t>From Search Log</t>
  </si>
  <si>
    <t>Records identified: PubMed</t>
  </si>
  <si>
    <t>Records identified: Scopus</t>
  </si>
  <si>
    <t>Records identified: total</t>
  </si>
  <si>
    <t>Duplicate records removed</t>
  </si>
  <si>
    <t>Typed by Hassan after de-duplication by script (10 Oct 2026; see research/slr/dedup/)</t>
  </si>
  <si>
    <t>Records to screen (total minus duplicates)</t>
  </si>
  <si>
    <t>Screening (databases)</t>
  </si>
  <si>
    <t>Records screened (rows in Screening Log)</t>
  </si>
  <si>
    <t>Should equal records to screen, see checks</t>
  </si>
  <si>
    <t>Records excluded at title/abstract</t>
  </si>
  <si>
    <t>Uses the final T/A decision</t>
  </si>
  <si>
    <t>Title/abstract decisions not final yet</t>
  </si>
  <si>
    <t>Waiting for a screener, or Pending a tie-break</t>
  </si>
  <si>
    <t>Reports sought for retrieval</t>
  </si>
  <si>
    <t>Include + Maybe go to full text</t>
  </si>
  <si>
    <t>Reports not retrieved (E5)</t>
  </si>
  <si>
    <t>Reports assessed for eligibility</t>
  </si>
  <si>
    <t>Reports excluded: E1 other privacy technique only</t>
  </si>
  <si>
    <t>Reports excluded: E2 not health data</t>
  </si>
  <si>
    <t>Reports excluded: E3 purely theoretical</t>
  </si>
  <si>
    <t>Reports excluded: E4 survey, review, thesis, etc.</t>
  </si>
  <si>
    <t>Reports excluded: E6 duplicate or earlier version</t>
  </si>
  <si>
    <t>Reports excluded at full text: total</t>
  </si>
  <si>
    <t>Studies included from databases</t>
  </si>
  <si>
    <t>Full-text decisions still pending</t>
  </si>
  <si>
    <t>Not decided yet, or excluded without a code</t>
  </si>
  <si>
    <t>Other methods (backward snowballing, other sources)</t>
  </si>
  <si>
    <t>Records identified from reference lists and other sources</t>
  </si>
  <si>
    <t>Source = Snowballing or Other sources</t>
  </si>
  <si>
    <t>Reports not retrieved</t>
  </si>
  <si>
    <t>Reports excluded</t>
  </si>
  <si>
    <t>Reasons are in the Screening Log</t>
  </si>
  <si>
    <t>Studies included from snowballing</t>
  </si>
  <si>
    <t>Included</t>
  </si>
  <si>
    <t>Total studies included in review</t>
  </si>
  <si>
    <t>This is the number your synthesis is based on</t>
  </si>
  <si>
    <t>Screening agreement (title/abstract, both screeners)</t>
  </si>
  <si>
    <t>Records with both decisions</t>
  </si>
  <si>
    <t>Agreements (same decision)</t>
  </si>
  <si>
    <t>Percent agreement</t>
  </si>
  <si>
    <t>Report this in the method section</t>
  </si>
  <si>
    <t>Disagreements settled by tie-breaker</t>
  </si>
  <si>
    <t>Workload</t>
  </si>
  <si>
    <t>Pair 1 (Saif, Naif): records in set</t>
  </si>
  <si>
    <t>Pair 2 (Sarim, Hassan): records in set</t>
  </si>
  <si>
    <t>Pair 3 (Khalid, Abdullah): records in set</t>
  </si>
  <si>
    <t>Full-text papers: Saif</t>
  </si>
  <si>
    <t>Full-text papers: Naif</t>
  </si>
  <si>
    <t>Full-text papers: Sarim</t>
  </si>
  <si>
    <t>Full-text papers: Hassan</t>
  </si>
  <si>
    <t>Full-text papers: Khalid</t>
  </si>
  <si>
    <t>Full-text papers: Abdullah</t>
  </si>
  <si>
    <t>Screening Log rows match records to screen</t>
  </si>
  <si>
    <t>Every record assigned to a pair</t>
  </si>
  <si>
    <t>Both screeners finished</t>
  </si>
  <si>
    <t>No unresolved disagreements</t>
  </si>
  <si>
    <t>Every full-text exclusion has a code</t>
  </si>
  <si>
    <t>Every full-text paper has a reader</t>
  </si>
  <si>
    <t>Meaning (from protocol)</t>
  </si>
  <si>
    <t>Sources</t>
  </si>
  <si>
    <t>People</t>
  </si>
  <si>
    <t>Screener 1</t>
  </si>
  <si>
    <t>Screener 2</t>
  </si>
  <si>
    <t>Database</t>
  </si>
  <si>
    <t>Synthesis</t>
  </si>
  <si>
    <t>E1</t>
  </si>
  <si>
    <t>Other privacy technique only, no homomorphic encryption (hybrids with HE are kept)</t>
  </si>
  <si>
    <t>IEEE Xplore</t>
  </si>
  <si>
    <t>Saif</t>
  </si>
  <si>
    <t>Naif</t>
  </si>
  <si>
    <t>RQ1, RQ4</t>
  </si>
  <si>
    <t>E2</t>
  </si>
  <si>
    <t>Not applied to health data</t>
  </si>
  <si>
    <t>PubMed</t>
  </si>
  <si>
    <t>Sarim</t>
  </si>
  <si>
    <t>Hassan</t>
  </si>
  <si>
    <t>RQ3</t>
  </si>
  <si>
    <t>E3</t>
  </si>
  <si>
    <t>Purely theoretical, no implementation or results</t>
  </si>
  <si>
    <t>Abdullah</t>
  </si>
  <si>
    <t>RQ2</t>
  </si>
  <si>
    <t>E4</t>
  </si>
  <si>
    <t>Survey, review, editorial, poster abstract, or thesis</t>
  </si>
  <si>
    <t>E5</t>
  </si>
  <si>
    <t>Full text not available through UDST library (use 'Full text retrieved?' = No)</t>
  </si>
  <si>
    <t>Other sources</t>
  </si>
  <si>
    <t>E6</t>
  </si>
  <si>
    <t>Duplicate or earlier version of an included study</t>
  </si>
  <si>
    <t>Run by</t>
  </si>
  <si>
    <t>Confirmed by</t>
  </si>
  <si>
    <t>Date run</t>
  </si>
  <si>
    <t>Exact string used</t>
  </si>
  <si>
    <t>Filters applied</t>
  </si>
  <si>
    <t>Results</t>
  </si>
  <si>
    <t>Notes / changes</t>
  </si>
  <si>
    <t>("Abstract":"homomorphic encryption" OR "Abstract":"fully homomorphic" OR "Abstract":FHE OR "Abstract":CKKS OR "Abstract":BFV OR "Abstract":BGV OR "Abstract":TenSEAL OR "Abstract":"Microsoft SEAL") AND ("Abstract":"machine learning" OR "Abstract":"logistic regression" OR "Abstract":"neural network" OR "Abstract":"deep learning" OR "Abstract":classif* OR "Abstract":predict* OR "Abstract":inference) AND ("Abstract":health* OR "Abstract":medical OR "Abstract":clinical OR "Abstract":patient* OR "Abstract":disease* OR "Abstract":biomedical OR "Abstract":diagnos* OR "Abstract":genom* OR "Abstract":cancer OR "Abstract":diabet* OR "Abstract":"heart disease" OR "Abstract":cardiovascular)</t>
  </si>
  <si>
    <t>Publication Year 2016–2026; Conferences and Journals</t>
  </si>
  <si>
    <t>Exported in 4 RIS files (100 + 100 + 100 + 37): research/slr/exports/IEEE_2026-10-10_p1–p4.ris</t>
  </si>
  <si>
    <t>("homomorphic encryption"[tiab] OR "fully homomorphic"[tiab] OR FHE[tiab] OR CKKS[tiab] OR BFV[tiab] OR BGV[tiab] OR TenSEAL[tiab] OR "Microsoft SEAL"[tiab]) AND ("machine learning"[tiab] OR "logistic regression"[tiab] OR "neural network"[tiab] OR "deep learning"[tiab] OR classif*[tiab] OR predict*[tiab] OR inference[tiab]) AND (health*[tiab] OR medical[tiab] OR biomedical[tiab] OR clinical[tiab] OR patient*[tiab] OR disease*[tiab] OR diagnos*[tiab] OR genom*[tiab] OR cancer[tiab] OR diabet*[tiab] OR "heart disease"[tiab] OR cardiovascular[tiab]) AND 2016:2026[dp] AND english[la]</t>
  </si>
  <si>
    <t>In the string: 2016:2026[dp], english[la]</t>
  </si>
  <si>
    <t>Replaces ACM Digital Library (no UDST subscription; filters and export locked). A [tw] variant (176 results) was tested and not used. Export: research/slr/exports/PubMed_2026-10-10.nbib</t>
  </si>
  <si>
    <t>TITLE-ABS-KEY ( "homomorphic encryption" OR "fully homomorphic" OR fhe OR ckks OR bfv OR bgv OR tenseal OR "Microsoft SEAL" ) AND TITLE-ABS-KEY ( "machine learning" OR "logistic regression" OR "neural network" OR "deep learning" OR classif* OR predict* OR inference ) AND TITLE-ABS-KEY ( health* OR medical OR biomedical OR clinical OR patient* OR disease* OR diagnos* OR genom* OR cancer OR diabet* OR "heart disease" OR cardiovascular ) AND PUBYEAR &gt; 2015 AND PUBYEAR &lt; 2027 AND LANGUAGE ( english ) AND ( DOCTYPE ( ar ) OR DOCTYPE ( cp ) )</t>
  </si>
  <si>
    <t>In the string: PUBYEAR 2016–2026, English, DOCTYPE ar + cp</t>
  </si>
  <si>
    <t>Over the 400 limit. Narrowing was tested (766 and 855 results, still over), so the full 1,017 was kept by team decision. Export: research/slr/exports/Scopus_2026-10-10.ris</t>
  </si>
  <si>
    <t>Total identified</t>
  </si>
  <si>
    <t>Abstract</t>
  </si>
  <si>
    <t>R0001</t>
  </si>
  <si>
    <t>Research on Crt-Based Paillier Encryption Optimization Methods</t>
  </si>
  <si>
    <t>Pan, S.; Liu, Y.; Hu, X.; Zhu, J.</t>
  </si>
  <si>
    <t>Found in: Scopus; IEEE · DOI: 10.1109/CISP-BMEI68103.2025.11259311</t>
  </si>
  <si>
    <t>With the increasing demands for privacy protection in cross-domain medical coordination and related fields, the Paillier homomorphic encryption algorithm has garnered significant attention as a foundational technology for data privacy preservation. In large-scale data scenarios such as disease prediction models in major hospitals, cross-bank financial risk prediction, and inter-regional health monitoring statistics, substantial ciphertext computations are required. Consequently, traditional Paillier schemes encounter the following limitations. To enhance encryption computational performance, this paper proposes a multi-prime decomposition-based Paillier scheme that overcomes the deficiency of existing optimization methods being solely applicable to decryption procedures. The advantage lies in parallelizing the two primary modular exponentiation operations gm and in Rn the encryption process without algorithmic modifications, subsequently computing the final ciphertext through an improved CRT construction algorithm. The technical implementation adopts a staged reconstruction mechanism to mitigate overflow risks in large-number arithmetic, incorporating cryptographically secure random number generation and balanced prime allocation strategies to ensure coordinated unification between computational load and security strength. Algorithmic analysis demonstrates that under sufficient parallel conditions, near-linear acceleration performance can be achieved. Experimental validation shows that our method achieves 2-4 × performance improvement under 2048-bit key configurations, providing efficient cryptographic support for practical deployments such as medical federated learning and secure multi-party computation.  © 2025 IEEE.</t>
  </si>
  <si>
    <t>R0002</t>
  </si>
  <si>
    <t>Privacy and Security Concerns in Generative AI: A Comprehensive Survey</t>
  </si>
  <si>
    <t>Golda, A.; Mekonen, K.; Pandey, A.; Singh, A.; Hassija, V.; Chamola, V.; Sikdar, B.</t>
  </si>
  <si>
    <t>Found in: Scopus · DOI: 10.1109/ACCESS.2024.3381611</t>
  </si>
  <si>
    <t>Generative Artificial Intelligence (GAI) has sparked a transformative wave across various domains, including machine learning, healthcare, business, and entertainment, owing to its remarkable ability to generate lifelike data. This comprehensive survey offers a meticulous examination of the privacy and security challenges inherent to GAI. It provides five pivotal perspectives essential for a comprehensive understanding of these intricacies. The paper encompasses discussions on GAI architectures, diverse generative model types, practical applications, and recent advancements within the field. In addition, it highlights current security strategies and proposes sustainable solutions, emphasizing user, developer, institutional, and policymaker involvement.  © 2013 IEEE.</t>
  </si>
  <si>
    <t>R0003</t>
  </si>
  <si>
    <t>A privacy-preserving expert system for collaborative medical diagnosis across multiple institutions using federated learning</t>
  </si>
  <si>
    <t>Markkandan, S.; Bhavani, N.P.G.; Nath, S.S.</t>
  </si>
  <si>
    <t>Found in: Scopus; PubMed · DOI: 10.1038/s41598-024-73334-7 · PMID: 39333305</t>
  </si>
  <si>
    <t>Expert system recommendation assists the healthcare system to develop in real-time monitoring and diagnosis of patient conditions over several healthcare institutions. Privacy concerns, however, present significant problems since patient data leaks can lead to big effects including financial losses for hospitals and invasions of personal privacy for people. To address these issues, the research introduces a privacy-preserving collaborative medical diagnosis (CMD) method on a federated learning (FL). FL maintains patient privacy and data localization by spreading only model parameters, therefore enabling training models on remote datasets. The combination of Partially Homomorphic Cryptosystem (PHC) and Residual Learning based Deep Belief Network (RDBN) ensures an accurate and safe classification of patient physiological data. Experimental results show that the proposed method is successful in maintaining the diagnostic accuracy over numerous healthcare institutions and protecting privacy. The results show that the RDBN and PHC computations requires around 1000 ms and 150 ms, respectively for classification and privacy; the data transmission from the user to server and from server to user is 5 MB and 4 MB, respectively. Finally with a 30% reduction in overhead, the proposed approach offers an average increase in classification accuracy of 10% over multiple datasets. © The Author(s) 2024.</t>
  </si>
  <si>
    <t>R0004</t>
  </si>
  <si>
    <t>Privacy-preserving Paralinguistic Tasks</t>
  </si>
  <si>
    <t>Teixeira, F.; Abad, A.; Trancoso, I.</t>
  </si>
  <si>
    <t>Found in: Scopus; IEEE · DOI: 10.1109/ICASSP.2019.8683595</t>
  </si>
  <si>
    <t>Speech is one of the primary means of communication for humans. It can be viewed as a carrier for information on several levels as it conveys not only the meaning and intention predetermined by a speaker, but also paralinguistic and extralinguistic information about the speaker's age, gender, personality, emotional state, health state and affect. This makes it a particularly sensitive biometric, that should be protected. In this work we intent to explore how Leveled Homomorphic Encryption can be combined with a Neural Network to create a privacy-preserving machine learning framework for speech-based health-related tasks. In particular, we will apply this framework to the detection and assessment of a Cold, Depression and Parkinson's Disease. Moreover, we will show how using a Quantized Neural Network, with discretized weights, allows us to apply a Leveled Homomorphic Encryption technique called batching that can be utilized to reduce the effective computational cost of this framework. © 2019 IEEE.</t>
  </si>
  <si>
    <t>R0005</t>
  </si>
  <si>
    <t>Federated Learning for Accurate Labeling of Chest X-Ray Scans</t>
  </si>
  <si>
    <t>Ram, S.; Kiran, Y.N.; Bhute, A.; Khare, T.</t>
  </si>
  <si>
    <t>Found in: Scopus; IEEE · DOI: 10.23919/FRUCT64283.2024.10749865</t>
  </si>
  <si>
    <t>Federated learning is an increasingly common technique used within machine learning that allows multiple devices to collectively train a model without necessitating the centralization of data. This approach is highly valuable within medical tasks, where privacy concerns within patient datasets can be mitigated through the decentralization of machine learning training. Within past literature, there have remained difficulties in constructing well annotated, large chest X-ray datasets due to these patient privacy concerns. In this paper, we seek to demonstrate the validity of federated learning by training a deep learning model on decentralized Chest X-ray imaging data. We utilize the publicly available NIH Chest X-ray dataset to train our model. Five clients were trained over 10 rounds, and a ResNet-34 global model was initialized and moved to a GPU, where clients iterated over each round to update the model. We initialized a new parameter accumulation dictionary for each round that was outfitted with Secure Aggregation algorithm with in-built additive homomorphic encryption of local parameters towards parameter averaging. The model achieved a validation loss of 0.09 and an accuracy of 0.83. These results indicate that the outlined federated learning approach was able to approach benchmark clinical grade accuracy, demonstrating the effectiveness of federated learning in advanced medical imaging analysis with the preservation of patient privacy. © 2024 FRUCT Oy.</t>
  </si>
  <si>
    <t>R0006</t>
  </si>
  <si>
    <t>Assessment of intracranial venous blood flow after subarachnoid hemorrhage: A new approach to diagnose vasospasm with transcranial color-coded duplex sonography</t>
  </si>
  <si>
    <t>Connolly, F.; Schreiber, S.J.; Leithner, C.; Bohner, G.; Vajkoczy, P.; Valdueza, J.M.</t>
  </si>
  <si>
    <t>Found in: Scopus; PubMed · DOI: 10.3171/2017.5.JNS17232 · PMID: 29243981</t>
  </si>
  <si>
    <t>Objective: Transcranial color-coded duplex sonography (TCCS) is a reliable tool that is used to assess vasospasm in the M1 segment of the middle cerebral artery (MCA) after subarachnoid hemorrhage (SAH). A distinct increase in blood flow velocity (BFV) is the principal criterion for vasospasm. The MCA/internal carotid artery (ICA) index (Lindegaard Index) is also widely used to distinguish between vasospasm and cerebral hyperperfusion. However, extracranial ultrasonography assessment of the neck vessels might be difficult in an intensive care unit. Therefore, the authors evaluated whether the relationship of intracranial arterial to venous BFV might indicate vasospasm with similar or even better accuracy. Methods: Patients who presented between 2008 and 2015 with aneurysmal SAH were prospectively enrolled in the study. Digital subtraction angiography (DSA) and TCCS were performed within 24 hours of each other to assess vasospasm 8.10 days after SAH. The following different TCCS parameters were analyzed to assess vasospasm in the MCA and were compared with the gold-standard DSA parameters: 1) mean time-averaged maximum BFV (Vmean) of the MCA, 2) peak systolic velocity (PSV) of the MCA, 3) the Lindegaard Index using Vmean as well as PSV, and 4) a new arteriovenous index (AVI) between the MCA and the basal vein of Rosenthal using Vmean and PSV. The best cutoff values for these parameters to distinguish vasospasm from normal perfusion or hyperperfusion were calculated using receiver operating characteristic curve analysis. Sensitivity, specificity, positive predictive value, and negative predictive value as well as the overall accuracy for each cutoff value were analyzed. Results: A total of 102 patients (mean age 52 ± 12 years) were evaluated. Bilateral MCA assessment by TCCS was successful in all patients. In 6 cases (3%), the BFV of the basal vein of Rosenthal could not be analyzed. The AVI could not be calculated in 50 of 204 cases (25%) because the insonation quality was very low in one of the ICAs. An AVI &gt; 10 for Vmean and an AVI &gt; 12 for systolic velocity provided the highest accuracies of 87% and 86%, respectively. Regarding the Lindegaard Index, the accuracy was highest using a threshold of &gt; 3 for the mean BFV (84%) as well as systolic BFV (80%). BFVs in the MCA of ≥ 120 cm/sec (Vmean) and ≥ 200 cm/sec (PSV) predicted vasospasm with accuracies of 84% and 83%, respectively. A combined analysis of the MCA BFV and the AVI led to a slight increase in specificity (Vmean, 94%; PSV, 93%) and positive predictive value (Vmean, 88%; PSV 86%) without further improvement in accuracy (Vmean, 88%; PSV, 84%). Conclusions: The intracranial AVI is a reliable parameter that can be used to assess vasospasm after SAH. Its reliability for differentiating vasospasm and hyperperfusion is slightly higher than that for the established Lindegaard Index, and this method has the additional advantage of a remarkably lower failure rate. © AANS 2018.</t>
  </si>
  <si>
    <t>R0007</t>
  </si>
  <si>
    <t>A Pervasive, Efficient and Private Future: Realizing Privacy-Preserving Machine Learning Through Hybrid Homomorphic Encryption</t>
  </si>
  <si>
    <t>Nguyen, K.; Budzys, M.; Frimpong, E.; Khan, T.; Michalas, A.</t>
  </si>
  <si>
    <t>Found in: Scopus; IEEE · DOI: 10.1109/DASC64200.2024.00013</t>
  </si>
  <si>
    <t>Machine Learning (ML) has become one of the most impactful fields of data science in recent years. However, a significant concern with ML is its privacy risks due to rising attacks against ML models. Privacy-Preserving Machine Learning (PPML) methods have been proposed to mitigate the privacy and security risks of ML models. A popular approach to achieving PPML uses Homomorphic Encryption (HE). However, the highly publicized inefficiencies of HE make it unsuitable for highly scalable scenarios with resource-constrained devices. Hence, Hybrid Homomorphic Encryption (HHE) - a modern encryption scheme that combines symmetric cryptography with HE - has recently been introduced to overcome these challenges. HHE potentially provides a foundation to build new efficient and privacy-preserving services that transfer expensive HE operations to the cloud. This work introduces HHE to the ML field by proposing resource-friendly PPML protocols for edge devices. More precisely, we utilize HHE as the primary building block of our PPML protocols. We assess the performance of our protocols by first extensively evaluating each party's communication and computational cost on a dummy dataset and show the efficiency of our protocols by comparing them with similar protocols implemented using plain BFV. Subsequently, we demonstrate the real-world applicability of our construction by building an actual PPML application that uses HHE as its foundation to classify heart disease based on sensitive ECG data.  © 2024 IEEE.</t>
  </si>
  <si>
    <t>R0008</t>
  </si>
  <si>
    <t>A Hybrid BiLSTM-Attention and Homomorphic Encryption Framework for Privacy-Preserving Threat Detection in Cloud Computing Environments</t>
  </si>
  <si>
    <t>Dyavani, N.R.; Garikipati, V.; Ubagaram, C.; Jayaprakasam, B.S.; Mandala, R.R.; Aiswarya, R.S.</t>
  </si>
  <si>
    <t>Found in: Scopus · DOI: 10.1142/S2010324725400119</t>
  </si>
  <si>
    <t>Cloud computing has become indispensable for modern digital services in healthcare, finance and education, yet its distributed and multi-tenant nature exposes it to increasingly sophisticated cyberattacks. With the anticipated integration of quantum computing into cloud infrastructures, the need for robust, privacy-preserving and fault-tolerant security mechanisms is greater than ever. Traditional threat detection models, including Convolutional Neural Networks, Support Vector Machines and Autoencoders, rely on raw or partially anonymized data, which risks user privacy and lacks the ability to effectively capture sequential dependencies in dynamic cloud traffic. To address these limitations, we propose a Hybrid BiLSTM-Attention and Homomorphic Encryption Framework for intrusion detection in cloud environments. The BiLSTM component extracts bidirectional temporal dependencies from encrypted traffic, while the attention mechanism highlights critical time steps to improve detection accuracy. Homomorphic Encryption ensures sensitive data remains encrypted throughout the detection pipeline, supporting privacy without sacrificing computational performance. Experimental results on a benchmark intrusion detection dataset demonstrate superior performance, achieving 99.28% accuracy, 99.26% precision, 99.89% recall and a 99.5% F1-score, along with a low false-negative rate (0.1%) and high AUC (0.9847). Training (1.2s) and prediction (0.2s) times confirm the framework’s suitability for real-time deployment in privacy-critical applications. Importantly, the proposed system embodies principles of fault tolerance by maintaining resilience against adversarial interference and data leakage, a requirement that closely parallels the reliability demands of emerging quantum-classical hybrid systems. This synergy between deep learning, encryption and fault tolerance provides a pathway toward secure and privacy-preserving cloud infrastructures in the quantum computing era. © 2025 World Scientific Publishing Company.</t>
  </si>
  <si>
    <t>R0009</t>
  </si>
  <si>
    <t>Clustered Federated Learning for Healthcare Analytics: A Dual Blockchain-Functional Encryption Method for Fortified Aggregation</t>
  </si>
  <si>
    <t>Melhem, A.; Aleroud, A.; Al-Mamun, A.; Ibrahem, M.I.</t>
  </si>
  <si>
    <t>Found in: Scopus; IEEE · DOI: 10.1109/JIOT.2026.3658441</t>
  </si>
  <si>
    <t>The use of healthcare data for collaborative machine learning training amplifies the demand for strong privacy and security protection. Federated learning (FL) addresses this by sharing model gradients instead of raw patient data. However, FL faces critical challenges, including vulnerability to adversarial attacks (e.g., membership inference and model poisoning), reliance on centralized aggregation (introducing single points of failure), and privacy leakage risks from gradient exchanges. To overcome these limitations, we propose C2SecFL, a cross-clustered secure FL framework that combines adaptive, model-aware clustering with an inner-product functional encryption (IPFE) scheme enabling encrypted aggregation without a key distribution center (KDC). A lightweight permissioned blockchain provides tamper-evident coordination and auditability across clusters without introducing a centralized trust anchor. Experiments on diverse models show substantially lower cryptographic overhead compared to homomorphic encryption baselines. Encryption is approximately 3.6×faster, and aggregation is up to 2.2× faster, while predictive utility is preserved. Under adversarial settings with compromised participants, C2SecFL reduces the average attack success rate (ASR) by about 80% relative to a FedAvg baseline. It mitigates membership-inference risk by encrypting updates end-to-end and revealing only aggregate inner products. Our extensive experiments on a heart attack dataset demonstrate that C2SecFL provides a practical, auditable, and resilient approach to secure healthcare FL. © 2026 IEEE.</t>
  </si>
  <si>
    <t>R0010</t>
  </si>
  <si>
    <t>A Privacy-Preserving Blockchain and Machine Learning Framework for Secure Next-Generation Genomic Data Analysis</t>
  </si>
  <si>
    <t>Morsi, S.A.; Husain, H.I.; Nair, R.; Alkahtani, H.; Abdulsahib, G.M.; Aldhyani, T.H.H.</t>
  </si>
  <si>
    <t>Found in: Scopus · DOI: 10.15849/ijasca.v18i1.52</t>
  </si>
  <si>
    <t>Next-generation genomic data analysis faces ongoing challenges in collaboration, privacy, and scalability. With data protection and no access control deficiency, centralized systems lack sufficient protection for sensitive genomic data. The first-of-its-kind analysis of genomics combined with integrated machine learning and homomorphic encryption with the new privacy-preserving computational framework will be revolutionary. The use of smart contracts, which is unlike other frameworks, for access control, tokenized encrypted, and suspended federated model training during the suspension of other research nodes will be unprecedented. Simulation of genomic datasets (0 Major issues were identified in file sync performance and data protection and security) Vis-a-vis the other frameworks, the Model Proposed outperformed traditional, federated and HE based frameworks with significant. Of the models proposed, this one is the most impressive with a score of 94% precision, 92% recall, 0.93 computed F1 score, and 0.96 Area Under Curve (AUC). The model with the best performance. With 5K genomic datasets in a pilot simulation, collaboration improved by 25% with no breaches in the datasets. The promise of this design to ethically and securely address privacy-preserving genomic data analysis and the subsequent use of Artificial Intelligence in biomedical systems will be groundbreaking. © Al-Zaytoonah University of Jordan (ZUJ).</t>
  </si>
  <si>
    <t>R0011</t>
  </si>
  <si>
    <t>Cryptanalysis and Modification of a Variant of Matrix Operation for Randomization or Encryption (v-MORE)</t>
  </si>
  <si>
    <t>Alex, S.; Yang, B.</t>
  </si>
  <si>
    <t>Found in: Scopus · DOI: 10.1007/978-3-031-96590-6_24</t>
  </si>
  <si>
    <t>A variant of Matrix Operation for Randomization or Encryption (v-MORE) is a lightweight, real number-based, fully homomorphic encryption scheme used for outsourced secure medical data processing. This paper shows the vulnerability of v-MORE to a ciphertext-only attack when it is used in privacy-preserving applications where the data is not random. From the ciphertexts of v-MORE, the attacker can solve for its secrets based on linear algebra and predict the plaintext from a new ciphertext with 100% confidence. Hence, v-MORE can not ensure the privacy of medical data, which is not random, while processing it remotely and transmitting it over networks. Experimental analysis shows that the attack complexity is very low. v-MORE encryption is modified to mitigate the proposed ciphertext-only attack and developed additively homomorphic encryption that operates on real numbers (AHE-R). Also, experimental analysis and security analysis confirm that the modifications do not noticeably affect the computational and communication overhead while providing data security. © IFIP International Federation for Information Processing 2025.</t>
  </si>
  <si>
    <t>R0012</t>
  </si>
  <si>
    <t>FreqLT: Frequency-Domain Linear Transformation for Privacy-Preserving and Efficient Machine Learning on Wearable Sensor Signals</t>
  </si>
  <si>
    <t>Li, S.; Chen, L.; Bo, Y.</t>
  </si>
  <si>
    <t>Found in: Scopus · DOI: 10.1145/3737903.3768570</t>
  </si>
  <si>
    <t>The proliferation of wearable computing devices has enabled unprecedented opportunities for personalized health monitoring and human-computer interaction. However, the continuous stream of highly sensitive physiological and kinematic data they generate poses significant privacy and security risks, especially when processed on untrusted cloud-based Machine Learning as a Service (MLaaS) platforms. Existing privacy-preserving techniques present a stark tradeoff: cryptographic methods like Homomorphic Encryption offer robust security but are computationally prohibitive for resource-constrained wearables, while simpler perturbation-based methods degrade model performance and offer weak privacy guarantees. To address this challenge, we propose FreqLT, a novel and lightweight framework for Privacy-Preserving and Efficient Machine Learning on wearable devices. The core insight of FreqLT is that the discriminative information for most sensor-based ML tasks resides in the frequency domain. It is a learnable, invertible linear transformation directly to the frequency-domain representation of the sensor data, effectively obscuring the original signal’s time-domain characteristics and sensitive statistical properties. Our experiments on different datasets show that FreqLT provides superior privacy protection compared to other methods. © 2025 Copyright held by the owner/author(s).</t>
  </si>
  <si>
    <t>R0013</t>
  </si>
  <si>
    <t>Doppler indices of middle uterine artery as a tool for predicting the fetal status in cattle with uterine torsion and the recovery of uterine blood flow subsequent to detorsion</t>
  </si>
  <si>
    <t>Singh, N.; Ghuman, S.S.; Gandotra, V.K.</t>
  </si>
  <si>
    <t>Found in: Scopus</t>
  </si>
  <si>
    <t>The aim was assessment of blood flow to uterus in cattle suffering from uterine torsion as a tool for predicting the fetal survivability after detorsion. Dairy cattle (14) with uterine torsion were detorted and fetal delivery was completed within 30 min after detorsion. Doppler sonography of middle uterine artery ipsilateral (IpsiUA) and contralateral (ContUA) to the side of torsion was carried out before uterine detorsion and 30 min after fetal delivery for Doppler indices, viz. blood flow volume (BFV), time-averaged peak velocity (TAP), resistance index (RI) and pulsatility index (PI). Before uterine detorsion, RI-IpsiUA and PI-IpsiUA were high in comparison to their values in ContUA. Although RI-IpsiUA and PI-IpsiUA had difference between their values before uterine detorsion and 30 min after fetal delivery, but in contrast, at the same time point, there was no difference in RI-ContUA and PI-ContUA. In comparison to RI-IpsiUA and PI-IpsiUA before detorsion, their respective values decreased after fetal delivery subsequent to successful detorsion, and were almost similar to their respective post-fetal delivery RI-ContUA and PI-ContUA. In cases where fetus after detorsion of uterus was delivered dead, in the middle uterine artery ipsilateral to the side of uterine torsion, BFV-IpsiUA and TAP-IpsiUA were low, whereas PI-IpsiUA were high. In conclusion, depicting the blood flow within middle uterine artery using Doppler sonography could be helpful in predicting the viability of fetus in uterine torsion affected cattle and may confirm the resumption of blood flow to uterus subsequent to detorsion. © 2019 Indian Council of Agricultural Research. All rights reserved.</t>
  </si>
  <si>
    <t>R0014</t>
  </si>
  <si>
    <t>An End-to-End Privacy-Preserving Federated Big Data Framework with Homomorphic Encryption and Secure Aggregation</t>
  </si>
  <si>
    <t>A. Raj; S. S. Kang; S. Kaswan</t>
  </si>
  <si>
    <t>Found in: IEEE · DOI: 10.1109/ICNPCV69434.2026.11708998</t>
  </si>
  <si>
    <t>With the increase in distributed and privacy-sensitive data generated from healthcare, finance, and IoT sectors, it becomes necessary to enable cooperative analysis among organizations without aggregating sensitive data in a centralized manner. Federated Learning can meet this demand through enabling training of the model with the data kept local at each client. Recently, however, it has been shown that the exchange of plaintext model parameters is still susceptible to gradient inversion and membership inference attacks. To protect against such attacks, we propose a federated learning architecture that utilizes differential privacy with adaptive noise schedule, CKKS based homomorphic encryption, and secure aggregation. Contrary to the current literature that only examines each component independently, the proposed framework not only unifies all those methods into one but also formally guarantees $\varepsilon$-differential privacy composition for training as a whole. Specifically, our adaptive noise scheduling algorithm allows us to decrease the amount of Laplace noise during each federated round in order to ensure faster convergence while maintaining overall privacy budget. The experimental evaluations conducted on MNIST and UCI HAR dataset with non-IID federated partition show consistent stability during the training phase and up to 91.9% accuracy while the encryption overhead remains below 5%.</t>
  </si>
  <si>
    <t>R0015</t>
  </si>
  <si>
    <t>Identifying Personal DNA Methylation Profiles by Genotype Inference</t>
  </si>
  <si>
    <t>Backes, M.; Berrang, P.; Bieg, M.; Eils, R.; Herrmann, C.; Humbert, M.; Lehmann, I.</t>
  </si>
  <si>
    <t>Found in: Scopus; IEEE · DOI: 10.1109/SP.2017.21</t>
  </si>
  <si>
    <t>Since the first whole-genome sequencing, the biomedical research community has made significant steps towards a more precise, predictive and personalized medicine. Genomic data is nowadays widely considered privacy-sensitive and consequently protected by strict regulations and released only after careful consideration. Various additional types of biomedical data, however, are not shielded by any dedicated legal means and consequently disseminated much less thoughtfully. This in particular holds true for DNA methylation data as one of the most important and well-understood epigenetic element influencing human health. In this paper, we show that, in contrast to the aforementioned belief, releasing one's DNA methylation data causes privacy issues akin to releasing one's actual genome. We show that already a small subset of methylation regions influenced by genomic variants are sufficient to infer parts of someone's genome, and to further map this DNA methylation profile to the corresponding genome. Notably, we show that such re-identification is possible with 97.5% accuracy, relying on a dataset of more than 2500 genomes, and that we can reject all wrongly matched genomes using an appropriate statistical test. We provide means for countering this threat by proposing a novel cryptographic scheme for privately classifying tumors that enables a privacy-respecting medical diagnosis in a common clinical setting. The scheme relies on a combination of random forests and homomorphic encryption, and it is proven secure in the honest-but-curious model. We evaluate this scheme on real DNA methylation data, and show that we can keep the computational overhead to acceptable values for our application scenario. © 2017 IEEE.</t>
  </si>
  <si>
    <t>R0016</t>
  </si>
  <si>
    <t>Non-interactive privacy-preserving neural network prediction</t>
  </si>
  <si>
    <t>Ma, X.; Chen, X.; Zhang, X.</t>
  </si>
  <si>
    <t>Found in: Scopus · DOI: 10.1016/j.ins.2018.12.015</t>
  </si>
  <si>
    <t>Neural network is a particular machine learning framework which has gained widespread popularity due to its superior performance in many applications, such as complex board games, face recognition and disease diagnosis. A new service paradigm which offers online neural-network-based prediction to clients is increasingly popular. Although the prediction service has clear benefits, serious privacy issues have also emerged from the clients’ sensitive data and the neural network model itself. In this paper, we present a new outsourcing model for privacy-preserving neural network prediction under two non-colluding servers framework. In this model, the original neural network owner can securely outsource an existing neural network model to the two servers who will thereafter provide prediction service to the public users utilize encrypted input data. We propose the first fully non-interactive privacy-preserving neural network prediction scheme. Extensive security and efficiency analysis demonstrate that the proposed scheme satisfies the security requirement of model privacy and data privacy, and highly efficient with respect to computation and communication overhead. © 2019 Elsevier Inc.</t>
  </si>
  <si>
    <t>R0017</t>
  </si>
  <si>
    <t>DI CVD TRI Layer CX Classifier for Secure IoT Enabled Risk Prediction Model</t>
  </si>
  <si>
    <t>Thumilvannan, S.; Balamanigandan, R.</t>
  </si>
  <si>
    <t>Found in: Scopus · DOI: 10.53759/7669/jmc202505124</t>
  </si>
  <si>
    <t>This paper introduces a novel Di-CVD Tri-Layer CX Classifier, an IoT-integrated and machine learning (ML)-driven framework, to predict the individual and joint risk of diabetes (DB) and heart disease (HD). The proposed model comprises three phases: secure IoT-based data collection using Enhanced BGV encryption with Dynamic Distributed Hashing (DDH); a feature extraction (FE) phase leveraging (IGO) Information Gain Ratio and disease-specific ranking and a three-step classifier—Cm-Ro (FS) feature selection, hierarchical XGBoost classification, and synergistic prioritized risk scoring. By integrating multi-attribute features, rule-free optimization, and enhanced interoperability, the model addresses critical challenges such as heterogeneous data formats, poor feature relevance, and low interoperability in previous studies. When compared to conventional classifiers such as SVM and standard XGBoost, experimental evaluation on the NHANES dataset shows improved performance in terms of accuracy (ACC), recall (R), precision (P), and F1-score. The outcomes validate the framework’s effectiveness in early, secure, and individualized risk prediction, offering substantial support for timely interventions and enhanced patient care. ©2025 The Authors.</t>
  </si>
  <si>
    <t>R0018</t>
  </si>
  <si>
    <t>PPGNN-E: Efficient Privacy-Preserving GNN Inference via a Modular and Pipelined Arithmetic-and-Logic FHE Accelerator</t>
  </si>
  <si>
    <t>Wei, Y.; Wang, X.; Bian, S.; Huang, Y.; Jin, Y.; Zhao, W.</t>
  </si>
  <si>
    <t>Found in: Scopus · DOI: 10.1109/TCAD.2026.3734393</t>
  </si>
  <si>
    <t>The rapid growth of cloud-based Graph Neural Network (GNN) inference services raises critical privacy concerns regarding sensitive graph data, such as private node features in patient networks and graph topology in social networks. Although Fully Homomorphic Encryption (FHE) addresses this by enabling computations on encrypted data, utilizing it for privacy-preserving GNN inference incurs significant costs. This is because it generally necessitates ensuring the confidentiality of the highly sparse graph topology—which forces the execution of massive redundant computations in the encrypted domain—and maintaining computational precision, both of which are computationally expensive. Existing FHE-based GNN inference schemes suffer from excessive computational overhead, accuracy degradation, or incomplete data protection. This paper presents PPGNN-E to address all these challenges simultaneously. We first propose a novel privacy-preserving GNN inference algorithm utilizing a high-accuracy arithmetic-and-logic FHE approach. This method employs significantly smaller parameters, thereby substantially reducing computational complexity and facilitating parallel processing. Furthermore, we integrate a Differential Privacy (DP) strategy to efficiently leverage graph sparsity and employ Homomorphic Expansion (H-Exp) to alleviate memory bandwidth bottlenecks. Complementing this, we design a dedicated hardware architecture to implement these innovations, featuring specialized units for arithmetic and logic FHE operations in a pipelined manner. PPGNN-E delivers average speedups of 5.7× and 3.7× over Arithmetic FHE and Logic FHE accelerators, respectively, while maintaining high accuracy and reducing energy consumption by an average of 7.9×. © 1982-2012 IEEE.</t>
  </si>
  <si>
    <t>R0019</t>
  </si>
  <si>
    <t>A Hierarchical Privacy-Preserving Scheme with Federated Learning for Medical Applications</t>
  </si>
  <si>
    <t>Jiang, F.; Zhang, L.; Liu, L.; Zhai, Y.</t>
  </si>
  <si>
    <t>Found in: Scopus; IEEE · DOI: 10.1109/WCSP68525.2025.1010149</t>
  </si>
  <si>
    <t>This paper proposes a Hierarchical PrivacyPreserving Federated Learning (HPP-FL) scheme that integrates Differential Privacy (DP) and Homomorphic Encryption (HE) to enhance privacy protection for EEG data in IoT-based healthcare scenarios. To address risks of intermediate feature leakage and decision parameter exposure in conventional federated learning, the proposed scheme introduces a two-phase privacy protection mechanism. First, dynamic Gaussian noise perturbation with dynamic privacy budget control is applied exclusively to the client-side feature extraction layers to defend against model inversion attacks. Second, a gradient magnitude ranking strategy identifies 60 % of high-sensitivity parameters in classification head, which are then encrypted using Paillier homomorphic encryption to mitigate parameter inference attacks. By establishing a hierarchical parameter processing protocol, where the server performs standard federated averaging on plaintext feature parameters while conducting homomorphic aggregation on encrypted classification parameters, the proposed scheme strikes an effective balance between privacy protection and model performance. Simulation results on the BCI Competition IV 2a motor imagery dataset demonstrate that the proposed HPPFL effectively enhances raw data privacy against leakage while maintaining test accuracy comparable to baseline approaches, demonstrating its practicality and effectiveness for secure medical federated learning applications. © 2025 IEEE.</t>
  </si>
  <si>
    <t>R0020</t>
  </si>
  <si>
    <t>Federated Machine Learning Framework for Secure Blockchain-based Healthcare Data Sharing in Multi-Cloud Environments</t>
  </si>
  <si>
    <t>Mohana, V.; Kumar, R.; Shashibhushan, G.; Sabitha, E.; Kanth, T.V.R.; Sutha Merlin, J.</t>
  </si>
  <si>
    <t>Found in: Scopus; IEEE · DOI: 10.1109/ICDCECE68961.2026.11645842</t>
  </si>
  <si>
    <t>With the advent of the Internet of Medical Things (IoMT) and the increasing amount of electronic health records (EHR), the need for privacy-preserving, interoperable, and tamper-proof healthcare data sharing architectures in distributed multi-cloud environments has grown more urgent than ever. Current central solutions can be vulnerable to a single point of failure and fail to meet HIPAA, GDPR, and PDPA regulations.This paper suggests the Federated Machine Learning Blockchain (FML-BC) framework, a combination of differentially private federated learning and a permissioned Hyperledger Fabric blockchain that allows for secure, auditable aggregation of models, while avoiding centralization of raw patient information. A Paillier homomorphic encryption layer protects the parameter updates in the process of inter-cloud transmission, and the smart contract-based access control system controls the gradient sharing among different nodes of different hospitals. The system was tested using 12 simulated hospital nodes and two benchmark data sets: MIMIC-III and PhysioNet 2012.The system was tested on MIMIC-III, PhysioNet 2012 and eICU benchmark databases using 12 simulated hospital nodes. Conclusion: FML-BC outperformed state-of-the-art baselines by 4.2% in terms of accuracy, while communication overhead was reduced by 31.5% and the budget for differential privacy ϵ=0.85. The proposed framework shows high scalability, good data governance and excellent predictive performance, and is therefore a deployable, regulation-compliant solution for cross-institutional healthcare analytics.  © 2026 IEEE.</t>
  </si>
  <si>
    <t>R0021</t>
  </si>
  <si>
    <t>Enhancing Privacy through Federated Learning AI</t>
  </si>
  <si>
    <t>Moulya, K.B.; Rodrigues, A.P.</t>
  </si>
  <si>
    <t>Found in: Scopus; IEEE · DOI: 10.1109/ICRAIS66073.2025.11234730</t>
  </si>
  <si>
    <t>In the present era of attention to data privacy, traditional machine learning (ML) paradigms that rely on centralized data processing are coming under increasing scrutiny. Federated Learning (FL) offers an alternative by allowing for distributed model training and allowing data to remain on local devices while only sharing model updates. This review of the literature has examined how FL can help improve data privacy along with its benefits, challenges, and areas that need to be further explored. It reviewed important privacy-preserving techniques with FL such as differential privacy, secure model aggregation, and homomorphic encryption, along with security threats and attacks posed by adversarial attacks and inference attacks, while noting the need for additional optimization for FL to further help balance privacy, performance, and scalability for FL in privacy-sensitive sectors such as healthcare, finance, and the Internet of Things (IoT). Artificial intelligence is changing the healthcare sector, while also highlighting the issues of data privacy. In this study, we presented federated learning as a privacy-preserving AI technique that allows multiple hospitals to jointly train a model while still preserving their raw data. We used differential privacy, secure aggregation, and homomorphic encryption to enhance security and ensure compliance. This approach represents an ethical AI solution without compromising patient privacy. ©2025 IEEE.</t>
  </si>
  <si>
    <t>R0022</t>
  </si>
  <si>
    <t>AI-Augmented Cybersecurity Architectures for Privacy-Preserving Data Pipelines in Dynamic Smart Environments</t>
  </si>
  <si>
    <t>Ediga, P.; Vyas, P.; Sowjanya, G.D.; Chandana, M.; Upodhyay, D.</t>
  </si>
  <si>
    <t>Found in: Scopus; IEEE · DOI: 10.1109/ICIH67754.2025.11608625</t>
  </si>
  <si>
    <t>A secure and privacy preserving data flow within distributed and dynamic large scale environments has become an essential issue in the age of hyper connected smart environments. In this study, a new Dual Layer AI Augmented Federated Confidentiality Model DL AIFCM that can protect data pipelines and still be highly efficient and protect the privacy of users is presented. The suggested architecture combines federated learning with homomorphic encryption and differential privacy to make sure that sensitive data does not leave its local setting in the process of distributed training and, therefore, does not necessitate the need of exchanging raw data. The proposed DL AIFCM framework has been evaluated in a simulated smart city environment with multiple IoT devices, demonstrating its capability to detect cyber threats in real-time while preserving user privacy, making it suitable for practical deployment in urban infrastructure, healthcare, and intelligent transportation systems. Adaptive Threat Intelligence Layer ATIL is a reinforcement learning that operates independently to identify anomalies, judge trust, and react real-time throughout the system. Moreover, such verification protocol can be based on Zero Knowledge Proofs and guarantee integrity of data without flash over to confidentiality. In order to mitigate the complexity and topology volatility of smart environments, a Graph Neural Network GNN module performs on-demand mapping of changes in the network and flaws. It also enhances the architecture with Self- Healing Response Engine SHRE that allows automatic mitigation by mode of policy reconfiguration and isolating routes. The composite nature of these constructed elements creates a high quality AI enhanced cybersecurity system against rapidly changing cyber threats without data privacy compromises, which is highly applicable in the actual application of smart infrastructures. The suggested DL AIFCM technique attains an overall accuracy of 96.1 percent in identifying and alleviating cybersecurity risks in dynamic smart settings. © 2025 IEEE.</t>
  </si>
  <si>
    <t>R0023</t>
  </si>
  <si>
    <t>A SaaS implementation of a new generic crypto-classifier service for secure energy efficiency in smart cities</t>
  </si>
  <si>
    <t>Stan, O.; Zayani, M.-H.; Sirdey, R.; Ben Hamida, A.; Mziou-Sallami, M.; Ferreira Leite, A.</t>
  </si>
  <si>
    <t>Found in: Scopus · DOI: 10.1007/978-3-030-26633-2_5</t>
  </si>
  <si>
    <t>More and more, accessing data remotely in a secure manner appears like the backbone for providing new advanced and customized functionalities. The proliferation of social media and domotics urges a new kind of ubiquity where different kinds of features are deployed everywhere atop of the everyday life small devices and even embedded in our surroundings. While we measure the opportunities offered by such advancements in improving people lifestyles and obtaining immediate and useful services, it is necessary to consider the real impact on our privacy. Recently, a newly adopted European standard, the General Data Protection Regulation aims at codifying the rules of personal data use. We strongly believe in the necessity for a Smart City of adopting such privacy regulation while benefiting at the same time from new services, in a generic and easy way. In that sense, we build an approach that is at the frontier of the cryptoscience domain for a better privacy and the Micro Service-Oriented Architectures for an increased use by tiers. Indeed, our service is accessible in a Software-as-a-Service (SaaS) manner and uses encryption to ensure data privacy. The particularity of our system lies in the fact that the server performs a classification algorithm without any information about the sensitive data and without the capability to decrypt it. The underlying cryptographic technology used is homomorphic encryption, allowing to perform calculations directly on encrypted data. Our service is generic by design and could be applied over several metrics. We adopt an energy efficiency use case and propose a service for buildings energy diagnosis and classification towards renovations and/or reductions of the electric consumption. We showcase our prototype of crypto-classification service by involving different actors of a Smart City community. Finally, we assess our proposal thanks to a set of real data collected from an Irish residential district. Our SaaS crypto-classifier achieves acceptable performances in terms of security, execution times and memory requirements. © Springer Nature Switzerland AG 2019.</t>
  </si>
  <si>
    <t>R0024</t>
  </si>
  <si>
    <t>Enabling Privacy-Preserving Machine Learning: Federal Learning with Homomorphic Encryption</t>
  </si>
  <si>
    <t>Gadiwala, H.; Bavani, R.; Panchal, R.; Sakarkar, G.; Abiyasa, A.P.</t>
  </si>
  <si>
    <t>Found in: Scopus; IEEE · DOI: 10.1109/ICSCC62041.2024.10690391</t>
  </si>
  <si>
    <t>In order to protect the cooperative training of machine learning models across decentralized devices, this study presents a novel privacy-preserving federated learning system with homomorphic encryption (PFed-HE). Starting with the careful selection and improvement of homomorphic encryption algorithms for effective and safe computations, the methodology takes a multifaceted approach. A unique approach for encrypting and aggregating gradients while maintaining privacy is introduced, utilizing homomorphic encryption and incorporating differential privacy techniques for an additional layer of confidentiality. The federated learning architecture includes a client-side encryption module, which smoothly integrates the encryption process into the model training workflow. A decentralized model aggregation approach allows encrypted model updates from numerous clients to be securely integrated while maintaining individual data privacy. To improve security, the methodology incorporates a dynamic key management system with periodic key rotation and a secure key agreement protocol for establishing shared encryption keys. Batch processing, parallelizing homomorphic encryption processes, and communication compression are the main tactics used in performance optimization to reduce computational overhead and improve scalability. The PFed-HE system is integrated with prominent federated learning frameworks, thoroughly evaluated in simulated real-world scenarios, and applied to specific use cases in fields such as healthcare and finance. This PFed-HE system tackles the ethical issues and openness that are critical for deployment in sensitive applications, in addition to showcasing advances in privacy-preserving machine learning.  © 2024 IEEE.</t>
  </si>
  <si>
    <t>R0025</t>
  </si>
  <si>
    <t>Application of Cryptography in Privacy-Preserving Machine Learning</t>
  </si>
  <si>
    <t>Negi, T.; Rubi, R.; Shallu, S.; Devi, A.; Salarian, H.; Chaeikar, S.S.</t>
  </si>
  <si>
    <t>Found in: Scopus; IEEE · DOI: 10.1109/PCDS68697.2025.11415278</t>
  </si>
  <si>
    <t>Many people are now concerned because Machine Learning (ML) that its applications have been growing rapidly in health, finance and national security. As learning systems store a lot of user information now, it is important to protect user privacy without damaging the way ML algorithms learn. Privacy Preserving Machine Learning (PPML) is able to solve this problem by including privacy protections within the learning algorithms. To make sure computation and data are secure, cryptography is one of the most important techniques today. In this paper, we focus on the use of new cryptographic tools in PPML, looking at their main ideas, frameworks for applying them and how well they perform compared to others. We analyze how Homomorphic Encryption (HE), Secure Multiparty Computation (SMPC), Differential Privacy (DP) and Functional Encryption can be used in centralized and federated ML configurations. We reviewed how effective each technique is, how it performs under high load, and what kinds of security risks exist - making it easier to decide if they can be used in practice. © 2025 IEEE.</t>
  </si>
  <si>
    <t>R0026</t>
  </si>
  <si>
    <t>A new blood flow volume sensor with embedded estimation of SpO2 to maximize its accuracy</t>
  </si>
  <si>
    <t>Nguyen, D.H.; Chen, Y.-T.; Tu, T.-Y.; Chao, P.C.-P.; Fang, Y.-W.; Lin, B.S.</t>
  </si>
  <si>
    <t>Found in: Scopus · DOI: 10.1007/s00542-020-05149-1</t>
  </si>
  <si>
    <t>A new portable blood flow volume (BFV) sensor is developed from the function of estimating oxygen saturation (SpO2) implemented inherently to maximize the accuracy of predicting BFV. The sensor is designed to estimate BFV in high accuracy at the arteriovenous fistula (AVF) of a hemodialysis (HD) patient based on a built artificial neural network (ANN). The BFVs measured by the proposed sensor would help greatly evaluate the AVF complications at early stage, such as infection, bleeding, stenosis, and vascular calcification, while AVFs are under long-time usage. The sensor module consists of LEDs/PDs, readout circuitry and algorithm to estimate BFV. The oxygen saturation (SpO2) is also estimated using the same hardware to serve as one of input features for the aforementioned ANN for maximize the accuracy in BFV. With using the hardware, oxygen saturation’s algorithm is built and implemented with the mean deviation (MD) and standard deviation (SD) adapted FDA standard, which is MD ∓ 1.96SD = 0.024% ∓ 1.772% &lt; 5%. Besides, the BFV ground-truth data are obtained from a transonic HD03 dilution machine for calibrating the ANN. The accuracy in estimating BFV with and without estimating SpO2 are compared, which correspond to R2 = 0. 94,517, root mean square error = 92.199 ml/min and R2 = 0.87145, root mean square error = 141.015 ml/min, respectively. Besides, another neural network model is implemented with fixing value of an input feature of SpO2, the ANN model’s correlation reaches only 0.1554, while the related root mean square error is 493.2442 ml/min. Therefore, the results validate clearly the necessity of the inherent estimation on SpO2. © 2021, Springer-Verlag GmbH Germany, part of Springer Nature.</t>
  </si>
  <si>
    <t>R0027</t>
  </si>
  <si>
    <t>Machine Learning Services by Homomorphic Encryption to Enhancing Privacy</t>
  </si>
  <si>
    <t>Yadkar, M.S.; Kurnaz, S.; Farhan, H.M.</t>
  </si>
  <si>
    <t>Found in: Scopus; IEEE · DOI: 10.1109/ICBATS66542.2025.11258322</t>
  </si>
  <si>
    <t>Machine Learning (ML) is a crucial domain within data science, fostering advancements across several industries. Nonetheless, the rising threat of detrimental attacks on machine learning models presents significant privacy issues that may impede their extensive use. Privacy-Preserving Machine Learning (PPML) approaches, such as Homomorphic Encryption (HE), have been developed to mitigate these risks and safeguard sensitive data. Notwithstanding its potential, conventional HE encounters inefficiencies, especially in applications requiring great scalability. This study introduces a unique methodology, Hybrid Homomorphic Encryption (HHE), which integrates symmetric cryptography with homomorphic encryption to rectify these inefficiencies. We present the Guard ML framework, engineered for end devices, to enable encrypted data categorization while safeguarding the privacy of both the input data and the machine learning models. Employing a case study on heart disease categorization through sensitive ECG data, our technique demonstrates the practical use of HHE. Our methodology is viable because, although there is a minor reduction in accuracy relative to unencrypted inference, both analysts and end devices have minimal communication and computational costs. Our research establishes a foundation for a future of machine learning that prioritizes safety and privacy, particularly on resource-constrained end devices, by the successful integration of HHE into PPML. © 2025 IEEE.</t>
  </si>
  <si>
    <t>R0028</t>
  </si>
  <si>
    <t>Efficient and privacy-protected content-based image retrieval without homomorphic encryption</t>
  </si>
  <si>
    <t>Zhang, P.; Shen, J.; Cao, Z.</t>
  </si>
  <si>
    <t>Found in: Scopus · DOI: 10.1109/CCNS50731.2020.00024</t>
  </si>
  <si>
    <t>Images play an increasingly important role in our lives as carriers of Information. At the same time, personal devices are increasingly unable to store and compute large amounts of images, so it is necessary to outsource to cloud servers. However, this also brings privacy issues, such as personal photos, medical photos, map mapping, etc. In this paper, we present a content-based image retrieval (CBIR) scheme that can be performed on ciphertext images. In order to better represent the Lage, instead of the traditional algorithms such as SIFT and HOG, image features are extracted using fine-tuned convolutional neural networks, and then outsources the encrypted feature vector and ciphertext image to cloud server. Considering the efficiency of the search, this paper uses the k-means algorithm to and local sensitive hash function to build a secure tree index. This paper proposes a new functional encryption of the inner product to calculate the Euclidean distance between the feature vectors to obtain the similarity between the images, and finally return the ciphertext image satisfying the condition to the user. The experimental results show the efficiency of our program, in addition, the paper gives security analysis to prove that our solution can against Chosen-Plaintext Attack (CPA).  © 2020 IEEE.</t>
  </si>
  <si>
    <t>R0029</t>
  </si>
  <si>
    <t>Federated Learning with Homomorphic Encryption: A Privacy-Preserving Solution for Smart Cities</t>
  </si>
  <si>
    <t>Alqazzaz, A.</t>
  </si>
  <si>
    <t>Found in: Scopus · DOI: 10.1007/s44196-025-00829-0</t>
  </si>
  <si>
    <t>The rapid proliferation of smart cities has led to an unprecedented generation of sensitive data from interconnected infrastructures, such as healthcare, transportation, energy, and surveillance systems. Ensuring data privacy and security while enabling real-time data analytics remains a critical challenge as traditional centralized processing methods are vulnerable to cyber threats and regulatory constraints. While Federated Learning (FL) offers a decentralized alternative by keeping data local, it remains susceptible to privacy breaches during model updates. Homomorphic Encryption (HE) has emerged as a promising solution for securing computations on encrypted data, but its high computational overhead hinders its applicability in real-time scenarios. To address these limitations, this paper proposes Scalable Privacy-Preserving Federated Learning with Efficient Homomorphic Encryption (SPP-FLHE)—a novel framework that integrates FL with optimized HE techniques and Differential Privacy (DP). The proposed framework reduces computational and communication overhead while ensuring robust privacy protection. Our key contributions include: (1) an enhanced HE scheme that minimizes encryption-related latency, making FL more feasible for large-scale deployments; (2) a dynamic DP noise addition mechanism that strengthens privacy without significantly degrading model accuracy; and (3) the introduction of model compression and gradient sparsification techniques to reduce communication overhead, improving scalability for smart city applications. Extensive experiments on real-world smart city datasets demonstrate that SPP-FLHE achieves 92.6% accuracy, while reducing data transmission by 40% and latency by 43% compared to conventional FL-HE methods. These findings highlight the framework’s practicality for real-time smart city applications, enabling secure and efficient data analytics without compromising privacy. The proposed model represents a significant advancement in privacy-preserving machine learning, offering a scalable and computationally efficient approach for securing smart city infrastructures. © The Author(s) 2025.</t>
  </si>
  <si>
    <t>R0030</t>
  </si>
  <si>
    <t>Toward learning trustworthily from data combining privacy, fairness, and explainability: An application to face recognition</t>
  </si>
  <si>
    <t>Franco, D.; Oneto, L.; Navarin, N.; Anguita, D.</t>
  </si>
  <si>
    <t>Found in: Scopus; PubMed · DOI: 10.3390/e23081047 · PMID: 34441187</t>
  </si>
  <si>
    <t>In many decision-making scenarios, ranging from recreational activities to healthcare and policing, the use of artificial intelligence coupled with the ability to learn from historical data is becoming ubiquitous. This widespread adoption of automated systems is accompanied by the increasing concerns regarding their ethical implications. Fundamental rights, such as the ones that require the preservation of privacy, do not discriminate based on sensible attributes (e.g., gender, ethnicity, political/sexual orientation), or require one to provide an explanation for a decision, are daily undermined by the use of increasingly complex and less understandable yet more accurate learning algorithms. For this purpose, in this work, we work toward the development of systems able to ensure trustworthiness by delivering privacy, fairness, and explainability by design. 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prove the validity of our approach. © 2021 by the authors. Licensee MDPI, Basel, Switzerland.</t>
  </si>
  <si>
    <t>R0031</t>
  </si>
  <si>
    <t>Efficacy of contrast-enhanced ultrasound in detection of type II endoleak after abdominal aortic aneurysm surgery: A prospective cohort study</t>
  </si>
  <si>
    <t>Zhao, X.; Liu, Y.; Sun, M.; Wang, Y.</t>
  </si>
  <si>
    <t>Found in: Scopus; PubMed · DOI: 10.1002/jcu.23166 · PMID: 35238044</t>
  </si>
  <si>
    <t>Purpose: This study aimed to evaluate the efficacy of conventional contrast-enhanced ultrasound (CEUS) in detection of type II endoleak after endovascular abdominal aortic aneurysm repair (EVAR). Methods: From January 2015 to April 2018, 205 patients underwent EVAR were included. CEUS and computed tomography angiography (CTA) were performed at 1-month follow-up postoperatively to detect type II endoleak. CEUS was performed at 3- and 6-month follow-up to evaluate the development of type II endoleak. The diameter extension of type II endoleak increased greater than 5 mm was defined as enlarge group, and that increased less than 5 mm was defined as stable group. The difference of arrival time (AT) of contrast agent, maximum cross-sectional area (MCSA) of contrast agent and the blood flow velocity (BFV) of the abnormal blood around the stent graft were compared. Results: At 1-month after EVAR, 65 cases of endoleak were detected by CEUS, including 25 cases of type I, 30 cases of type II endoleak and 10 cases of type III endoleak. Among them, 50 cases were also detected by CTA. The diameter extension of 12 cases of type II endoleak increased greater than 5 mm, and that of eight cases increased less than 5 mm. The average AT of the enlarge group was significantly shorter than that of the stable group, while the MCSA of contrast agent and the BFV were significantly higher than that of the stable group (p &lt; 0.05). Conclusion: CEUS has predictive value for the natural outcome of type II endoleak. © 2022 Wiley Periodicals LLC.</t>
  </si>
  <si>
    <t>R0032</t>
  </si>
  <si>
    <t>Secure Federated Learning Under Non-IID and Multimodal Breast Imaging</t>
  </si>
  <si>
    <t>Rasheed, A.S.A.; Awad, M.; Masud, M.M.</t>
  </si>
  <si>
    <t>Found in: Scopus · DOI: 10.1109/SoutheastCon63549.2026.11476171</t>
  </si>
  <si>
    <t>Federated Learning (FL) enables collaborative medical model training without data sharing but faces challenges from data heterogeneity and privacy constraints. This work uses a hierarchical RLWE-based privacy-preserving FL framework for breast cancer detection using mammography and ultrasound imaging. The framework integrates xMK-CKKS homomorphic encryption to ensure secure model aggregation while analyzing the impact of statistical non-IID conditions (Dirichlet α ∈{1.0,0.5,0.1}) across 2-100 clients. Results indicate stable accuracy and specificity (&gt;84%,&gt;96%), whereas recall exhibits non-monotonic variation across heterogeneity levels, because of uneven malignant sample allocation under Dirichlet-based non-IID partitioning. Regulating client-level class imbalance through controlled label proportioning substantially improved minority class sensitivity and metric stability, yielding significant recall gains with negligible accuracy trade-off. Inclusion of multimodal data improved diagnostic consistency and reduced bias toward either class. Findings emphasize that clinical reliability in federated medical imaging extends beyond accuracy, requiring sensitivity and agreement based evaluation. © 2026 IEEE.</t>
  </si>
  <si>
    <t>R0033</t>
  </si>
  <si>
    <t>A Multi-Modal Tensor Ring Decomposition for Communication-Efficient and Trustworthy Federated Learning for ITS in COVID-19 Scenario</t>
  </si>
  <si>
    <t>Zhao, R.; Yang, L.T.; Liu, D.; Zhou, X.; Deng, X.; Tang, X.</t>
  </si>
  <si>
    <t>Found in: Scopus; IEEE · DOI: 10.1109/TITS.2023.3273167</t>
  </si>
  <si>
    <t>Traffic and the movement of people are inextricably associated with the potential spread of COVID-19. In Intelligent Transportation System (ITS), Deep Learning (DL) traffic detection approaches driven by transportation big data have significant application values in monitoring, counting and classifying traffic vehicle information during the COVID-19 epidemic blockade, while DL COVID-19 medical diagnostic technology is also very important. However, due to concerns about data privacy and security, traditional data-centralized DL techniques that require uploading training data from multiple cameras or hospitals are no longer suitable. Federated Learning (FL) as a novel collaborative privacy-preserving DL paradigm could address this issue well. Nevertheless, in FL, most existing works train learning models with full-precision weights and communicate them over multiple iterations, which may incur massive additional communication costs and disclose the privacy implied in the trained local models. To tackle these issues, we first propose a novel multi-modal tensor ring decomposition TR-TSVD that not only achieves efficient data reduction but also keeps the correlations among multi-modes. Afterward, applying TR-TSVD to the training process of a convolutional neural network under the FL framework to achieve the goal of reducing communication overhead while ensuring model performance. Additionally, since the weight parameters are transmitted with the TR-TSVD format, attackers cannot infer the data privacy without knowing the specific restoration method. Besides, the additively homomorphic encryption is leveraged to further preserve model security. Extensive experimental results on MNIST, BIT-Vehicle and COVID-CT datasets show that the proposed approach could achieve a better performance. © 2000-2011 IEEE.</t>
  </si>
  <si>
    <t>R0034</t>
  </si>
  <si>
    <t>A Theoretical Model for Privacy-Preserving IoMT Based on Hybrid SDAIPA Classification Approach and Optimized Homomorphic Encryption</t>
  </si>
  <si>
    <t>Alzahrani, M.A.R.</t>
  </si>
  <si>
    <t>Found in: Scopus · DOI: 10.3390/computers14120549</t>
  </si>
  <si>
    <t>The Internet of Medical Things (IoMT) improves healthcare delivery through many medical applications. Because of medical data sensitivity and limited resources of wearable technology, privacy and security are significant challenges. Traditional encryption does not provide secure computation on encrypted data, and many blockchain-based IoMT solutions partially rely on centralized structures. IoMT with dynamic encryption is an innovative privacy-preserving system that combines sensitivity-based classification and advanced encryption to address these issues. The study proposes privacy-preserving IoMT framework that dynamically adapts its cryptographic strategy based on data sensitivity. The proposed approach uses a hybrid SDAIPA (SDAIA-HIPAA) classification model that integrates Saudi Data and Artificial Intelligence Authority (SDAIA) and Health Insurance Portability and Accountability Act (HIPAA) guidelines. This classification directly governs the selection of encryption mechanisms, where Advanced Encryption Standard (AES) is used for low-sensitivity data, and Fully Homomorphic Encryption (FHE) is used for high-sensitivity data. The Whale Optimization Algorithm (WOA) is used to maximize cryptographic entropy of FHE keys and improves security against attacks, resulting in an Optimized FHE that is conditionally used based on SDAIPA outputs. This proposed approach provides a novel scheme to dynamically align cryptographic intensity with data risk and avoids the overhead of uniform FHE use while ensuring strong privacy for critical records. Two datasets are used to assess the proposed approach with up to 806 samples. The results show that the hybrid OHE-WOA outperforms in the percentage of sensitivity of privacy index with dataset 1 by 78.3% and 12.5% and with dataset 2 by 89% and 19.7% compared to AES and RSA, respectively, which ensures its superior ability to preserve privacy. © 2025 by the author.</t>
  </si>
  <si>
    <t>R0035</t>
  </si>
  <si>
    <t>Secure Non-interactive Decision Tree Evaluation via Fully Homomorphic Encryption</t>
  </si>
  <si>
    <t>Sun, Y.; Qin, B.; Guo, Z.; Gao, W.</t>
  </si>
  <si>
    <t>Found in: Scopus · DOI: 10.1007/978-981-95-3182-0_22</t>
  </si>
  <si>
    <t>With the rapid development of machine learning, decision trees have become an important predictive model in statistics and data mining due to their intuitiveness and efficiency. However, existing schemes suffer from high communication overhead and are vulnerable to quantum attacks. To address this problem, we propose a secure non-interactive decision tree evaluation protocol based on fully homomorphic encryption. The protocol does not rely on the interaction between entities. It performs classification tasks in a cryptographic domain by the model owner and does not require the client to remain online continuously, which greatly reduces the cost of communication between entities. Experimental evaluations on UCI datasets demonstrate that our protocol significantly reduces communication overhead, requiring only 23.9%, 24.8%, and 33.7% of the bandwidth used by existing protocols on the Heart-Disease, Breast-Cancer, and Spambase datasets, respectively. In addition, we designed a new secure comparison protocol based on a bitwise encoding method. This encoding mechanism represents numerical values hierarchically by converting data into binary strings, providing structured input for subsequent secure comparisons through bitwise homomorphic operations. Furthermore, the protocol adopts a lattice-based fully homomorphic encryption scheme, which greatly enhances the protocol to resist against quantum attacks. © The Author(s), under exclusive license to Springer Nature Singapore Pte Ltd. 2026.</t>
  </si>
  <si>
    <t>R0036</t>
  </si>
  <si>
    <t>MP2ML: A mixed-protocol machine learning framework for private inference</t>
  </si>
  <si>
    <t>Boemer, F.; Cammarota, R.; Demmler, D.; Schneider, T.; Yalame, H.</t>
  </si>
  <si>
    <t>Found in: Scopus · DOI: 10.1145/3407023.3407045</t>
  </si>
  <si>
    <t>Privacy-preserving machine learning (PPML) has many applications, from medical image classification and anomaly detection to financial analysis. nGraph-HE enables data scientists to perform private inference of deep learning (DL) models trained using popular frameworks such as TensorFlow. nGraph-HE computes linear layers using the CKKS homomorphic encryption (HE) scheme. The non-polynomial activation functions, such as MaxPool and ReLU, are evaluated in the clear by the data owner who obtains the intermediate feature maps. This leaks the feature maps to the data owner from which it may be possible to deduce the DL model weights. As a result, such protocols may not be suitable for deployment, especially when the DL model is intellectual property. In this work, we present MP2ML, a machine learning framework which integrates nGraph-HE and the secure two-party computation framework ABY, to overcome the limitations of leaking the intermediate feature maps to the data owner. We introduce a novel scheme for the conversion between CKKS and secure multi-party computation to execute DL inference while maintaining the privacy of both the input data and model weights. MP2ML is compatible with popular DL frameworks such as TensorFlow that can infer pre-trained neural networks with native ReLU activations. We benchmark MP2ML on the CryptoNets network with ReLU activations, on which it achieves a throughput of 33.3 images/s and an accuracy of 98.6%. This throughput matches the previous state-of-the-art work, even though our protocol is more accurate and scalable. © 2020 ACM.</t>
  </si>
  <si>
    <t>R0037</t>
  </si>
  <si>
    <t>Secure and Efficient Regression Analysis Using a Hybrid Cryptographic Framework: Development and Evaluation</t>
  </si>
  <si>
    <t>Sadat, M.N.; Jiang, X.; Al Aziz, M.M.; Wang, S.; Mohammed, N.</t>
  </si>
  <si>
    <t>Found in: Scopus; PubMed · DOI: 10.2196/medinform.8286 · PMID: 29506966</t>
  </si>
  <si>
    <t>Background: Machine learning is an effective data-driven tool that is being widely used to extract valuable patterns and insights from data. Specifically, predictive machine learning models are very important in health care for clinical data analysis. The machine learning algorithms that generate predictive models often require pooling data from different sources to discover statistical patterns or correlations among different attributes of the input data. The primary challenge is to fulfill one major objective: preserving the privacy of individuals while discovering knowledge from data. Objective: Our objective was to develop a hybrid cryptographic framework for performing regression analysis over distributed data in a secure and efficient way. Methods: Existing secure computation schemes are not suitable for processing the large-scale data that are used in cutting-edge machine learning applications. We designed, developed, and evaluated a hybrid cryptographic framework, which can securely perform regression analysis, a fundamental machine learning algorithm using somewhat homomorphic encryption and a newly introduced secure hardware component of Intel Software Guard Extensions (Intel SGX) to ensure both privacy and efficiency at the same time. Results: Experimental results demonstrate that our proposed method provides a better trade-off in terms of security and efficiency than solely secure hardware-based methods. Besides, there is no approximation error. Computed model parameters are exactly similar to plaintext results. Conclusions: To the best of our knowledge, this kind of secure computation model using a hybrid cryptographic framework, which leverages both somewhat homomorphic encryption and Intel SGX, is not proposed or evaluated to this date. Our proposed framework ensures data security and computational efficiency at the same time. ©Md Nazmus Sadat, Xiaoqian Jiang, Md Momin Al Aziz, Shuang Wang, Noman Mohammed.</t>
  </si>
  <si>
    <t>R0038</t>
  </si>
  <si>
    <t>Secure large-scale genome-wide association studies using homomorphic encryption</t>
  </si>
  <si>
    <t>Blatt, M.; Gusev, A.; Polyakov, Y.; Goldwasser, S.</t>
  </si>
  <si>
    <t>Found in: Scopus · DOI: 10.1073/pnas.1918257117</t>
  </si>
  <si>
    <t>Genome-wide association studies (GWASs) seek to identify genetic variants associated with a trait, and have been a powerful approach for understanding complex diseases. A critical challenge for GWASs has been the dependence on individual-level data that typically have strict privacy requirements, creating an urgent need for methods that preserve the individual-level privacy of participants. Here, we present a privacy-preserving framework based on several advances in homomorphic encryption and demonstrate that it can perform an accurate GWAS analysis for a real dataset of more than 25,000 individuals, keeping all individual data encrypted and requiring no user interactions. Our extrapolations show that it can evaluate GWASs of 100,000 individuals and 500,000 single-nucleotide polymorphisms (SNPs) in 5.6 h on a single server node (or in 11 min on 31 server nodes running in parallel). Our performance results are more than one order of magnitude faster than prior state-of-the-art results using secure multiparty computation, which requires continuous user interactions, with the accuracy of both solutions being similar. Our homomorphic encryption advances can also be applied to other domains where large-scale statistical analyses over encrypted data are needed. © 2020 National Academy of Sciences. All rights reserved.</t>
  </si>
  <si>
    <t>R0039</t>
  </si>
  <si>
    <t>SecureEndoNet: An Encryption-Enabled, Transfer Learning-Based Approach for Endoscopic Image Classification</t>
  </si>
  <si>
    <t>Musha, A.; Islam, A.; Ghosh, T.</t>
  </si>
  <si>
    <t>Found in: Scopus; IEEE · DOI: 10.1109/BECITHCON69222.2025.11504211</t>
  </si>
  <si>
    <t>The use of deep learning models on endoscopic images for detecting gastrointestinal diseases presents a major privacy challenge, as it requires processing sensitive patient data and risks the unauthorized disclosure of personal health information. To address this issue, we propose SecureEndoNet, a transfer learning-based framework compatible with homomorphic encryption for privacy-preserving endoscopic image classification. SecureEndoNet employs the CKKS scheme to encrypt client data during inference and utilizes a pre-trained VGG-19 model for feature extraction. Experiments conducted on the publicly available KVASIR v2 dataset, which contains eight classes, demonstrate that the framework achieves identical classification accuracy on both plaintext and ciphertext inputs (90.125%), with an inference time of 1.25 seconds per encrypted sample. Moreover, VGG-19 provides the fastest inference speed while achieving over 90% accuracy, outperforming other pretrained models including DenseNet-201, MobileNetV2, ResNet50, and EfficientNetV2B0. © 2025 IEEE.</t>
  </si>
  <si>
    <t>R0040</t>
  </si>
  <si>
    <t>Privacy-Preserving Multi-Class Support Vector Machine Model on Medical Diagnosis</t>
  </si>
  <si>
    <t>Chen, Y.; Mao, Q.; Wang, B.; Duan, P.; Zhang, B.; Hong, Z.</t>
  </si>
  <si>
    <t>Found in: Scopus · DOI: 10.1109/JBHI.2022.3157592</t>
  </si>
  <si>
    <t>With the rapid development of machine learning in the medical cloud system, cloud-assisted medical computing provides a concrete platform for remote rapid medical diagnosis services. Support vector machine (SVM), as one of the important algorithms of machine learning, has been widely used in the field of medical diagnosis for its high classification accuracy and efficiency. In some existing schemes, healthcare providers train diagnostic models with SVM algorithms and provide online diagnostic services to doctors. Doctors send the patient's case report to the diagnostic models to obtain the results and assist in clinical diagnosis. However, case report involves patients' privacy, and patients do not want their sensitive information to be leaked. Therefore, the protection of patient's privacy has become an important research direction in the field of online medical diagnosis. In this paper, we propose a privacy-preserving medical diagnosis scheme based on multi-class SVMs. The scheme is based on the distributed two trapdoors public key cryptosystem (DT-PKC) and Boneh-Goh-Nissim (BGN) cryptosystem. We design a secure computing protocol to compute the core process of the SVM classification algorithm. Our scheme can deal with both linearly separable data and nonlinear data while protecting the privacy of user data and support vectors. The results show that our scheme is secure, reliable, scalable with high accuracy.  © 2013 IEEE.</t>
  </si>
  <si>
    <t>R0041</t>
  </si>
  <si>
    <t>Applying YOLOv6 as an ensemble federated learning framework to classify breast cancer pathology images</t>
  </si>
  <si>
    <t>Gupta, C.; Gill, N.S.; Gulia, P.; Alduaiji, N.; Shreyas, J.; Shukla, P.K.</t>
  </si>
  <si>
    <t>Found in: Scopus; PubMed · DOI: 10.1038/s41598-024-80187-7 · PMID: 39885198</t>
  </si>
  <si>
    <t>The most common carcinoma-related cause of death among women is breast cancer. Early detection is crucial, and the manual screening method may lead to a delayed diagnosis, which would delay treatment and put lives at risk. Mammography imaging is advised for routine screening to diagnose breast cancer at an early stage. To improve generalizability, this study examines the implementation of Federated Learning (FedL) to detect breast cancer. Its performance is compared to a centralized training technique that diagnoses breast cancer. Although FedL has been famous as a safeguarding privacy algorithm, its similarities to ensemble learning methods, such as federated averaging (FEDAvrg), still need to be thoroughly investigated. This study examines explicitly how a YOLOv6 model trained with FedL performs across several clients. A new homomorphic encryption and decryption algorithm is also proposed to retain data privacy. A novel pruned YOLOv6 model with FedL is introduced in this study to differentiate benign and malignant tissues. The model is trained on the breast cancer pathological dataset BreakHis and BUSI. The proposed model achieved a validation accuracy of 98% on BreakHis dataset and 97% on BUSI dataset. The results are compared with the VGG-19, ResNet-50, and InceptionV3 algorithms, showing that the proposed model achieved better results. The tests reveal that federated learning is feasible, as FedAvrg trains models of outstanding quality with only a few communication rounds, as shown by the results on a range of model topologies such as ResNet50, VGG-19, InceptionV3, and the proposed Ensembled FedL YOLOv6. © The Author(s) 2025.</t>
  </si>
  <si>
    <t>R0042</t>
  </si>
  <si>
    <t>FedGAN: Federated diabetic retinopathy image generation</t>
  </si>
  <si>
    <t>Kamran, H.; Hussain, S.J.; Latif, S.; Soomro, I.A.; Alnfiai, M.M.; Alotaibi, N.N.</t>
  </si>
  <si>
    <t>Found in: Scopus · DOI: 10.1371/journal.pone.0326579</t>
  </si>
  <si>
    <t>Deep learning models for diagnostic applications require large amounts of sensitive patient data, raising privacy concerns under centralized training paradigms. We propose FedGAN, a federated learning framework for synthetic medical image generation that combines Generative Adversarial Networks (GANs) with cross-silo federated learning. Our approach pretrains a DCGAN on abdominal CT scans and fine-tunes it collaboratively across clinical silos using diabetic retinopathy datasets. By federating the GAN’s discriminator and generator via the Federated Averaging (FedAvg) algorithm, FedGAN generates high-quality synthetic retinal images while complying with HIPAA and GDPR. Experiments demonstrate that FedGAN achieves a realism score of 0.43 (measured by a centralized discriminator). This work bridges data scarcity and privacy challenges in medical AI, enabling secure collaboration across institutions. © 2025 Kamran et al. This is an open access article distributed under the terms of the Creative Commons Attribution License, which permits unrestricted use, distribution, and reproduction in any medium, provided the original author and source are credited.</t>
  </si>
  <si>
    <t>R0043</t>
  </si>
  <si>
    <t>Leveraging FedSHE-Based FedAVG for Efficient Privacy-Preserving Federated Learning and Secure Model Aggregation</t>
  </si>
  <si>
    <t>Maharana, R.R.; Sahoo, R.R.; Dash, D.K.</t>
  </si>
  <si>
    <t>Found in: Scopus · DOI: 10.1007/978-3-032-05117-2_19</t>
  </si>
  <si>
    <t>This research presents a privacy-preserving framework for brain tumor classification of MRI images using Federated Learning (FL), Transfer Learning (TL) on a DenseNet model, and Somewhat Homomorphic Encryption (SHE). While deep learning models have shown promise in medical image analysis, privacy concerns over sensitive data limit their use. To address this, we combine SHE for secure data processing with FL, allowing decentralized model training while keeping MRI data local. The DenseNet model, enhanced through Transfer Learning, leverages pre-trained weights to improve classification accuracy with limited data. Our system ensures that data privacy is preserved throughout the training process while achieving high performance in brain tumor detection. The results show that the proposed framework effectively classifies MRI images while maintaining confidentiality with accuracy of 94.94% offering a secure and scalable solution for medical image classification in a distributed environment. This approach holds potential for widespread use in privacy-sensitive medical applications. © The Author(s), under exclusive license to Springer Nature Switzerland AG 2026.</t>
  </si>
  <si>
    <t>R0044</t>
  </si>
  <si>
    <t>Secure Content-Based Medical Image Retrieval Using Hybrid Optimized Deep Learning and Revised Genetic Rice Optimization Algorithm</t>
  </si>
  <si>
    <t>Ramya, S.; Sumalatha, V.</t>
  </si>
  <si>
    <t>Found in: Scopus; IEEE · DOI: 10.1109/ICETAS62372.2024.11120302</t>
  </si>
  <si>
    <t>Presently, medical imaging is critical to medical care, study, and education. Large-scale image banks were established for these objectives through worldwide cooperation. However, up until now, searching through extensive medical image collections was challenging, laborious, and mostly restricted by word search engines. Encryption is a viable method to achieve security in the Content- Based Medical Image Retrieval (CBMIR) procedure, and it assists in managing large volumes of medical images. An ideal deep transfer learning facilitated secured CBMIR method utilizing the multikey homomorphic encryption (MKHE) paradigm is developed in previous study in this area. Nevertheless, there is an issue with MKHE systems that needs to be resolved: their processing speed is not optimal. Therefore, Bald Eagle Search Optimal Pixel Selection with Henon chaotic map (BESOPS-HCE) was employed in the suggested study. Following that, a number of procedures are involved in the image retrieval (IR) process, including Densenet-121 driven feature extraction, Revised Genetic Rice Optimization Algorithm (RGRO) based hyperparameter optimizer, and Bidirectional LSTM (Bi-LSTM) classifier to obtain the relevant images and named as Hybrid Optimized Deep Learning (HODL). An image dataset of diseases is employed to test the suggested HODL-SCBMIR prototype's efficacy. The outcomes of the study suggested that the BESOPS-HCE-HODL-SCBMIR model outperformed existing methods in the area of efficiency.  © 2024 IEEE.</t>
  </si>
  <si>
    <t>R0045</t>
  </si>
  <si>
    <t>Perfectly Privacy-Preserving AI What is it and how do we achieve it?</t>
  </si>
  <si>
    <t>Thaine, P.; Penn, G.</t>
  </si>
  <si>
    <t>Many AI applications need to process huge amounts of sensitive information for model training, evaluation, and real-world integration. These tasks include facial recognition, speaker recognition, text processing, and genomic data analysis. Unfortunately, one of the following two scenarios occur when training models to perform the aforementioned tasks: either models end up being trained on sensitive user information, making them vulnerable to malicious actors, or their evaluations are not representative of their abilities since the scope of the test set is limited. In some cases, the models never get created in the first place. There are a number of approaches that can be integrated into AI algorithms in order to maintain various levels of privacy. Namely, differential privacy, secure multi-party computation, homomorphic encryption, federated learning, secure enclaves, and automatic data de-identification. We will briefly explain each of these methods and describe the scenarios in which they would be most appropriate. Recently, several of these methods have been applied to machine learning models. We will cover some of the most interesting examples of privacy-preserving ML, including the integration of differential privacy with neural networks to avoid unwanted inferences from being made of a network's training data. Finally, we will discuss how the privacy-preserving machine learning approaches that have been proposed so far would need to be combined in order to achieve perfectly privacy-preserving machine learning. Copyright © 2020 for this paper by its authors.</t>
  </si>
  <si>
    <t>R0046</t>
  </si>
  <si>
    <t>Machine learning-driven adaptive parameter selection for homomorphic encryption in edge computing</t>
  </si>
  <si>
    <t>Bouabidi, H.E.; Ghmary, M.E.; Hebabaze, S.E.; Amnai, M.</t>
  </si>
  <si>
    <t>Found in: Scopus; PubMed · DOI: 10.1038/s41598-026-52587-4 · PMID: 42120489</t>
  </si>
  <si>
    <t>The rapid proliferation of Internet of Things (IoT) devices and edge computing infrastructures has intensified concerns regarding data security and privacy, particularly when sensitive information is processed beyond centralized cloud environments. Homomorphic encryption (HE) offers a compelling solution by enabling computations directly on encrypted data; however, its substantial computational overhead continues to limit deployment in latency-sensitive edge applications. This paper presents a machine learning-driven framework designed to enhance the practicality of homomorphic encryption for intelligent edge environments. Our approach integrates gradient boosting optimization with the Cheon-Kim-Kim-Song (CKKS) encryption scheme to dynamically adjust cryptographic parameters in response to varying workload characteristics. We develop rigorous mathematical foundations, including formal optimization models, complexity analysis, and security proofs grounded in the Ring Learning With Errors (RLWE) assumption. We validate our framework through comprehensive experiments on the Heart Failure Prediction dataset from the UCI Machine Learning Repository, employing an expanded parameter space spanning 20 configurations across polynomial degrees from 4096 to 16,384, with security levels validated using the Albrecht–Player–Scott lattice-estimator methodology. The empirical results demonstrate substantial improvements over a conservative static baseline: latency reduction of 53.09%, throughput enhancement of 285.28%, and energy savings of 72.53%, all while maintaining computational accuracy above 0.999 and cryptographic security guarantees of at least 128 bits. Statistical analysis confirms the significance of these improvements with a p-value of and a large effect size (Cohen’s). Five-fold cross-validation confirms model generalisability (). Furthermore, we provide interpretability analysis through SHAP (SHapley Additive exPlanations) values to elucidate the ML optimizer’s decision-making process, addressing concerns about transparency in automated cryptographic systems. Crucially, unlike simple heuristic baselines that may sacrifice computational accuracy for speed, our ML optimizer enforces accuracy as a hard constraint, ensuring reliable results in safety-critical applications. This work offers both theoretical rigor and empirical validation, demonstrating that machine learning-enhanced homomorphic encryption can serve as an effective and secure solution for edge computing applications in healthcare, industrial IoT, and smart city domains. © The Author(s) 2026.</t>
  </si>
  <si>
    <t>R0047</t>
  </si>
  <si>
    <t>Explainable AI With Homomorphic Encryption for Secure Cloud-Based ECG Analysis in Heart Disease Diagnosis</t>
  </si>
  <si>
    <t>Cenitta, D.; Shwetha, G.K.; Vyshali Rao, K.P.; Ramisetty, S.; Arul, N.; Vijaya Arjunan, R.</t>
  </si>
  <si>
    <t>Found in: Scopus; IEEE · DOI: 10.1109/ACCESS.2025.3614655</t>
  </si>
  <si>
    <t>Electrocardiogram (ECG) analysis is widely used for early detection of cardiac abnormalities, yet the deployment of deep learning models in cloud environments raises concerns regarding data privacy and clinical interpretability. To address these challenges, this work presents a novel framework that integrates homomorphic encryption with explainable deep learning for secure and interpretable ECG classification in the cloud. The novel framework that integrates homomorphic encryption with explainable deep learning for secure ECG-based heart disease diagnosis in the cloud. Explainable AI (XAI) was employed to enhance clinician and patient trust, while homomorphic encryption (HE) ensures confidentiality of sensitive ECG signals during cloud-based processing. The originality of this lies in jointly addressing three critical requirements—data privacy, interpretability, and computational efficiency—within a single diagnostic pipeline. The proposed method employs a convolutional neural network (CNN) optimized for encrypted computation and applies SHapley Additive exPlanations (SHAP) to provide interpretable results aligned with clinical decision-making. Experimental validation on the MIT-BIH dataset demonstrates that the model achieves 94.2% accuracy in plaintext inference and 93.4% under encrypted inference, with an F1-score of 92.0% and 91% agreement with cardiologists, while maintaining an average encrypted inference latency of 420 ms, demonstrating its practicality for secure cloud deployment. These results confirm that the framework offers a practical and trustworthy solution for secure, cloud-based ECG diagnostics. © 2013 IEEE.</t>
  </si>
  <si>
    <t>R0048</t>
  </si>
  <si>
    <t>Enhancing Privacy in Artificial Intelligence Services Using Hybrid Homomorphic Encryption</t>
  </si>
  <si>
    <t>Jalil, M.A.</t>
  </si>
  <si>
    <t>Found in: Scopus · DOI: 10.58496/BJAI/2024/018</t>
  </si>
  <si>
    <t>The increasing occurrence of cyberattacks specifically aimed at critical infrastructure has led to the adoption of network intrusion detection techniques for the Internet of Things (IoT). AI is transforming multiple sectors today, the growth of adversarial attacks on AI models and models present imperative privacy issues which hinder its larger implementation. Some of the Privacy-Preserving Artificial Intelligence (PPAI) methods including HE make it possible to secure data during the calculation process. Yet conventional HE techniques experience certain disadvantages at present with applicability to highly scalable and resource-limited applications. Moreover, this paper presents an HHE technique that is designed by integrating symmetric cryptography with HE to overcome the above-mentioned challenges successfully. To this end, we propose the GuardAI framework for end devices with limited resources such that encrypted data can be classified while preserving the privacy of input data and AI models. To show the effectiveness of the HHE, we apply it to the actual problem of heart disease classification based on the easily contaminated ECG signals. In this way, the proposed method maintains the privacy of the data with little computational and communication cost for analysts and devices and has a fairly reasonable level of accuracy in comparison with unencrypted inference. This work therefore provides a foundation for secure and private approach in AI especially for those developed to suit devices and systems with limited resources by incorporating HHE into the PPAI systems. © 2024, Mesopotamian Academic Press. All rights reserved.</t>
  </si>
  <si>
    <t>R0049</t>
  </si>
  <si>
    <t>Experimental Evaluation of Cryptographic Models for Blockchain Security and Privacy in Smart Environments</t>
  </si>
  <si>
    <t>Singh, A.; Singh, M.; Rani, J.; Chauhan, S.; Kaur, A.; Juneja, D.</t>
  </si>
  <si>
    <t>Found in: Scopus; IEEE · DOI: 10.1109/IC-EETA66496.2025.11548209</t>
  </si>
  <si>
    <t>Blockchain technology into the healthcare sector, logistics, finance, and massive IoT system, this technology is making its way into it. With the issue of privacy becoming much more critical than before in the adoption phases. Even though blockchains provide integrity and resistant storage against tampering, numerous implementations still expose behavioural evidence, time-based data, besides other forms of metadata, which may be compromised by inference attacks. These breaches become more apparent when there is an exchange or near real-time processing of sensitive information. This paper will analyze the performance of three widely discussed privacy-saving methods Zero-Knowledge Proofs (ZKP), Homomorphic Encryption (HE), not to mention Differential Privacy (DP) in a practical blockchain architecture and not in isolation. A testbed made of Hyperledger Fabric and Ethereum instances privately owned was constructed to enable each of the methods to be tested under the same conditions. The experiments made trade-offs of transaction suspensions, added computational load, and exposure to metadata-based attacks.The results demonstrate that ZKP-based settings store observable metadata substantially and restricted the amount that an adversary would deduce regarding transaction patterns. HE was a good implementation in areas where safe computation was needed but with significant latency overhead. The least significant communication impact was on DP, which was, however, to be carefully tuned in terms of its privacy parameters to prevent the decline in protection. We further conducted simulated attacks to research into the reaction of each approach to pressure and detail how validation can be extended in the future with the aid of open datasets through the MIMIC-III, OpenAQ, and TII cybersecurity logs. On the whole, the findings provide useful insights to teams, who want to embed cryptographic privacy tools in production-scale blockchain systems in particular in those industries where confidentiality and data protection cannot be jeopardized.  © 2025 IEEE.</t>
  </si>
  <si>
    <t>R0050</t>
  </si>
  <si>
    <t>Sensitivity and Positive Prediction of Secured Electrocardiograph (ECG) Transmission using Fully Homomorphic Encryption Technique (FHE)</t>
  </si>
  <si>
    <t>Shaikh, M.U.; Wan Adnan, W.A.; Ahmad, S.A.</t>
  </si>
  <si>
    <t>Found in: Scopus; IEEE · DOI: 10.1109/IECBES48179.2021.9398792</t>
  </si>
  <si>
    <t>Health connected is a technology that links medical devices, telecommunications and security techniques. It empowers patients to be observed and treated remotely from their homes. Patient's healthcare records with a connected healthcare system should be stored securely before transmitted for further investigation and interpretation. Electrocardiogram (ECG) is the clinical method utilized to screen heart execution and utilized for the detection of various arrhythmias. For diagnostic purposes, individuals with a background of heart diseases have long records of ECGs, which results in the requirement of a large amount of storage space and labor. Hence, there is a requirement for a system that involves digital signal processing and signal security so that the spared information is made sure about at one spot and an only authentic individual can see and utilize this ECG signal for additional findings. This study presents a set of security solutions that can be deployed in a connected healthcare territory, which includes the fully homomorphic encryption (FHE) techniques used to secure the ECG signals. The study helps the medical provider to record ECG signals confidentially and to prevent mistreatment. The study focuses on Pan and Tompkins algorithm methods for the detection of the ECG Signal. As a result, the output of the Pan and Tompkins algorithm for ECG signal processing with the FHE technique shows a sensitivity of 92.59% and a positive prediction of 90.00%. © 2021 IEEE.</t>
  </si>
  <si>
    <t>R0051</t>
  </si>
  <si>
    <t>Privacy-Preserving Distributed Machine Learning Based on Secret Sharing</t>
  </si>
  <si>
    <t>Dong, Y.; Chen, X.; Shen, L.; Wang, D.</t>
  </si>
  <si>
    <t>Found in: Scopus · DOI: 10.1007/978-3-030-41579-2_40</t>
  </si>
  <si>
    <t>Machine Learning has been widely applied in practice, such as disease diagnosis, target detection. Commonly, a good model relies on massive training data collected from different sources. However, the collected data might expose sensitive information. To solve the problem, researchers have proposed many excellent methods that combine machine learning with privacy protection technologies, such as secure multiparty computation (MPC), homomorphic encryption (HE), and differential privacy. In the meanwhile, some other researchers proposed distributed machine learning which allows the clients to store their data locally but train a model collaboratively. The first kind of methods focuses on security, but the performance and accuracy remain to be improved, while the second provides higher accuracy and better performance but weaker security, for instance, the adversary can launch membership attacks from the gradients’ updates in plaintext. In this paper, we join secret sharing to distributed machine learning to achieve reliable performance, accuracy, and high-level security. Next, we design, implement, and evaluate a practical system to jointly learn an accurate model under semi-honest and servers-only malicious adversary security, respectively. And the experiments show our protocols achieve the best overall performance as well. © 2020, Springer Nature Switzerland AG.</t>
  </si>
  <si>
    <t>R0052</t>
  </si>
  <si>
    <t>Memory-Efficient Quantization-Aware Optimization for FHE-Based Mammogram Classification</t>
  </si>
  <si>
    <t>Khattab, M.; Bouzar-Benlabiod, L.</t>
  </si>
  <si>
    <t>Found in: Scopus; IEEE · DOI: 10.1109/SysCon66367.2026.11503496</t>
  </si>
  <si>
    <t>Privacy-preserving medical imaging through Fully Homomorphic Encryption (FHE) is critical for secure data processing but is severely constrained by the massive computational overhead of encrypted domain operations. This study evaluates a privacy-preserving medical diagnostic system for mammograms using an optimized, FHE-native Convolutional Neural Network (CNN) and a high-performance compilation environment. We demonstrate a critical precision-latency trade-off: while a high-precision configuration achieves 89.68% accuracy, it necessitates an inference latency of 34 minutes. Conversely, a 3-bit quantized model maintains a suitable accuracy for secondary screening of 86.04% while reducing execution time to just 74.14 seconds. These results characterize the feasibility of 'FHE-first' architectural designs, providing a framework for high-throughput, secure oncological data evaluation. This study investigates the structural and precision-based optimizations required to balance evaluation reliability with the hardware constraints of modern FHE compilers.  © 2026 IEEE.</t>
  </si>
  <si>
    <t>R0053</t>
  </si>
  <si>
    <t>Secure Tracking of Patient's Vital Signs Using CSI-Based Homomorphic Encryption-Enabled Deep Learning Framework</t>
  </si>
  <si>
    <t>Islam, A.; Akter, S.; Sanam, T.F.</t>
  </si>
  <si>
    <t>Found in: Scopus; PubMed; IEEE · DOI: 10.1109/JBHI.2025.3601969 · PMID: 40844949</t>
  </si>
  <si>
    <t>Preserving patient privacy in digital healthcare systems is a critical challenge, particularly in non-intrusive monitoring applications. This paper introduces VitalCrypt, a novel framework for secure and real-time vital sign monitoring that combines Channel State Information (CSI) with homomorphic encryption and lightweight deep learning. Homomorphic encryption enables computations directly on encrypted data, ensuring data confidentiality throughout the processing pipeline. The framework incorporates well-established signal preprocessing techniques, such as Hampel, Savitzky-Golay, and elliptic filters for noise removal, with Principal Component Analysis (PCA) for dimensionality reduction. The Power Spectral Density (PSD) of these refined signals is used as features, which are then fed into a lightweight neural network optimized with encryption-compatible activation functions for classification. The system effectively classifies breathing and heart rates while maintaining compatibility with homomorphic encryption schemes. Experimental evaluations were conducted using a publicly available dataset. The results demonstrated exceptional accuracy, achieving 99.46% for breathing rate classification on plain data and 99.44% on encrypted data, with negligible performance degradation despite increased runtime due to encryption. The results of heart rate classification are also discussed. The framework processes encrypted data at approximately seven times the latency of plain data; however, this trade-off is justified by the substantial privacy benefits attained. VitalCrypt showcases the potential of secure, privacy-preserving deep learning applications in healthcare, addressing critical challenges in real-time, non-intrusive patient monitoring. By balancing high accuracy and data confidentiality, this framework provides a scalable solution for healthcare applications, including remote monitoring and clinical diagnostics. © 2013 IEEE.</t>
  </si>
  <si>
    <t>R0054</t>
  </si>
  <si>
    <t>Healthcare Privacy-Preserving Federated Transfer Learning using CKKS-Based Homomorphic Encryption and PYHFEL Tool</t>
  </si>
  <si>
    <t>Al-Janabi, A.A.; Al-Janabi, S.; Al-Khateeb, B.</t>
  </si>
  <si>
    <t>Found in: Scopus · DOI: 10.52866/ijcsm.2024.05.03.029</t>
  </si>
  <si>
    <t>Digitization of healthcare data has shown an urgent necessity to deal with privacy concerns within the field of deep learning for healthcare organizations. A promising approach is federated transfer learning, enabling medical institutions to train deep learning models collaboratively through sharing model parameters rather than raw data. The objective of this research is to improve the current privacy-preserving federated transfer learning systems that use medical data by implementing homomorphic encryption utilizing PYthon for Homomorphic Encryption Libraries (PYFHEL). The study leverages a federated transfer learning model to classify cardiac arrhythmia. The procedure begins by converting raw Electrocardiogram (ECG) scans into 2-D ECG images. Then, these images are split and fed into the local models for extracting features and complex patterns through a finetuned ResNet50V2 pre-trained model. Optimization techniques, including real-time augmentation and balancing, are also applied to maximize model performance. Deep learning models can be vulnerable to privacy attacks that aim to access sensitive data. By encrypting only model parameters, the Cheon-Kim-Kim-Song (CKKS) homomorphic scheme protects deep learning models from adversary attacks and prevents sensitive raw data sharing. The aggregator uses a secure federated averaging method that averages encrypted parameters to provide a global model protecting users’ privacy. The system achieved an accuracy rate of 84.49% when evaluated using the MIT-BIH arrhythmia dataset. Furthermore, other comprehensive performance metrics were computed to gain deeper insights, including a precision of 72.84%, recall of 51.88%, and an F1-score of 55.13%, reflecting a better understanding of the adopted framework. Our findings indicate that employing the CKKS encryption scheme in a federated environment with transfer cutting-edge technology achieves relatively high accuracy but at the cost of other performance metrics, which is lower in the encrypted settings when compared to the plain one, an acceptable trade-off to ensure data privacy through encryption with achieving an optimal model performance. © 2024 College of Education, Al-Iraqia University. All rights reserved.</t>
  </si>
  <si>
    <t>R0055</t>
  </si>
  <si>
    <t>Efficient and privacy-preserving tree-based inference via additive homomorphic encryption</t>
  </si>
  <si>
    <t>Zhao, J.; Zhu, H.; Wang, F.; Lu, R.; Li, H.</t>
  </si>
  <si>
    <t>Found in: Scopus · DOI: 10.1016/j.ins.2023.119480</t>
  </si>
  <si>
    <t>Due to the excellent efficiency and high interpretability, coupled with the accuracy comparable to deep learning on tabular data, various tree-based models have been widely concerned and succeeded in many fields like medical diagnosis, credit evaluation, and fault detection. However, the model owner may face dilemmas such as compromised privacy and insufficient machine performance when providing tree-based inference services. Therefore, this paper proposes an efficient and privacy-preserving tree-based inference scheme, through which users can enjoy secure, high-accuracy, and transparent outsourcing inference services from one cloud. Specifically, by adopting additive homomorphic encryption as the underlying privacy-preserving technique, we design a suite of perturbation and recovery methods, processing cipher-based inference while masking the inference path. Meanwhile, without additional interactions, users can directly obtain high-accuracy results comparable to non-privacy inference, so the used privacy-preserving methods seem transparent to users. Moreover, through optimizing algorithm design and precalculating partial ciphertexts, the efficiency of our scheme is improved significantly. Formal security analysis demonstrates that our scheme achieves selective security under the honest-but-curious model. Extensive experimental evaluation shows the lossless accuracy, low complexity, and high efficiency of our scheme, which is practical to real-world scenes, especially for large-scale models. © 2023</t>
  </si>
  <si>
    <t>R0056</t>
  </si>
  <si>
    <t>Blockchain-Based Skin Cancer Detection: Enhancing Accuracy and Security with DHETL</t>
  </si>
  <si>
    <t>Das, P.; Jain, C.; Singh, M.</t>
  </si>
  <si>
    <t>Found in: Scopus · DOI: 10.1007/978-981-96-3420-0_5</t>
  </si>
  <si>
    <t>The rising incidence of melanoma, the most common form of skin cancer, is characterized by the economic burden of skin cancer, which includes high costs for healthcare and lost productivity due to sickness. A blend of artificial intelligence and blockchain technology has resulted in a significant step forward within modern healthcare diagnostics for skin cancer. This research brings forth a novel approach to Decentralized Homomorphic Encryption using Transfer Learning for Skin Cancer (DHETL) that combines blockchain with transfer learning techniques to improve the accuracy of Convolutional Neural Networks (CNNs) in analyzing skin cancer. The DHETL model is a distributed system anchored at the convergence point of cryptography, machine learning, and blockchain for secure processing and analysis of medical images. Hence, particle swarm optimization (PSO) enhanced CNNs combined with Adam Max feature extractors are used in combination with dermatological image-based transfer learning from pre-trained models for skin cancer detection as proposed by the DHETL model located at the intersection of cryptography, machine learning, and blockchain. It also deals with limited labeled data in medical imaging through domain adaptation. Furthermore, the system incorporates homomorphic encryption to ensure patient information privacy and data security in the healthcare sector. © The Author(s), under exclusive license to Springer Nature Singapore Pte Ltd. 2025.</t>
  </si>
  <si>
    <t>R0057</t>
  </si>
  <si>
    <t>A secure multi-modal federated transfer learning system for ECG classification</t>
  </si>
  <si>
    <t>Phan, Q.B.; Nguyen, T.T.</t>
  </si>
  <si>
    <t>Found in: Scopus · DOI: 10.1016/j.neucom.2026.133402</t>
  </si>
  <si>
    <t>Federated learning (FL) offers a decentralized approach to model training that preserves data privacy, yet it faces significant challenges, including non-independent and identically distributed (non-IID) data, security vulnerabilities, and high communication costs. Moreover, conventional FL systems typically rely on unimodal data, limiting their ability to capture complementary information across modalities. In this paper, we propose a secure multi-modal federated transfer learning (FTL) framework that jointly leverages electrocardiogram (ECG) signals and images to improve diagnostic performance. Privacy is preserved through homomorphic encryption using the Cheon-Kim-Kim-Song scheme, enabling encrypted model updates and aggregation with minimal utility loss. To the best of our knowledge, we provide the first formal convergence proof for a homomorphically encrypted FTL model trained under differential privacy in a non-IID setting, using the AdamW optimizer. We further present a comprehensive security analysis demonstrating robustness against multiple well-known attacks in an FTL setting. Experimental results on public ECG datasets confirm that our framework achieves high classification accuracy while enhancing privacy, robustness, and scalability. These results underscore the promise of secure multi-modal FTL in advancing privacy-preserving AI for healthcare applications. © 2026 Elsevier B.V.</t>
  </si>
  <si>
    <t>R0058</t>
  </si>
  <si>
    <t>Beyond Data Silos: A Comprehensive Survey on Privacy-Preserving and Secure Federated Learning</t>
  </si>
  <si>
    <t>C. Goswami; S. Patil; R. Kumar; S. Dhave; A. Kuthe; P. Thakare</t>
  </si>
  <si>
    <t>Found in: IEEE · DOI: 10.1109/ASSIC70037.2026.11716941</t>
  </si>
  <si>
    <t>Federated learning (FL), a novel distributed machine learning technique proposed recently, is attractive for collaboratively training a model without sharing the raw data in plaintext while being important for the increasingly urgent demand for privacy, security and regulation. Although FL mitigates concerns regarding centralized data collection, it remains vulnerable to privacy exposure and adversarial attacks through the sharing of model updates. Therefore, designing the privacy-preserving and secure federated learning systems is an important research topic. In this paper, we conduct a thorough and systematic survey of privacy-preserving federated learning, where the basic definitions, threat assumptions, and defence approaches are discussed in detail. We begin by discussing the fundamentals, architectures, and taxonomies of FLs and subsequently cover privacy threats and security attacks, such as gradient leakage, inference privacy attacks, data/model poisoning attacks, backdoor attacks and Byzantine failure. We also review advanced privacy-preserving technologies, such as differential privacy and secure multiparty computation (SMPC)/fully homomorphic encryption (FHE)/secure aggregation, and discuss the trade-off between that ensures the privacy of the learner, model utility, computational overhead, and scalability. We also investigate how to robustly aggregate the ensemble and defend against the adversaries to improve its resilience against adversarial examples. This survey examines the use of privacy-preserving federated learning is used in healthcare, finance, IoT, mobile computing, and collaboration between organizations. It also highlights some challenges and future research areas, such as handling non-IID data, balancing privacy and usefulness, scalability, fairness, incentives, and new privacy technologies. In summary, this survey aims to be a helpful guide for those who want to create secure and reliable federated learning systems..</t>
  </si>
  <si>
    <t>R0059</t>
  </si>
  <si>
    <t>Secure Aggregation Protocol Based on DC-Nets and Secret Sharing for Decentralized Federated Learning</t>
  </si>
  <si>
    <t>Pereira, D.; Reis, P.R.; Borges, F.</t>
  </si>
  <si>
    <t>Found in: Scopus; PubMed · DOI: 10.3390/s24041299 · PMID: 38400457</t>
  </si>
  <si>
    <t>In the era of big data, millions and millions of data are generated every second by different types of devices. Training machine-learning models with these data has become increasingly common. However, the data used for training are often sensitive and may contain information such as medical, banking, or consumer records, for example. These data can cause problems in people’s lives if they are leaked and also incur sanctions for companies that leak personal information for any reason. In this context, Federated Learning emerges as a solution to the privacy of personal data. However, even when only the gradients of the local models are shared with the central server, some attacks can reconstruct user data, allowing a malicious server to violate the FL principle, which is to ensure the privacy of local data. We propose a secure aggregation protocol for Decentralized Federated Learning, which does not require a central server to orchestrate the aggregation process. To achieve this, we combined a Multi-Secret-Sharing scheme with a Dining Cryptographers Network. We validate the proposed protocol in simulations using the MNIST handwritten digits dataset. This protocol achieves results comparable to Federated Learning with the FedAvg protocol while adding a layer of privacy to the models. Furthermore, it obtains a timing performance that does not significantly affect the total training time, unlike protocols that use Homomorphic Encryption. © 2024 by the authors.</t>
  </si>
  <si>
    <t>R0060</t>
  </si>
  <si>
    <t>RepFed-Net: privacy-preserving federated learning with reputation-aware aggregation for retinal vessel segmentation using enhanced U-Net</t>
  </si>
  <si>
    <t>Sri, A.V.; Morampudi, M.K.</t>
  </si>
  <si>
    <t>Found in: Scopus; PubMed · DOI: 10.1038/s41598-026-46617-4 · PMID: 41963436</t>
  </si>
  <si>
    <t>Accurate retinal blood vessel segmentation is essential for the early diagnosis of vision-threatening diseases such as diabetic retinopathy, glaucoma, and retinal vein occlusion. Although deep learning–based segmentation models have achieved promising performance, centralized training approaches can compromise data privacy and may risk violating medical data protection regulations such as HIPAA and GDPR. Federated Learning (FL) enables collaborative model training without sharing raw data; however, existing FL-based segmentation methods still face challenges related to privacy leakage during parameter exchange, robustness to unreliable client updates, and limited architectural capability for capturing fine vascular structures. To address these challenges, we propose RepFed-Net, a privacy-preserving federated learning framework with reputation-aware aggregation for retinal vessel segmentation. RepFed-Net is built upon an enhanced U-Net architecture that integrates Inception modules for multi-scale feature extraction, Residual connections for stable gradient propagation, Squeeze-and-Excitation blocks for adaptive channel recalibration, and Pyramid Attention for modeling long-range contextual dependencies. This unified architectural design improves the continuity and recovery of thin and low-contrast vascular structures, leading to more accurate segmentation outcomes. To preserve privacy during collaborative training, RepFed-Net incorporates the CKKS homomorphic encryption scheme, enabling secure transmission and aggregation of model parameters directly in the encrypted domain under an honest-but-curious server. In addition, a reputation-aware aggregation strategy adaptively weights encrypted client updates based on smoothed validation F1-scores, improving robustness against noisy or low-quality client contributions without exposing raw data or plaintext model parameters. Experimental results demonstrate that RepFed-Net achieves 95.65% segmentation accuracy on the Retinal Blood Vessel dataset and 96.35% accuracy on the DRIVE dataset, consistently outperforming existing U-Net variants and conventional federated learning approaches. Overall, RepFed-Net provides a unified framework that enhances segmentation performance while offering design-level privacy preservation and robustness suitable for collaborative medical image analysis. © The Author(s) 2026.</t>
  </si>
  <si>
    <t>R0061</t>
  </si>
  <si>
    <t>Federated Temporal RAG for Privacy-Preserving Real-Time Threat Intelligence in Distributed Remote Patient Monitoring</t>
  </si>
  <si>
    <t>Alam, M.Z.; Ayath, E.</t>
  </si>
  <si>
    <t>Found in: Scopus; IEEE · DOI: 10.1109/FLICS70075.2026.11621910</t>
  </si>
  <si>
    <t>The rapid expansion of distributed Remote Patient Monitoring (RPM) infrastructures introduces significant cybersecurity vulnerabilities, as Internet of Medical Things (IoMT) devices continuously stream sensitive physiological data across organizational boundaries. Existing centralized threat detection paradigms are poorly suited to this environment, often failing to capture the temporal evolution of attacks while violating data sovereignty requirements under Health Insurance Portability and Accountability Act of 1996 (HIPAA) and General Data Protection Regulation (GDPR). To address these challenges, we propose Federated Temporal Retrieval-Augmented Generation (FedTempRAG), a novel framework for privacy-preserving, real-time threat intelligence in distributed RPM ecosystems. FedTempRAG integrates a decentralized vector database for cross-institutional retrieval, a dynamic temporal knowledge graph to model attack progression, and a secure aggregation protocol that enables privacy-preserving collaborative learning. Our implementation adopts homomorphic encryption for secure query processing and Byzantine-resilient aggregation to defend against adversarial participants. We evaluated FedTempRAG on a simulated multi-hospital RPM network using real-world medical threat datasets and high-fidelity emulated IoMT environments derived from public RPM repositories. Experimental results demonstrate that FedTempRAG achieves 94.3% detection accuracy, 91.7% recall, and a 0.930 F1-score, while maintaining an average inference latency of 847 -ms and a 9.8% computation overhead, enabling practical real-time deployment in RPM systems. The temporal reasoning component successfully reconstructed many multi-stage attack lifecycles, highlighting the effectiveness of integrating temporal context into federated threat intelligence. These findings establish FedTempRAG as a robust foundation for next-generation RPM security, achieving a practical balance between collaborative intelligence, temporal awareness, system efficiency, and strict privacy preservation. © 2026 IEEE.</t>
  </si>
  <si>
    <t>R0062</t>
  </si>
  <si>
    <t>Secure and Privacy-Preserving Fine-Tuning of Large Language Models via Homomorphic Gradient Aggregation</t>
  </si>
  <si>
    <t>Adiyattil, R.; Singh, S.; Thatipudi, J.G.; Sahu, A.K.; Deivasigamani, S.; Ravichandran, C.</t>
  </si>
  <si>
    <t>Found in: Scopus; IEEE · DOI: 10.1109/ICCRTEE68719.2026.11566161</t>
  </si>
  <si>
    <t>The exponential growth of Large Language Models (LLMs) has catalyzed breakthroughs in natural language processing, yet their deployment in sensitive domains such as healthcare, finance, and education raises significant privacy concerns. The classic fine-tuning on the centralized model exposes user data to a risk of leakage, and even the federated methods are vulnerable to gradient inversion attacks. The paper suggests a new model of privacy-sensitive fine-tuning of LLaMs in the form of homomorphic aggregation of encrypted gradients. Our vision is to create a secure federated network with LLaMA 7B as the foundation architecture, where each client node computes the gradient on private data and encrypts them with the CKKS scheme, allowing to train in a secure end-to-end fashion without exposing sensitive data. A homomorphic operation is performed to aggregate the encrypted gradients at a central server which is re-distributed allowing the collaborative fine-tuning of the model across parties that do not trust each other. The results of the experiments done on the benchmark datasets (AG News and SST-2) indicate that the proposed method has a 90.33 % accuracy, which is just a 0.93 % lower than centralized fine-tuning (91.26) and provides a high level of privacy protection. Gradient sparsification and quantization were used to optimize communication overhead and encryption latency to ensure a total per-round overhead of less than 1.7 seconds. Besides, system proved to be resistant to gradient leakage and membership inference attacks, with less than 0.01 probability of leakage. ©2026 IEEE.</t>
  </si>
  <si>
    <t>R0063</t>
  </si>
  <si>
    <t>TriSAFE: Transcript-Bound Verifiable Secure Aggregation With Differential Privacy and Timing Defenses for Gateway-Assisted IoT Federated Learning</t>
  </si>
  <si>
    <t>Shah, S.H.; Walker, I.; Borowczak, M.</t>
  </si>
  <si>
    <t>Found in: Scopus · DOI: 10.1109/ACCESS.2026.3700048</t>
  </si>
  <si>
    <t>Federated learning (FL) can train models across Internet-of-Things (IoT) and Internet-of-Medical-Things (IoMT) devices without collecting raw data, but model updates still create three linked risks: update disclosure, poisoning by malicious clients, and participation leakage through network timing. Existing secure aggregation protocols hide individual updates, but usually do not validate them; robust filters often require the server to see plaintext updates; and timing defenses are seldom combined with privacy accounting. This gap is important for gateway-assisted IoT deployments, where a single coordinator is easier to operate than multi-server aggregation but must not learn individual or noise-free updates. This paper presents TriSAFE, a protocol composition for federated single-coordinator IoT learning. Clients send encrypted, fixed-point model updates with zero-knowledge range proofs. A plaintext-equivalence protocol (PEP) binds the values proven in zero knowledge to the exact packed Paillier ciphertexts that are later aggregated. Three threshold helpers add differential-privacy (DP) noise homomorphically before decryption, and fixed-cadence batching with cover traffic reduces timing leakage. The coordinator does not have decryption share and receives only the final noised aggregate. In Edge-IIoTset, N-BaIoT, and MNIST, TriSAFE maintains accuracy within 0.1-2.1 percentage points of the baseline of no-attack under Byzantine, label-flip, adaptive poisoning of FANG, and time-delay attacks. The attack success rate (ASR) stays below 1% (&lt; 0.1% for FANG), timing-inference area under the curve (AUC) is close to chance, and end-to-end overhead is 7-36% relative to a non-defended baseline. The design is intended for gateway-assisted or edge-class IoT nodes, not bare microcontroller sensor motes, and its privacy guarantee assumes that the coordinator does not collude with two helpers and that at least two helpers contribute honest DP noise.  © 2013 IEEE.</t>
  </si>
  <si>
    <t>R0064</t>
  </si>
  <si>
    <t>F2GP: Privacy-Preserving Federated &amp; Fast Gaussian Process Models With Support Set Optimization</t>
  </si>
  <si>
    <t>Nawaz, A.; Li, J.; Leung, V.C.M.; Wang, S.; Chen, J.</t>
  </si>
  <si>
    <t>Found in: Scopus; IEEE · DOI: 10.1109/TDSC.2025.3648425</t>
  </si>
  <si>
    <t>The widespread adoption of machine learning (ML) in privacy-sensitive domains such as healthcare and finance has amplified concerns surrounding data privacy, regulatory compliance, and generalization across data domains. Federated learning (FL) offers partial mitigation by enabling collaborative training without sharing raw data. However, current FL frameworks often fail to address key challenges, including vulnerabilities to semi-honest and colluding participants, inefficiencies in computation and communication for edge devices, and limited support for uncertainty-aware models like Gaussian Processes (GPs). This paper presents F2GP, a secure federated framework for sparse GP approximation that addresses these gaps through two core innovations. First, a privacy-preserving support set selection algorithm based on one-shot federated k-means clustering improves model accuracy with minimal communication overhead. Second, a multi-party homomorphic encryption (HE) scheme secures the aggregation and inference process, ensuring robustness even when up to M-1 participants collude with the server. We implement F2GP on a testbed of 15 NVIDIA Jetson Nano devices, emulating low-resource edge environments. The framework demonstrates practical scalability and achieves 15-20% better accuracy compared to non-secure distributed and centralized GP baselines, while maintaining sub-linear communication overhead. Evaluations across diverse datasets confirm F2GP's performance, resilient privacy, and suitability for uncertainty-aware inference.  © 2004-2012 IEEE.</t>
  </si>
  <si>
    <t>R0065</t>
  </si>
  <si>
    <t>BMIF: Privacy-preserving Blockchain-based Medical Image Fusion</t>
  </si>
  <si>
    <t>Xiang, T.; Zeng, H.; Chen, B.; Guo, S.</t>
  </si>
  <si>
    <t>Found in: Scopus · DOI: 10.1145/3531016</t>
  </si>
  <si>
    <t>Medical image fusion generates a fused image containing multiple features extracted from different source images, and it is of great help in clinical analysis and diagnosis. However, training a deep learning model for image fusion usually requires enormous computing power, especially for large volumes of medical data. Meanwhile, the privacy of images is also a critical issue. In this article, we propose a privacy-preserving blockchain-based medical image fusion (BMIF) framework. First, to ensure fusion performance, we design a new medical image fusion model based on convolutional neural network and Inception network and integrate the proposed model into the consensus process of blockchain. Next, to save computing power of blockchain, we design a consensus mechanism by requesting consensus nodes to train the fusion model instead of calculating useless hash values in traditional blockchain. Then, to protect data privacy, we further present an efficient homomorphic encryption to realize the training of fusion model on encrypted medical data. Finally, we conduct theoretical analysis and extensive experiments on public datasets to evaluate the feasibility and the performance of our proposed BMIF. The results exhibit that BMIF is efficient and secure, and our medical image fusion network performs better than state-of-the-art approaches. © 2023 Association for Computing Machinery.</t>
  </si>
  <si>
    <t>R0066</t>
  </si>
  <si>
    <t>Comprehensive Study on Privacy-Preserving with Artificial Intelligence in Internet of Things</t>
  </si>
  <si>
    <t>Nalluri, S.; Kodela, V.; Mohammed, H.F.; Veena, T.; Sarumathiy, C.K.</t>
  </si>
  <si>
    <t>Found in: Scopus; IEEE · DOI: 10.1109/ICICKE65317.2025.11136469</t>
  </si>
  <si>
    <t>Over the past few years, the Internet of things (IoT) is becoming an essential part of our daily lives by connecting everything from smart home devices to wearable health monitors and industrial sensors to constantly collect and share large amounts of data. This generated massive volumes of real time and heterogeneous data demands intelligent processing and analyzing through Machine Learning (ML) and Deep Learning Techniques (DL) techniques, which enables predictive analysis, automated decision making and contextual awareness. However, several existing ML and DL methods depends on centralized framework, which requires transmission of raw data to the cloud servers, which introduces risks such as unauthorized access, data breach and regulatory non- compliance. This comprehensive study focusses on the urgent need to explore and implement privacy preserving mechanisms, which ensures reliable processing of data within IoT devices. This study examines the solutions such as Federated Learning (FL), Differential Privacy (DP), Secure Multi-party Computation (SMPC), and Homomorphic Encryption (HE), designed to protect the user data by maintaining model accuracy. This study also explores the systems for IoT with string privacy and efficiency, particularly in resource constrained IoT environments. Further, this study discusses the current limitations, reviews the current solutions and highlights the future research and development. © 2025 IEEE.</t>
  </si>
  <si>
    <t>R0067</t>
  </si>
  <si>
    <t>CAPC LEARNING: CONFIDENTIAL AND PRIVATE COLLABORATIVE LEARNING</t>
  </si>
  <si>
    <t>Choquette-Choo, C.A.; Dullerud, N.; Dziedzic, A.; Zhang, Y.; Jha, S.; Papernot, N.; Wang, X.</t>
  </si>
  <si>
    <t>Machine learning benefits from large training datasets, which may not always be possible to collect by any single entity, especially when using privacy-sensitive data. In many contexts, such as healthcare and finance, separate parties may wish to collaborate and learn from each other's data but are prevented from doing so due to privacy regulations. Some regulations prevent explicit sharing of data between parties by joining datasets in a central location (confidentiality). Others also limit implicit sharing of data, e.g., through model predictions (privacy). There is currently no method that enables machine learning in such a setting, where both confidentiality and privacy need to be preserved, to prevent both explicit and implicit sharing of data. Federated learning only provides confidentiality, not privacy, since gradients shared still contain private information. Differentially private learning assumes unreasonably large datasets. Furthermore, both of these learning paradigms produce a central model whose architecture was previously agreed upon by all parties rather than enabling collaborative learning where each party learns and improves their own local model. We introduce Confidential and Private Collaborative (CaPC) learning, the first method provably achieving both confidentiality and privacy in a collaborative setting. We leverage secure multiparty computation (MPC), homomorphic encryption (HE), and other techniques in combination with privately aggregated teacher models. We demonstrate how CaPC allows participants to collaborate without having to explicitly join their training sets or train a central model. Each party is able to improve the accuracy and fairness of their model, even in settings where each party has a model that performs well on their own dataset or when datasets are not IID and model architectures are heterogeneous across parties. © 2021 ICLR 2021 - 9th International Conference on Learning Representations. All rights reserved.</t>
  </si>
  <si>
    <t>R0068</t>
  </si>
  <si>
    <t>Secure Sleep Apnea Detection with FHE and Deep Learning on ECG Signals</t>
  </si>
  <si>
    <t>Yalavarthi, B.; Kaushik, A.R.; Sharma, T.; Jutla, C.; Ratha, N.</t>
  </si>
  <si>
    <t>Found in: Scopus · DOI: 10.1007/978-3-031-78354-8_4</t>
  </si>
  <si>
    <t>Sleep apnea, a prevalent sleep disorder affecting individuals of all demographics, poses a threat of significant disruption to daily life. The analysis of Electrocardiogram (ECG) data facilitates the accurate diagnosis of sleep apnea. With the advent of machine learning and its accessibility through cloud services, doctors have been compelled to enhance their diagnostic capabilities by integrating deep learning into their analytical tools. However, challenges such as data privacy, security, and confidentiality regulations are hindering the adoption of deep learning in the healthcare domain. In this research, we address these challenges by proposing an end-to-end encrypted framework to analyze encrypted ECG signals and diagnose sleep apnea. Leveraging Fully Homomorphic Encryption (FHE) on deep learning models ensures privacy and security by design while enabling computations on encrypted data. To overcome the unique challenges posed by handling encrypted data in deep learning models, we introduce novel and efficient techniques for adapting several key components such as the convolutional layer, max pooling, ReLU activation, and fully connected layer to the FHE domain. Our approach includes adapting the convolutional layer in the spectral domain, implementing fully connected layers as generalized matrix multiplication, and employing approximation methods for ReLU activation and max pooling. The experimental results on real encrypted ECG data demonstrate the feasibility and efficacy of our proposed framework, achieving a remarkable accuracy of 99.56% in detecting sleep apnea. Our proposed encrypted network does not lose any predictive performance compared to its plaintext counterpart. This research underscores the potential of encrypted data processing in significantly enhancing the security and privacy of healthcare services, particularly in the domain of sleep apnea diagnosis. © The Author(s), under exclusive license to Springer Nature Switzerland AG 2025.</t>
  </si>
  <si>
    <t>R0069</t>
  </si>
  <si>
    <t>Private genomes and public SNPs: Homomorphic encryption of genotypes and phenotypes for shared quantitative genetics</t>
  </si>
  <si>
    <t>Mott, R.; Fischer, C.; Prins, P.; Davies, R.W.</t>
  </si>
  <si>
    <t>Found in: Scopus · DOI: 10.1534/genetics.120.303153</t>
  </si>
  <si>
    <t>Sharing human genotype and phenotype data is essential to discover otherwise inaccessible genetic associations, but is a challenge because of privacy concerns. Here, we present a method of homomorphic encryption that obscures individuals' genotypes and phenotypes, and is suited to quantitative genetic association analysis. Encrypted ciphertext and unencrypted plaintext are analytically interchangeable. The encryption uses a high-dimensional random linear orthogonal transformation key that leaves the likelihood of quantitative trait data unchanged under a linear model with normally distributed errors. It also preserves linkage disequilibrium between genetic variants and associations between variants and phenotypes. It scrambles relationships between individuals: Encrypted genotype dosages closely resemble Gaussian deviates, and can be replaced by quantiles from a Gaussian with negligible effects on accuracy. Likelihood-based inferences are unaffected by orthogonal encryption. These include linear mixed models to control for unequal relatedness between individuals, heritability estimation, and including covariates when testing association. Orthogonal transformations can be applied in a modular fashion for multiparty federated mega-analyses where the parties first agree to share a common set of genotype sites and covariates prior to encryption. Each then privately encrypts and shares their own ciphertext, and analyses all parties' ciphertexts. In the absence of private variants, or knowledge of the key, we show that it is infeasible to decrypt ciphertext using existing brute-force or noise-reduction attacks. We present the method as a challenge to the community to determine its security. © 2020 Mott et al.</t>
  </si>
  <si>
    <t>R0070</t>
  </si>
  <si>
    <t>Review of Challenges and Solutions for Genomic Data Privacy-Preserving</t>
  </si>
  <si>
    <t>Yousif, H.M.; Hameed, S.M.</t>
  </si>
  <si>
    <t>Found in: Scopus · DOI: 10.24996/ijs.2023.64.9.35</t>
  </si>
  <si>
    <t>The dramatic decrease in the cost of genome sequencing over the last two decades has led to an abundance of genomic data. This data has been used in research related to the discovery of genetic diseases and the production of medicines. At the same time, the huge space for storing the genome (2–3 GB) has led to it being considered one of the most important sources of big data, which has prompted research centers concerned with genetic research to take advantage of the cloud and its services in storing and managing this data. The cloud is a shared storage environment, which makes data stored in it vulnerable to unwanted tampering or disclosure. This leads to serious concerns about securing such data from tampering and unauthorized searches by those involved. In addition to securing inquiries, making calculations on this data, and generating differential privacy and garbled circuits, cryptography is considered one of the important solutions to this problem. This paper introduces most of the important challenges related to maintaining privacy and security and classifies each problem with appropriate, proposed, or applied solutions that will fuel researchers' future interest in developing more effective privacy-preserving methods for genomic data. © 2023 University of Baghdad-College of Science. All rights reserved.</t>
  </si>
  <si>
    <t>R0071</t>
  </si>
  <si>
    <t>Achieving High Accuracy in Predicting Blood Flow Volume at the Arteriovenous Fistulas of Hemodialysis Patients by Intelligent Quality Assessment on PPGs</t>
  </si>
  <si>
    <t>Nguyen, D.H.; Chao, P.C.-P.; Shuai, H.-H.; Fang, Y.-W.; Lin, B.S.</t>
  </si>
  <si>
    <t>Found in: Scopus; IEEE · DOI: 10.1109/JSEN.2022.3148415</t>
  </si>
  <si>
    <t>A machine learning (ML) algorithm is successfully developed to assess the signal quality of measured photoplethysmography (PPG) waveforms for effective real-time prediction of blood flow volume (BFV). This algorithm is essential to achieve high prediction accuracy of BFV for hemodialysis patients to monitor the quality of their arteriovenous fistulas (AVFs) at home by themselves using a new hand-held device. The algorithm is built on an ML classifier of 1-dimensional convolutional neural network (1D-CNN), calibrated by two groups of PPG waveforms that are pre-identified by experienced experts to 300 qualified and 202 un-qualified PPG waveforms in 6-second windows, as the ones to render accurate BFV predictions and the others to inaccurates, respectively. The qualified ones satisfy at least the deterministic criteria such as adequate signal-to-noise-ratio (SNR), stable/small fluctuations of AC/DC components, and also the presence of secondary bio-features, to ensure minimized influence from mis-positioning, hand movement, pressurization and varied ambient lighting. With the classifier algorithm in hand, together with another fully-connected neural network for estimating BFV, a combined real-time computation algorithm is built, being able to achieve much better accuracy for real-time measurement ubiquitously. In results, using the newly-developed quality-assessment algorithm, the error of predicted BFVs is improved from ±175.577 ml/min to ±122.8259 ml/min significantly. © 2001-2012 IEEE.</t>
  </si>
  <si>
    <t>R0072</t>
  </si>
  <si>
    <t>A Homomorphic Encryption Approach for Privacy-Preserving Deep Learning in Digital Health Care Service</t>
  </si>
  <si>
    <t>Nguyen-Van, T.; Nguyen-Van, T.; Nguyen, T.-T.; Bui-Huu, D.; Le-Nhat, Q.; Pham, T.V.; Nguyen-An, K.</t>
  </si>
  <si>
    <t>Found in: Scopus · DOI: 10.1007/978-3-031-21967-2_42</t>
  </si>
  <si>
    <t>Applied deep learning technology in digital health care service is a potential way to tackle many issues that hospitals face, such as over health care requests, lack of doctors, and patient overload. But a conventional deep learning model needs to compute raw medical data for evaluating health information, which raises considerable concern about data privacy. This paper proposes an approach using homomorphic encryption to encrypt raw data to protect privacy while deep learning models can still perform computations over encrypted data. This approach can be applied to almost any digital health care service in which data providers want to ensure that no one can use their data without permission. We will focus on a particular use case (predict mental health based on phone usage routine) to represent the approach’s applicability. Our encryption model’s accuracy is similar to the non-encryption model’s (only 0.01% difference) and has practical performance. © 2022, The Author(s), under exclusive license to Springer Nature Switzerland AG.</t>
  </si>
  <si>
    <t>R0073</t>
  </si>
  <si>
    <t>An ultra-compact and high-speed FFT-based large-integer multiplier for fully homomorphic encryption using a dual spike-based arithmetic circuit over GF(p)</t>
  </si>
  <si>
    <t>Garcia, L.; Vazquez, E.; Sanchez, G.; Avalos, J.-G.; Sanchez, G.</t>
  </si>
  <si>
    <t>Found in: Scopus · DOI: 10.1016/j.neucom.2022.08.020</t>
  </si>
  <si>
    <t>During last years, fully homomorphic encryption (FHE) has attracted great interest since enables computation on encrypted data and thus can be considered as a potential solution in advanced applications, such as privacy-preserving cloud computing, genomics, electronic voting and bio-metric authentication. Nowadays, software simulations of the FHE schemes on general purpose computers are extremely slow. Therefore, the development of specific hardware architectures open up new horizons in efficient simulation of FHE schemes. Until date, the implementation of FHE schemes in embedded devices remain impractical due to very high processing time and area consumption required to process very large-integer numbers. Specifically, the development of efficient very large-integer finite-field adder and multiplier potentially allows the throughput and area consumption to be improved since these circuits are the most used components in the computation of FHE schemes. This work presents, for the first time, the development of a compact and highly dual finite-field circuit based on spiking neural P systems (SN P), dendritic growth, dendritic pruning, communication on request and structural plasticity. Specifically, this circuit performs either the finite-field addition or multiplication of two variable integers by only reconnecting their synapses dynamically. Hence, the proposed circuit performs both operations employing the same neural network. In this way, we achieve a significant improvement in terms of area consumption and throughput. Since the computation of FHE schemes requires the multiplication of very large-integer numbers, we use the proposed dual finite-field circuit as the basic processing unit to create a very large-integer multiplier based on fast Fourier transform (FFT). Specifically, the creation of the proposed very large-integer multiplier has allowed us to accelerate the key generation and encryption processes involved in the computation of FHE algorithm. This multiplier was implemented in scalable compact neuromorphic architecture, which mimic the dynamic dendritic phenomena, such as dendritic growth and dendritic pruning. To achieve this, we propose a dynamic multiplexing mechanism based on simple multiplexers and an optimized control unit. This have allowed us to significantly improve the area consumption compared with previously reported solution. © 2022 Elsevier B.V.</t>
  </si>
  <si>
    <t>R0074</t>
  </si>
  <si>
    <t>Quantum-Enhanced Zero-Knowledge Compression Used for Cloud IoT Healthcare: A Scalable, Privacy-Preserving QZ-HCN Framework</t>
  </si>
  <si>
    <t>Rajasekaran, P.; Duraipandian, M.; Albert, J.R.; Jamuna, R.; Moorthy, U.</t>
  </si>
  <si>
    <t>Found in: Scopus · DOI: 10.1155/int/5062735</t>
  </si>
  <si>
    <t>The Internet of Medical Things (IoMT) in the IoT with Cloud Healthcare (CHI) creates a high volume of real-time medical data, but traditional compression methods suffer high computation costs, privacy leaks and quantum attacks, while advanced cryptographic algorithms such as homomorphic encryption are costly and have poor scalability for the real-time system application. In this work, we propose a quantum-enhanced zero-knowledge healthcare compression network (QZ-HCN) that associates zero-knowledge proofs (ZKPs) with quantum-inspired deep learning (QIDL) by introducing an innovative adaptive quantum-supported ZKP verification mechanism (AQ-ZKV) and a quantum fusion autoconventional neural network (QF-AutoCNN) technique to achieve efficient, privacy-preserving compression. For healthcare IoT datasets, QZ-HCN can reach 98.16% in accuracy, 97.09% in F-measure, 96.32% in precision and 97.45% in recall, with a throughput of 449.57 bits/s; processing time is reduced to 0.85 s, and memory cost is minimised to be only 192 kbits, which outperforms CNN-Encryption (90.23% accuracy), proxy re-encryption and homomorphic encryption by at most 13 percentage points in accuracy and 75 percentage points in memory efficiency. The secure and scalable management for CHI data is achieved by QZ-HCN, which solves the problems of privacy threats and space costs of real-time medical applications. Copyright © 2026 P. Rajasekaran et al. International Journal of Intelligent Systems published by John Wiley &amp; Sons Ltd.</t>
  </si>
  <si>
    <t>R0075</t>
  </si>
  <si>
    <t>Efficient Homomorphic Encryption Techniques for Confidential Big-Data Analytics over Public Cloud Infrastructures: Algorithms, Performance, and Trade-Offs</t>
  </si>
  <si>
    <t>Mohonta, S.C.; Chy, M.А.R.; Siam, M.A.; Uddin, M.; Karim, F.; Ahmed, M.K.; Manik, M.M.T.G.</t>
  </si>
  <si>
    <t>Found in: Scopus · DOI: 10.1007/978-3-032-21499-7_41</t>
  </si>
  <si>
    <t>With the cloud-driven growth in big data, issues of data privacy and secure analytics have become more significant. With the movement of more computations to outsourced settings, mechanisms to maintain confidentiality with minimal performance costs are becoming dominant. Homomorphic Encryption (HE) is unique in that the computations can be performed over encrypted data, yet it cannot be used practically due to computational overhead, latency, and incompatibility of security and efficiency. In the given paper, the performance analysis of the advanced HE methods including Partially Homomorphic Encryption (PHE), Somewhat Homomorphic Encryption (SHE), Fully Homomorphic Encryption (FHE), and SIMD-FHE is thoroughly explored with a focus on big-data analytics on the public clouds. The suggested approach exploits such factors as optimized parameterization, non-streamed processing, and noise-resistant encoding to improve its viability computationally. The simulation reveals that SIMD-FHE reduces the encryption time by 42.3 on that of conventional FHE and also offers a throughput rate of more than 55 operations/s. The size of ciphertext expansions is reduced to 0.62x-4.1x with SIMD techniques, massively decreasing the communication expenses. The emulated reaches the minimum possible average delay of 18.6 ms, and batched modular arithmetic restrains the propagation of noise between any two multiplications to less than 0.9 bits. As well, there is a 15–30% improvement in memory and depth usage in varying workloads. The research gives measurable tradeoffs and practical recommendations on how to implement HE in massive cloud-based systems. These results establish a foundation of secure privacy-preserving analytics in areas including finance, healthcare, and public governance, beyond the scope of the practicality and trustworthiness of mapped out correspondence in untrusted cloud circumstances. © The Author(s), under exclusive license to Springer Nature Switzerland AG 2026.</t>
  </si>
  <si>
    <t>R0076</t>
  </si>
  <si>
    <t>A multiparty homomorphic encryption approach to confidential federated Kaplan-Meier survival analysis</t>
  </si>
  <si>
    <t>Veeraragavan NR; Boudko S; Nygård JF</t>
  </si>
  <si>
    <t>Found in: PubMed · DOI: 10.1038/s41746-026-02790-4 · PMID: 42259913</t>
  </si>
  <si>
    <t>The proliferation of real-world health data enables multi-institutional survival studies, yet privacy constraints preclude centralizing sensitive records. We present a privacy-preserving federated Kaplan-Meier framework based on threshold CKKS (Cheon-Kim-Kim-Song) homomorphic encryption that supports approximate floating-point computation and encrypted aggregation of per-time-point counts while exposing only public outputs. Sites compute aligned at-risk and event tallies on a shared time grid and encrypt compact vectors; a coordinator aggregates ciphertexts; and a decryptor committee produces partial shares fused per block to recover aggregated plaintexts without releasing per-time-point tables. We prove correctness, stability, and slot-optimal vector packing, and derive scaling laws showing that communication grows linearly with the number of sites and predictably with the number of time points. Empirically, using synthetic breast-cancer data (N = 60,000) distributed across 500 sites, encrypted federated curves match the pooled oracle to numerical precision. In contrast, plaintext protocols permit trivial reconstruction by subtraction; our threshold-gated design precludes this attack under the stated threat model, enabling high-fidelity survival estimation with predictable overhead and substantially reduced privacy risk.</t>
  </si>
  <si>
    <t>R0077</t>
  </si>
  <si>
    <t>Balancing Privacy and Performance: Exploring Encryption and Quantization in Content-Based Image Retrieval Systems</t>
  </si>
  <si>
    <t>Sadik, M.J.; Samsudin, N.A.; Ahmad, E.F.B.</t>
  </si>
  <si>
    <t>Found in: Scopus · DOI: 10.14569/IJACSA.2024.0151092</t>
  </si>
  <si>
    <t>This paper presents three significant contributions to the field of privacy-preserving Content-Based Image Retrieval (CBIR) systems for medical imaging. First, we introduce a novel framework that integrates VGG-16 Convolutional Neural Network with a multi-tiered encryption scheme specifically designed for medical image security. Second, we propose an innovative approach to model optimization through three distinct quantization methods (max, 99% percentile, and KL divergence), which significantly reduces computational overhead while maintaining retrieval accuracy. Third, we provide comprehensive empirical evidence demonstrating the framework's effectiveness across multiple medical imaging modalities, achieving 94.6% accuracy with 99% percentile quantization while maintaining privacy through encryption. Our experimental results, conducted on a dataset of 1,200 medical images across three anatomical categories (lung, brain, and bone), show that our approach successfully balances the competing demands of privacy preservation, computational efficiency, and retrieval accuracy. This work represents a significant advancement in making secure CBIR systems practically deployable in resource-constrained healthcare environments. © (2024), (Science and Information Organization). All rights reserved.</t>
  </si>
  <si>
    <t>R0078</t>
  </si>
  <si>
    <t>A privacy-preserving online medical prediagnosis scheme for cloud environment</t>
  </si>
  <si>
    <t>Guo, W.; Shao, J.; Lu, R.; Liu, Y.; Ghorbani, A.A.</t>
  </si>
  <si>
    <t>Found in: Scopus; IEEE · DOI: 10.1109/ACCESS.2018.2866971</t>
  </si>
  <si>
    <t>The paradigm of online medical prediagnosis has emerged to ease the shortage of health professionals in rural areas. It can provide a 24-hour online health care service and guide rural residents' medical treatment. However, the development of online medical prediagnosis system still faces many challenges, involving the leakage and overuse of medical information. In this paper, we utilize the logistic regression to design a privacy-preserving medical prediagnosis scheme for the cloud environment, named POMP, which provides a health care service for users without violating their privacy. It is characterized by employing homomorphic encryption techniques to achieve a privacy-preserving prediagnosis process over the encrypted data. The proposed POMP scheme also adopts a preprocessing technique and Bloom filter to reduce the computational cost in the prediagnosing process. Through extensive analyses, we demonstrate that the proposed POMP scheme can resist various security threats and protect the privacy successfully. In order to evaluate the performance, we also implemented the POMP scheme and measured the running time on the smartphone and computer. The experimental result shows POMP's efficiency in terms of the computational and communication burden. © 2013 IEEE.</t>
  </si>
  <si>
    <t>R0079</t>
  </si>
  <si>
    <t>Implementing linear regression with homomorphic encryption</t>
  </si>
  <si>
    <t>Chen, B.; Zheng, X.</t>
  </si>
  <si>
    <t>Found in: Scopus · DOI: 10.1016/j.procs.2022.04.044</t>
  </si>
  <si>
    <t>Benefiting from the computing power and storage power of cloud computing, machine learning tasks usually choose to upload data and models to a third-party server. However, third-party servers may face data privacy leaks in the process of data acquisition, storage, and use, especially in the fields of finance, medical treatment, and biometrics. Homomorphic encryption technology supports ciphertext calculation without decryption, and can be used for machine learning model training and prediction in the ciphertext domain. We use the homomorphic encryption library SEAL to reconstruct the linear regression protocol, use six data sets to conduct experiments, and analyze its performance and security. © 2022 The Authors. Published by Elsevier B.V.</t>
  </si>
  <si>
    <t>R0080</t>
  </si>
  <si>
    <t>CrypTest: Evaluation of CKKS-based Homomorphic Cryptosystems using Deep Spiking Neural Network Diagnostics via Aphid Ant Optimization</t>
  </si>
  <si>
    <t>Prasanna, S.D.; Khan, A.N.; Poovarasan, S.; Mathivanan, N.</t>
  </si>
  <si>
    <t>Found in: Scopus · DOI: 10.1109/I-SMAC61858.2024.10714653</t>
  </si>
  <si>
    <t>Evaluation and diagnosing are critical in managing the security and efficiency of any cryptographic systems. Correct assessments assist in defining the threats and strengthening the system, which plays a critical role today when information is at the forefront. In this context, the diagnostic approaches should also be continually refined in response to the dynamics in the cryptographic method to match arising threats and new scenarios of attack. Maintaining a high degree of precision and productivity in these assessments does not only enhance the security of cryptographic systems but also speeds up their utilization in important applications. Current techniques, like VHC-CIES, PSO, IND-CPA, and CryptoSolve, have drawbacks, including the lack of accuracy in intricate analyses and decreased efficiency in real-world scenarios. Herein, we propose the 'CrypTest' diagnostic framework for CKKS-Based Homomorphic Cryptosystems (CKKS-HCs) by employing the Deep Spiking Neural Coupling Network (DS-NCNet) and Aphid Ant Optimization (A2O). The framework follows a three-phase analysis: Ciphertext Analysis, Key Estimation and Behavioural Driven Modelling. After analysis, A2O further adjusts the structure of DS-NCNet for optimal performance. CrypTest increases the accuracy, speed, and reliability of diagnoses compared to previous methods due to its advantages. Observing the results, the excellent enhancements in the performance parameters where accuracy values are above 98.5%, encryption security levels are over 98% and computational efficiency enhancements are above 95%. These metrics define the effectiveness of the proposed tool - CrypTest - as a reliable and accurate means of CKKS-HC assessment. © 2024 IEEE.</t>
  </si>
  <si>
    <t>R0081</t>
  </si>
  <si>
    <t>Privacy preserving verifiable federated learning scheme using blockchain and homomorphic encryption</t>
  </si>
  <si>
    <t>Mahato, G.K.; Banerjee, A.; Chakraborty, S.K.; Gao, X.-Z.</t>
  </si>
  <si>
    <t>Found in: Scopus · DOI: 10.1016/j.asoc.2024.112405</t>
  </si>
  <si>
    <t>This paper introduces a novel Privacy-Preserving Verifiable Federated Learning (PPVFL) scheme that integrates blockchain technology and homomorphic encryption to address critical challenges in decentralized machine learning. The proposed scheme ensures data privacy, integrity, verifiability, robust security, and efficiency in collaborative learning environments, particularly in sensitive domains such as healthcare. By leveraging blockchain's decentralized, immutable ledger and homomorphic encryption's capability to perform computations on encrypted data, the model maintains the confidentiality of sensitive information throughout the learning process. The inclusion of Byzantine fault tolerance and Elliptic Curve Digital Signature Algorithm (ECDSA) further enhances the system's security against malicious attacks and data tampering, while the optimization of computational processes ensures efficient model training and communication. The novelty of this work lies in the seamless integration of blockchain and homomorphic encryption within a federated learning framework, specifically tailored for post-quantum cryptography, a combination that has not been extensively explored in prior research. This research represents a significant advancement in secure and efficient federated learning, offering a promising solution for industries that prioritize data privacy, security, and trust in collaborative machine learning. The effectiveness, security, and efficiency of the PPVFL scheme were validated using the Glaucoma dataset. The proposed method outperformed baseline federated learning algorithms, achieving a Dice coefficient of 0.918 and a Hausdorff distance of 4.05 on Severe Glaucoma (SG) cases, compared to 0.905 and 5.27, respectively, with traditional FedAvg. Moreover, the integration of blockchain and homomorphic encryption ensured that data privacy was upheld without compromising model performance, while efficient computation and communication processes minimized latency and resource consumption. This study contributes a robust, privacy-preserving, secure, efficient, and verifiable federated learning framework that addresses the pressing need for secure and scalable data management in distributed machine learning environments. © 2024 Elsevier B.V.</t>
  </si>
  <si>
    <t>R0082</t>
  </si>
  <si>
    <t>Cloud-Based Biometric Security Solutions with AI for Secure Healthcare Data Sharing</t>
  </si>
  <si>
    <t>Reddy, M.; Vaithianathan, M.</t>
  </si>
  <si>
    <t>Found in: Scopus; IEEE · DOI: 10.1109/INCET64471.2025.11140433</t>
  </si>
  <si>
    <t>Healthcare data security solutions are needed that will be able to withstand the growth of cloud computing in storing and sharing healthcare records. With traditional authentication mechanisms such as passwords and single-modal biometrics, cyber threats and unauthorized access are a reality. The study provides a biometric security system for the cloud by using artificial intelligence that integrates deep learning for anomaly detection and homomorphic encryption with multimodal biometrics, such as voice authentication, face recognition, and fingerprints. In this proposed system, the maintenance of compliance with such regulatory requirements as GDPR and HIPAA guarantees safe and easy access to healthcare data. With the instant detection of suspicious access patterns, AI-driven anomaly detection enhances security, and blockchain technology ensures immutable recording for auditability. Edge computing further optimizes the authentication response time for efficient system operation. Results demonstrate the system with high authentication accuracy, quick reaction time, and robust resistance to cyber-attacks. This solution is based on addressing the important need of better security for current healthcare systems, thus providing safe, scalable, and privacy-preserving healthcare data exchange. © 2025 IEEE.</t>
  </si>
  <si>
    <t>R0083</t>
  </si>
  <si>
    <t>HE-MAN - Homomorphically Encrypted MAchine learning with oNnx models</t>
  </si>
  <si>
    <t>Nocker, M.; Drexel, D.; Rader, M.; Montuoro, A.; Schöttle, P.</t>
  </si>
  <si>
    <t>Found in: Scopus · DOI: 10.1145/3589883.3589889</t>
  </si>
  <si>
    <t>Machine learning (ML) algorithms are increasingly important for the success of products and services, especially considering the growing amount and availability of data. This also holds for areas handling sensitive data, e.g. applications processing medical data or facial images. However, people are reluctant to pass their personal sensitive data to a ML service provider. At the same time, service providers have a strong interest in protecting their intellectual property and therefore refrain from publicly sharing their ML model. Fully homomorphic encryption (FHE) is a promising technique to enable individuals using ML services without giving up privacy and protecting the ML model of service providers at the same time. Despite steady improvements, FHE is still hardly integrated in today's ML applications. Reasons for that are, among others, that existing implementations either require the user to possess expertise in FHE, do not feature an easy ML framework integration, or have to approximate non-polynomial activations. We introduce HE-MAN, an open-source two-party machine learning toolset for privacy preserving inference with ONNX models and homomorphically encrypted data. Both the model and the input data do not have to be disclosed. HE-MAN abstracts cryptographic details away from the users, thus expertise in FHE is not required for either party. HE-MAN's security relies on its underlying FHE schemes. For now, we integrate two different homomorphic encryption schemes, namely Concrete and TenSEAL. Compared to prior work, HE-MAN supports a broad range of ML models in ONNX format out of the box without sacrificing accuracy. We evaluate the performance of our implementation on different network architectures classifying handwritten digits and performing face recognition and report accuracy and latency of the homomorphically encrypted inference. Cryptographic parameters are automatically derived by the tools. We show that the accuracy of HE-MAN is on par with models using plaintext input while inference latency is several orders of magnitude higher compared to the plaintext case.  © 2023 Owner/Author.</t>
  </si>
  <si>
    <t>R0084</t>
  </si>
  <si>
    <t>PriMed: Private federated training and encrypted inference on medical images in healthcare</t>
  </si>
  <si>
    <t>Gopalakrishnan, A.; Kulkarni, N.P.; Raghavendra, C.B.; Manjappa, R.; Honnavalli, P.; Eswaran, S.</t>
  </si>
  <si>
    <t>Found in: Scopus · DOI: 10.1111/exsy.13283</t>
  </si>
  <si>
    <t>In healthcare, patient information is a sparse critical asset considered as private data and is often protected by law. It is also the domain which is least explored in the field of Machine Learning. The main reason for this is to build efficient artificial intelligence (AI) based models for preliminary diagnosis of various diseases, it would require a large corpus of data which can be obtained by pooling in patient information from multiple sources. However, for these sources to agree to sharing their data across distributed systems for training algorithms and models, there has to be an assurance that there will be no disclosure of the personally identifiable information (PII) of the respective Data Owners. This paper proposes PriMed, an approach to build robust privacy preserving additions to convolutional neural networks (CNN) for training and performing inference on medical images without compromising privacy. Since privacy of the data is preserved, large amounts of data can be effectively accumulated to increase the accuracy and efficiency of AI models in the field of healthcare. This involves implementing a hybrid of privacy-enhancing techniques like Federated Learning, Differential Privacy, and Homomorphic Encryption to provide a private and secure environment for learning through data. © 2023 The Authors. Expert Systems published by John Wiley &amp; Sons Ltd.</t>
  </si>
  <si>
    <t>R0085</t>
  </si>
  <si>
    <t>Machine learning and genomics: Precision medicine versus patient privacy</t>
  </si>
  <si>
    <t>Azencott, C.-A.</t>
  </si>
  <si>
    <t>Found in: Scopus; PubMed · DOI: 10.1098/rsta.2017.0350 · PMID: 30082298</t>
  </si>
  <si>
    <t>Machine learning can have a major societal impact in computational biology applications. In particular, it plays a central role in the development of precision medicine, whereby treatment is tailored to the clinical or genetic features of the patient. However, these advances require collecting and sharing among researchers large amounts of genomic data, which generates much concern about privacy. Researchers, study participants and governing bodies should be aware of the ways in which the privacy of participants might be compromised, as well as of the large body of research on technical solutions to these issues. We review how breaches in patient privacy can occur, present recent developments in computational data protection and discuss how they can be combined with legal and ethical perspectives to provide secure frameworks for genomic data sharing. This article is part of a discussion meeting issue 'The growing ubiquity of algorithms in society: implications, impacts and innovations'. © 2018 The Author(s) Published by the Royal Society. All rights reserved.</t>
  </si>
  <si>
    <t>R0086</t>
  </si>
  <si>
    <t>Real-Time Secure Health Surveillance for Smarter Health Communities</t>
  </si>
  <si>
    <t>Alabdulatif, A.; Khalil, I.; Forkan, A.R.M.; Atiquzzaman, M.</t>
  </si>
  <si>
    <t>Found in: Scopus · DOI: 10.1109/MCOM.2017.1700547</t>
  </si>
  <si>
    <t>Pervasive healthcare services with smart decision making capability and ubiquitous communication technologies can forge future smart communities. Real-Time health surveillance for early detection of life-Threatening diseases through advanced sensing and communication technology can provide better treatment, reduce medical expenses and save lives of community residents (i.e., patients). However, the assurance of data privacy is the prime concern for such smart health technologies. This research aims to describe a privacy-preserving cloud-based system for real-Time health surveillance through change detection of multiple vital health signs of smart community members. Vital signs data generated from IoT-enabled wearable devices are processed in real-Time in a cloud environment. This article focuses on the development of a predictive model for the smart community considering the sensitivity of data processing in a third-party environment (e.g., cloud computing). We developed a vital sign change detection system using Holt's linear trend method (to enable prediction of data with trends) where fully homomorphic encryption is adapted to perform computations on an encrypted domain that can ensure data privacy. Moreover, to reduce the overhead of the fully homomorphic encryption method over large medical data we introduced a parallel approach for encrypted computations using a MapReduce algorithm of Apache Hadoop. We demonstrated the proposed model by evaluating some case studies for different vital signs of patients. The accuracy and efficiency of the implementation demonstrate the effectiveness of the proposed model for building a smart community. © 1979-2012 IEEE.</t>
  </si>
  <si>
    <t>R0087</t>
  </si>
  <si>
    <t>Framework for privacy-preserving wearable health data analysis: Proof-of-concept study for atrial fibrillation detection</t>
  </si>
  <si>
    <t>Vizitiu, A.; Nita, C.-I.; Toev, R.M.; Suditu, T.; Suciu, C.; Itu, L.M.</t>
  </si>
  <si>
    <t>Found in: Scopus · DOI: 10.3390/app11199049</t>
  </si>
  <si>
    <t>Medical wearable devices monitor health data and, coupled with data analytics, cloud computing, and artificial intelligence (AI), enable early detection of disease. Privacy issues arise when personal health information is sent or processed outside the device. We propose a framework that ensures the privacy and integrity of personal medical data while performing AI-based homomor-phically encrypted data analytics in the cloud. The main contributions are: (i) a privacy-preserving cloud-based machine learning framework for wearable devices, (ii) CipherML—a library for fast implementation and deployment of deep learning-based solutions on homomorphically encrypted data, and (iii) a proof-of-concept study for atrial fibrillation (AF) detection from electrocardiograms recorded on a wearable device. In the context of AF detection, two approaches are considered: a multi-layer perceptron (MLP) which receives as input the ECG features computed and encrypted on the wearable device, and an end-to-end deep convolutional neural network (1D-CNN), which receives as input the encrypted raw ECG data. The CNN model achieves a lower mean F1-score than the hand-crafted feature-based model. This illustrates the benefit of hand-crafted features over deep convolutional neural networks, especially in a setting with a small training data. Compared to state-of-the-art results, the two privacy-preserving approaches lead, with reasonable computational overhead, to slightly lower, but still similar results: the small performance drop is caused by limitations related to the use of homomorphically encrypted data instead of plaintext data. The findings highlight the potential of the proposed framework to enhance the functionality of wearables through privacy-preserving AI, by providing, within a reasonable amount of time, results equiv-alent to those achieved without privacy enhancing mechanisms. While the chosen homomorphic encryption scheme prioritizes performance and utility, certain security shortcomings remain open for future development. © 2020 by the authors. Licensee MDPI, Basel, Switzerland.</t>
  </si>
  <si>
    <t>R0088</t>
  </si>
  <si>
    <t>Noncanonical Structures in the Genome of Bovine Foamy Virus</t>
  </si>
  <si>
    <t>Limanskaya, O.Y.; Balak, O.K.; Limanskii, A.P.</t>
  </si>
  <si>
    <t>Found in: Scopus · DOI: 10.3103/S009545272505007X</t>
  </si>
  <si>
    <t>Abstract—: Bioinformatic methods have been used to identify putative perfect G-quadruplexes (G4s) and three-way junctions (3WJs) in the bovine foamy virus (BFV) genome. Artificial intelligence (AI) AlphaFold 3 was used to confirm putative G4s and 3WJs by building 3D models of these noncanonical structures. G4s are secondary structures formed by G-rich sequences. Multihelical 3WJs formed by three duplexes connected at the binding point and G4s are considered as alternative structures in DNA and RNA that differ from the classical double-stranded B-DNA. In the present paper, the localization map of putative conservative intramolecular G4s formed by two G-tetrads on the BFV genome was created. Seven putative conservative G-quadruplexes in the sense strand of BFV proviral DNA and 22 G4s in the antisense strand formed by two G-tetrads with G-score from 32 to 36 were found by the multiple alignment of 37 BFV isolates with complete genome. The density of G4s was 0.6 G4/kb for the sense strand of the BFV proviral DNA, while it was 1.8 G4/kb for the antisense strand. One conservative 3WJ motif with a length of 73 bp with 100% homology localized in the 5'-untranslated region and partially on the 5'-end of the gag gene was found for a set of 37 BFV isolates. The 3WJ structure in BFV RNA is stabilized by 20 complementary bp with a free energy ΔG of 19.8 kcal/mol. The significance of this structure for BFV functioning has been proven. The use of AI AlphaFold 3 to build 3D models of theoretically determined perfect G4s and 3WJs in the BFV genome allowed for reliably determining putative alternative structures in nucleic acids. © Allerton Press, Inc. 2025.</t>
  </si>
  <si>
    <t>R0089</t>
  </si>
  <si>
    <t>A secure and efficient deep learning-based intrusion detection framework for the internet of vehicles</t>
  </si>
  <si>
    <t>Khan, H.; Tejani, G.G.; AlGhamdi, R.; Alasmari, S.; Sharma, N.K.; Sharma, S.K.</t>
  </si>
  <si>
    <t>Found in: Scopus · DOI: 10.1038/s41598-025-94445-9</t>
  </si>
  <si>
    <t>This swift growth in Internet of Vehicle (IoV) networks has created serious security issues, primarily in intrusion detection due to the fact that these are complex, dynamic, and large-scale networks. AES-256 encryption for strong real-time security and access control, along with Secure Multi-Party Computation (SMPC) and Homomorphic Encryption (HE) for privacy-preserving collaborative data processing and encrypted computations, are some of the innovative contributions to IoV security that this work presents. Z-score normalization and median imputation are two excellent methods for prepping high-quality data for a deep learning-based intrusion detection system (IDS). Vision Transformer (ViT), wavelet transforms, and GAT ensure effective feature extraction, and a novel hybrid optimization known as Crayfish-Mother secure Optimization (CMSO) method is proposed to optimize feature selection to its maximum and reduce computational cost. DenseNet, GoogleNet, AlexNet, and SqueezeNet are also integrated in the newly proposed DAGSNet architecture to enhance feature detection and classification, enhancing the dependability and effectiveness of the IDS for IoV security. A highly secure, effective, and precise intrusion detection system in IoV environments is guaranteed by this holistic approach with the minimum time of encryption and decryption (0.02 s, 0.82 s) and maximum precision of two datasets (0.991, 0.984). © The Author(s) 2025.</t>
  </si>
  <si>
    <t>R0090</t>
  </si>
  <si>
    <t>Learning privately: Privacy-preserving canonical correlation analysis for cross-media retrieval</t>
  </si>
  <si>
    <t>Wang, Q.; Hu, S.; Du, M.; Wang, J.; Ren, K.</t>
  </si>
  <si>
    <t>Found in: Scopus; IEEE · DOI: 10.1109/INFOCOM.2017.8056955</t>
  </si>
  <si>
    <t>A massive explosion of various types of data has been triggered in the 'Big Data' era. In big data systems, machine learning plays an important role due to its effectiveness in discovering hidden information and valuable knowledge. Data privacy, however, becomes an unavoidable concern since big data usually involve multiple organizations, e.g., different healthcare systems and hospitals, who are not in the same trust domain and may be reluctant to share their data publicly. Applying traditional cryptographic tools is a straightforward approach to protect sensitive information, but it often renders learning algorithms useless inevitably. In this work, we, for the first time, propose a novel privacy-preserving scheme for canonical correlation analysis (CCA), which is a well-known learning technique and has been widely used in cross-media retrieval system. We first develop a library of building blocks to support various arithmetics over encrypted real numbers by leveraging additively homomorphic encryption and garbled circuits. Then we encrypt private data by randomly splitting the numerical data, formalize CCA problem and reduce it to a symmetric eigenvalue problem by designing new protocols for privacy-preserving QR decomposition. Finally, we solve all the eigenvalues and the corresponding eigenvectors by running Newton-Raphson method and inverse power method over the ciphertext domain. We carefully analyze the security and extensively evaluate the effectiveness of our design. The results show that our scheme is practically secure, incurs negligible errors compared with performing CCA in the clear and performs comparably in cross-media retrieval systems. © 2017 IEEE.</t>
  </si>
  <si>
    <t>R0091</t>
  </si>
  <si>
    <t>Privacy-Preserving Liver Disease Prediction with Homomorphic Encryption</t>
  </si>
  <si>
    <t>Malekar, T.; Parekh, S.; Kotecha, D.; Babu, Y.</t>
  </si>
  <si>
    <t>Found in: Scopus · DOI: 10.1007/978-981-96-8283-6_25</t>
  </si>
  <si>
    <t>This study presents a privacy-preserving protocol for liver disease prediction using a feedforward neural network (FNN) within a client-server architecture. The client, whether an individual or an organization, stores sensitive data in its raw, unencrypted form, while a cloud-based server hosts a deep learning model trained to predict liver disease outcomes based on the client’s input data. To secure sensitive data during the prediction process, we employed the CKKS homomorphic encryption scheme, carefully selecting encryption configurations to balance precision, noise management, and computational feasibility. The protocol ensures that both the client’s raw data and the server’s model remain confidential throughout the process. The server performs linear matrix operations on encrypted data sent by the client and delegates non-linear activation function calculations to the client, with added noise on the data sent to the client to prevent model inference. Further, to enhance model performance, we utilized a random search algorithm for hyperparameter tuning, optimizing parameters like the number of layers, activation functions, and the learning rate. Our protocol was validated through a series of experiments, achieving an average inference (prediction) time of 89.61 seconds. Despite an increase in computational time, the protocol maintained a prediction accuracy of 88.8%, only marginally lower than the 89.2% accuracy of the unencrypted model. These results demonstrate that the proposed protocol effectively balances security, accuracy, and computational efficiency, making it a suitable solution for non-time sensitive applications like privacy-preserving liver disease prediction. © The Author(s), under exclusive license to Springer Nature Singapore Pte Ltd. 2026.</t>
  </si>
  <si>
    <t>R0092</t>
  </si>
  <si>
    <t>Efficient and Privacy-Preserving Inference for Medical Images via FHE-Enhanced Split Neural Networks</t>
  </si>
  <si>
    <t>Lin, J.; Li, S.; Chen, J.; Du, X.; Miyaji, A.</t>
  </si>
  <si>
    <t>Found in: Scopus; IEEE · DOI: 10.1109/BIBM66473.2025.11356843</t>
  </si>
  <si>
    <t>Deploying deep learning models for remote medical diagnosis presents critical privacy challenges, particularly with regard to safeguarding sensitive patient data and protecting proprietary model parameters. Existing privacy-preserving techniques, such as Multi-Party Computation (MPC) and Fully Homomorphic Encryption (FHE), often suffer from high communication overhead or inadvertent exposure of model internals, limiting their practicality in real-world applications. In response, we propose a hybrid inference framework that integrates Split Neural Networks (SplitNN) with FHE to enable secure and efficient Client-Server medical diagnosis. Our approach ensures end-to-end encryption of patient data using CKKS scheme and preserves model confidentiality through an authenticated ReLU blinding protocol, which prevents information leakage during interactive computation. Additionally, we introduce a Channel-Aligned Feature Packing scheme optimized with the H-S Diagonal method to maximize throughput and minimize latency. Empirical evaluations on complex medical imaging tasks show that our framework maintains near-plaintext accuracy (within 1%) while reducing encrypted inference latency to under 0.9 s per image, underscoring its practicality for privacy-preserving diagnostic AI. © 2025 IEEE.</t>
  </si>
  <si>
    <t>R0093</t>
  </si>
  <si>
    <t>Enhanced privacy-preserving neural networks with fully homomorphic encryption: Optimized search and training</t>
  </si>
  <si>
    <t>Zhang, P.; Li, X.; Liang, J.</t>
  </si>
  <si>
    <t>Found in: Scopus · DOI: 10.1016/j.jisa.2026.104543</t>
  </si>
  <si>
    <t>The widespread application of deep learning in healthcare has raised critical concerns regarding data privacy and regulatory compliance. Privacy-preserving neural networks (PPNN) based on fully homomorphic encryption (FHE) offer a promising solution by enabling computation on encrypted data. However, existing FHE-based approaches suffer from high computational overhead and significant accuracy degradation, limiting their practical utility. To address these challenges, this paper proposes an optimized PPNN framework that co-optimizes model architecture and training procedure. First, an improved Bayesian optimization method that incorporates an exponential penalty on parameter count into the acquisition function, enabling efficient architecture search for compact and FHE-friendly models. Then, a collaborative training strategy combining Stochastic Weight Averaging (SWA) and Cosine Annealing Learning Rates (CALR), which enhances generalization and inference accuracy in the encrypted domain. By integrating these techniques into the HEMET architecture, our final solution achieves approximately 40% reduction in parameters, 40% shorter inference time, and over 4% improvement in accuracy on CIFAR-10, Cleveland, and OCTID datasets. These results validate the engineering practicality of our approach and contribute to scalable, privacy-preserving medical data analysis. © 2026 Elsevier Ltd.</t>
  </si>
  <si>
    <t>R0094</t>
  </si>
  <si>
    <t>Enhancing Risk Prediction in Mental Health Using Ensemble Hybrid Models and Administrative Healthcare Data with Irregular Intervals</t>
  </si>
  <si>
    <t>Shahidi, F.; MacDonald, M.E.; Seitz, D.; Barry, R.; Messier, G.</t>
  </si>
  <si>
    <t>Found in: Scopus; IEEE · DOI: 10.1109/BIBM62325.2024.10822734</t>
  </si>
  <si>
    <t>Risk prediction estimates the probability of future adverse outcomes for high-risk individuals to enable early intervention. Among all machine learning models, deep learning models can enhance risk predictions with respect to mental health (MH), where administrative healthcare data (Admin-HD) contain complex, irregular temporal information that a single model may not fully capture. This study aims to develop an ensemble hybrid deep-learning model (EnH-DL) to improve performance and reduce errors on unseen data compared to available deep-learning models. The model was evaluated in a cohort of individuals diagnosed with addiction or mental illness (AMH) to predict the risk of outcomes, such as the first healthcare encounter indicating homelessness (FHE-H) and the first healthcare encounters involving police (FHE-P). A sliding window and matrix-based representation were used in the preprocessing phase. Gated recurrent units (GRUs) with time decay, a one-dimensional (1D) convolutional neural network (CNN), and an attention function were integrated to build the EnH-DL. The results showed an average improvement in the area under the curve (AUC) by 2.5% and sensitivity by over 1.5%. An error reduction of over 0.22 indicates improved model reliability for unseen data. Tested in a clinical demand window to simulate real-world settings, the model achieved an 83% AUC and 79% sensitivity for FHE-H on a highly imbalanced test set. In conclusion, EnH-DL outperformed existing models for multiple MH outcomes using Admin-HD. © 2024 IEEE.</t>
  </si>
  <si>
    <t>R0095</t>
  </si>
  <si>
    <t>AI-based electronic health record architecture for secure patient data and its analytics</t>
  </si>
  <si>
    <t>Goyal, D.; Peng, S.-L.</t>
  </si>
  <si>
    <t>Found in: Scopus · DOI: 10.47974/JDMSC-2631</t>
  </si>
  <si>
    <t>Electronic Health Records (EHRs) are critical components of modern healthcare systems, but ensuring data security, privacy, and real-time clinical decision-making remains a significant challenge. This study proposes an advanced AI-based EHR architecture that prioritizes secure patient data while delivering intelligent clinical analytics. Homomorphic Encryption (CKKS), Attribute-Based Encryption (ABE) for fine-grained access control, and Hyperledger Fabric for blockchain-based audit records are some of the security features that are built into the system. Differential Privacy (DP-SGD) is used to make privacy even stronger when AI models are being trained. It uses an AI engine that can analyse medical transcripts using Convolutional Neural Networks (CNNs) for image-based detection (X-ray, MRI) and advanced signal processing models for reading ECG and EEG data. This AI-powered system works with different types of data and uses models like ClinicalBERT, GatorTron, GRU-D, and LightGBM to handle medical pictures, bodily signs, time-series vitals, and clinical notes. Experimental results demonstrate that the proposed architecture achieves low encryption latency (920 ms), zero access control breaches, and excellent predictive accuracy (AUC-ROC up to 0.96). This comprehensive approach demonstrates that integrating AI with robust security protocols, and multimodal medical analysis can deliver a scalable, privacy-preserving EHR solution suitable for real-world healthcare environments. The framework can further be extended with use of more safe APIs to collect real-time data from Internet of Medical Things (IoMT) devices and Digital Twin-based monitoring systems. That will help healthcare practitioners to keep an eye on patients all the time and treat accordingly, with use of our AI-Engines and secure Data of patients using blockchain will become a EHR where health data that is 100% tracked and analysed for better healthcare services, across multiple institutions. © Taru Publications.</t>
  </si>
  <si>
    <t>R0096</t>
  </si>
  <si>
    <t>A Secure and Scalable Federated Deep Learning Framework for Distributed Medical Imaging</t>
  </si>
  <si>
    <t>Kumar, S.; Vijayarani, K.; Pandey, A.; Kaur, N.</t>
  </si>
  <si>
    <t>The digitization of healthcare has yielded unprecedented volumes of heterogeneous medical imaging data distributed across geographically dispersed hospitals, diagnostic centers, and clinical research institutions. Conventional centralized deep learning approaches require raw patient data to be aggregated on a single server, creating critical tensions with patient privacy legislation—including the Health Insurance Portability and Accountability Act (HIPAA) and the European General Data Protection Regulation (GDPR)—and introducing single-point-of-failure vulnerabilities in mission-critical clinical infrastructure. Federated Learning (FL) addresses these concerns by enabling collaborative model training across distributed data silos without raw data exchange; however, existing FL systems for medical imaging remain constrained by gradient-inversion privacy vulnerabilities, Byzantine-robust aggregation deficiencies, communication bandwidth bottlenecks, and statistical heterogeneity arising from non-IID imaging distributions. To address these challenges comprehensively, this paper proposes SecFedMed—a Secure and Scalable Federated Deep Learning Framework for Distributed Medical Imaging—integrating four tightly coupled innovations: (1) a Rényi Differential Privacy (RDP) mechanism with adaptive noise calibration for formal gradient-level privacy guarantees; (2) a Secure Aggregation Protocol (SAP) employing threshold secret sharing and homomorphic encryption; (3) an Adaptive Model Compression (AMC) module reducing per-round communication cost by 94.7%; and (4) a Heterogeneity-Aware Federated Proximal Aggregation (HAFPA) strategy counteracting non-IID performance degradation. © 2026, Visagaa Publishing House. All rights reserved.</t>
  </si>
  <si>
    <t>R0097</t>
  </si>
  <si>
    <t>Transrectal spectral Doppler reveals uterine hyperemia in Tharparkar cows with subclinical endometritis</t>
  </si>
  <si>
    <t>Sahu, U.K.; Kumar, B.; Khan, M.H.; Singh, M.; Warghat, C.; Vadera, V.; Kumar, A.; Reddy, A.L.; Kharayat, N.S.; Chouhan, V.S.; Rajput, P.; Kumar, M.; Sahu, L.; Verma, H.; Sahu, G.; Singh, S.K.</t>
  </si>
  <si>
    <t>Found in: Scopus; PubMed · DOI: 10.3389/fvets.2026.1736926 · PMID: 42022389</t>
  </si>
  <si>
    <t>Introduction – Subclinical endometritis (SCE) is a postpartum uterine disorder characterized by cytological inflammation without clinical signs, impairing fertility and productivity in dairy cattle. Diagnosis relies on endometrial cytology, which is invasive and impractical under field conditions. Doppler ultrasonography enables non-invasive assessment of uterine blood flow (UBF) and may detect inflammation-associated vascular changes. However, uterine hemodynamic characterization in indigenous Bos indicus breeds affected with SCE remains limited. This study evaluated Doppler-derived uterine perfusion dynamics in healthy and SCE-affected Tharparkar cows. Materials and methods – Twenty lactating multiparous Tharparkar cows (70 ± 3.34 days postpartum) were screened using endometrial cytology; cows with ≥5% polymorphonuclear cells were classified as SCE-positive (n = 10), and healthy cows served as controls (n = 10). Transrectal color and spectral Doppler examinations of the middle uterine artery (MUA) were performed every three days throughout one complete estrous cycle. Resistance index (RI), pulsatility index (PI), time-averaged maximum velocity (TAMV), blood flow volume (BFV), and MUA diameter were recorded. Serum progesterone (P4) was measured by ELISA. Data were analyzed using independent t-tests, repeated-measures ANOVA (GLM), and Pearson correlation. Results – SCE cows exhibited significantly lower RI and PI across multiple cycle days (P &lt; 0.05), indicating increased uterine perfusion. TAMV, BFV, and MUA diameter were significantly higher in SCE cows (P &lt; 0.05). RI positively correlated with P4 concentration (r = 0.77; P &lt; 0.0001) and corpus luteum size (r = 0.64; P &lt; 0.0001), while BFV showed positive correlations with TAMV (r = 0.82; P &lt; 0.0001) and MUA diameter (r = 0.78; P &lt; 0.0001), and negative correlations with RI (r = −0.57; P &lt; 0.0001) and P4 (r = −0.59; P &lt; 0.0001). Production traits had no significant influence on Doppler indices (P &gt; 0.05). Conclusion – Subclinical endometritis in Tharparkar cows is associated with distinct uterine hemodynamic alterations characterized by increased blood flow and reduced Doppler resistance indices. These findings establish baseline Doppler reference patterns for an indigenous Bos indicus breed and support the potential utility of Doppler ultrasonography as a non-invasive adjunct tool for detecting uterine inflammation. Further studies integrating vascular and biochemical markers are warranted to enhance diagnostic precision. Copyright © 2026 Sahu, Kumar, Khan, Singh, Warghat, Vadera, Kumar, Reddy, Kharayat, Vandana, Chouhan, Rajput, Kumar, Sahu, Verma, Sahu, Kanaka and Singh.</t>
  </si>
  <si>
    <t>R0098</t>
  </si>
  <si>
    <t>Medical Imaging Applications of Federated Learning</t>
  </si>
  <si>
    <t>Sandhu SS; Gorji HT; Tavakolian P; Tavakolian K; Akhbardeh A</t>
  </si>
  <si>
    <t>Found in: PubMed · DOI: 10.3390/diagnostics13193140 · PMID: 37835883</t>
  </si>
  <si>
    <t>Since its introduction in 2016, researchers have applied the idea of Federated Learning (FL) to several domains ranging from edge computing to banking. The technique's inherent security benefits, privacy-preserving capabilities, ease of scalability, and ability to transcend data biases have motivated researchers to use this tool on healthcare datasets. While several reviews exist detailing FL and its applications, this review focuses solely on the different applications of FL to medical imaging datasets, grouping applications by diseases, modality, and/or part of the body. This Systematic Literature review was conducted by querying and consolidating results from ArXiv, IEEE Xplorer, and PubMed. Furthermore, we provide a detailed description of FL architecture, models, descriptions of the performance achieved by FL models, and how results compare with traditional Machine Learning (ML) models. Additionally, we discuss the security benefits, highlighting two primary forms of privacy-preserving techniques, including homomorphic encryption and differential privacy. Finally, we provide some background information and context regarding where the contributions lie. The background information is organized into the following categories: architecture/setup type, data-related topics, security, and learning types. While progress has been made within the field of FL and medical imaging, much room for improvement and understanding remains, with an emphasis on security and data issues remaining the primary concerns for researchers. Therefore, improvements are constantly pushing the field forward. Finally, we highlighted the challenges in deploying FL in medical imaging applications and provided recommendations for future directions.</t>
  </si>
  <si>
    <t>R0099</t>
  </si>
  <si>
    <t>PRISM-FedSeg: enhancing medical image segmentation through self-supervised federated learning with privacy preservation</t>
  </si>
  <si>
    <t>Raheem, A.; Yang, Z.; Manan, M.A.; Ahmed, S.</t>
  </si>
  <si>
    <t>Found in: Scopus · DOI: 10.1016/j.bspc.2026.111202</t>
  </si>
  <si>
    <t>Medical image segmentation is crucial for clinical diagnostics and treatment planning, yet it faces challenges such as data privacy, heterogeneity, and limited annotated datasets in decentralized healthcare settings. This paper introduces PRISM-FedSeg, a privacy-preserving self-supervised federated segmentation framework that incorporates Federated Learning (FL), Split Federated Learning (SFL), and Self-Supervised Learning (SSL) to enhance segmentation accuracy and cross-domain generalization without compromising data privacy. PRISM-FedSeg utilizes Masked Image Modeling (MIM) via BEiT and MAE for robust anatomical feature extraction from unlabeled data. The Adaptive Domain-Aware Reweighting Strategy (ADaReS) dynamically adjusts client contributions based on domain divergence, mitigating model drift in non-IID settings. Secure feature aggregation is achieved through Homomorphic Encryption (HE) using the Paillier cryptosystem. Evaluations on the BUSI and TCGA-LGG datasets demonstrate improved segmentation performance, achieving DSC scores of 96.61 ± 0.28% and 87.89 ± 0.28%, respectively, compared with existing baselines. Additionally, external validation on the open-access Breast Lesion Ultrasound Image Database further demonstrated the strong cross-dataset generalization capability of PRISM-FedSeg. ADaReS improved convergence by 18.4%, while HE introduced only 7.6% additional training time. PRISM-FedSeg provides an efficient and privacy-preserving model for robust medical image segmentation in decentralized healthcare environments. © 2026 Elsevier Ltd</t>
  </si>
  <si>
    <t>R0100</t>
  </si>
  <si>
    <t>A lineage of begomoviruses encode rep and AC4 proteins of enigmatic ancestry: Hints on the evolution of geminiviruses in the newworld</t>
  </si>
  <si>
    <t>Torres-Herrera, S.I.; Romero-Osorio, A.; Moreno-Valenzuela, O.; Pastor-Palacios, G.; Cardenas-Conejo, Y.; Ramírez-Prado, J.H.; Riego-Ruiz, L.; Minero-García, Y.; Ambriz-Granados, S.</t>
  </si>
  <si>
    <t>Found in: Scopus · DOI: 10.3390/v11070644</t>
  </si>
  <si>
    <t>The begomoviruses (BGVs) are plant pathogens that evolved in the Old World during the Cretaceous and arrived to the New World (NW) in the Cenozoic era. A subgroup of NW BGVs, the “Squash leaf curl virus (SLCV) lineage” (S-Lin), includes viruses with unique characteristics. To get clues on the evolutionary origin of this lineage, a search for divergent members was undertaken. Four novel BGVs were characterized, including one that is basal to the group. Comparative analyses led to discover a ~670 bp genome module that is nearly exclusive of this lineage, encompassing the replication origin, the AC4 gene, and 480 bp of the Rep gene. A similar DNA module was found in two curtoviruses, hence suggesting that the S-Lin ancestor acquired its distinctive genomic segment by recombination with a curtovirus. This hypothesis was definitely disproved by an in-depth sequence analysis. The search for homologs of S-Lin Rep uncover the common origin of Rep proteins encoded by diverse Geminiviridae genera and viral “fossils” integrated at plant genomes. In contrast, no homolog of S-Lin Rep was found in public databases. Consequently, it was concluded that the SLCV clade ancestor evolved by a recombination event between a primitive NW BGV and a virus from a hitherto unknown lineage. © Viruses 2019. All Rights Reserved.</t>
  </si>
  <si>
    <t>R0101</t>
  </si>
  <si>
    <t>Using a Recurrent Neural Network To Inform the Use of Prostate-specific Antigen (PSA) and PSA Density for Dynamic Monitoring of the Risk of Prostate Cancer Progression on Active Surveillance</t>
  </si>
  <si>
    <t>Sushentsev N; Abrego L; Colarieti A; Sanmugalingam N; Stanzione A; Zawaideh JP; Caglic I; Zaikin A; Blyuss O; Barrett T</t>
  </si>
  <si>
    <t>Found in: PubMed · DOI: 10.1016/j.euros.2023.04.002 · PMID: 37182116</t>
  </si>
  <si>
    <t>The global uptake of prostate cancer (PCa) active surveillance (AS) is steadily increasing. While prostate-specific antigen density (PSAD) is an important baseline predictor of PCa progression on AS, there is a scarcity of recommendations on its use in follow-up. In particular, the best way of measuring PSAD is unclear. One approach would be to use the baseline gland volume (BGV) as a denominator in all calculations throughout AS (nonadaptive PSAD, PSAD(NA)), while another would be to remeasure gland volume at each new magnetic resonance imaging scan (adaptive PSAD, PSAD(A)). In addition, little is known about the predictive value of serial PSAD in comparison to PSA. We applied a long short-term memory recurrent neural network to an AS cohort of 332 patients and found that serial PSAD(NA) significantly outperformed both PSAD(A) and PSA for follow-up prediction of PCa progression because of its high sensitivity. Importantly, while PSAD(NA) was superior in patients with smaller glands (BGV ≤55 ml), serial PSA was better in men with larger prostates of &gt;55 ml. PATIENT SUMMARY: Repeat measurements of prostate-specific antigen (PSA) and PSA density (PSAD) are the mainstay of active surveillance in prostate cancer. Our study suggests that in patients with a prostate gland of 55 ml or smaller, PSAD measurements are a better predictor of tumour progression, whereas men with a larger gland may benefit more from PSA monitoring.</t>
  </si>
  <si>
    <t>R0102</t>
  </si>
  <si>
    <t>Enhancing privacy-preserving brain tumor classification with adaptive reputation-aware federated learning and homomorphic encryption</t>
  </si>
  <si>
    <t>Ghanta, S.; Boyapati, P.; Biswas, S.; Pradhan, A.K.; Mohanty, S.P.</t>
  </si>
  <si>
    <t>Found in: Scopus; PubMed · DOI: 10.7717/peerj-cs.3165 · PMID: 40989296</t>
  </si>
  <si>
    <t>Brain tumor diagnosis using magnetic resonance imaging (MRI) scans is critical for improving patient survival rates. However, automating the analysis of these scans faces significant challenges, including data privacy concerns and the scarcity of large, diverse datasets. A potential solution is federated learning (FL), which enables cooperative model training among multiple organizations without requiring the sharing of raw data; however, it faces various challenges. To address these, we propose Federated Adaptive Reputation-aware aggregation with CKKS (Cheon-Kim-Kim-Song) Homomorphic encryption (FedARCH), a novel FL framework designed for a cross-silo scenario, where client weights are aggregated based on reputation scores derived from performance evaluations. Our framework incorporates a weighted aggregation method using these reputation scores to enhance the robustness of the global model. To address sudden changes in client performance, a smoothing factor is introduced, while a decay factor ensures that recent updates have a greater influence on the global model. These factors work together for dynamic performance management. Additionally, we address potential privacy risks from model inversion attacks by implementing a simplified and computationally efficient CKKS homomorphic encryption, which allows secure operations on encrypted data. With FedARCH, encrypted model weights of each client are multiplied by a plaintext reputation score for weighted aggregation. Since we are multiplying ciphertexts by plaintexts, instead of ciphertexts, the need for relinearization is eliminated, efficiently reducing the computational overhead. FedARCH achieved an accuracy of 99.39%, highlighting its potential in distinguishing between brain tumor classes.Several experiments were conducted by adding noise to the clients’ data and varying the number of noisyclients.Anaccuracy of 94% was maintained even with 50% of noisy client satahigh noise level,while the standard FL approach accuracy dropped to 33%.Our results and the security analysis demonstrate the effectiveness of FedARCH in improving model accuracy, its robustness to noisy data,and its ability to ensure data privacy,makingitaviableapproach for medical image analysis in federated settings. © Copyright 2025 Ghanta etal.Distributedunder CreativeCommonsCC-BY4.0 https://creativecommons.org/licenses/by-nc-nd/4.0/</t>
  </si>
  <si>
    <t>R0103</t>
  </si>
  <si>
    <t>Privacy-Preserving Synthetic Histopathological Single-to-Multimodal Data Generation from Brain MRI Using Transfer Learning</t>
  </si>
  <si>
    <t>Gourisaria, M.K.; Roy, A.; Jha, A.V.; Appasani, B.; Bilgaiyan, S.; Mazare, A.G.; Bizon, N.</t>
  </si>
  <si>
    <t>Found in: Scopus · DOI: 10.3390/a19020112</t>
  </si>
  <si>
    <t>Brain cancer detection is dependent on multiple diagnostic techniques. Histopathological diagnosis, although the most effective, requires the extraction of cancer cells, which is very risky and painful for a patient. Another popular noninvasive image-based diagnosis technique is magnetic resonance imaging (MRI). Brain diagnosis data based on MRI scans are highly sensitive and private. This study proposes a single-to-multimodal transformation technique that generates synthetic histopathological data from expert-labelled brain MRI datasets using transfer learning techniques. Furthermore, to preserve a patient’s privacy, an encryption module is used to encrypt the MRI image data and the respective histopathological notations. The Kruskal–Wallis statistical test is also used to analyze the radiogemomics dataset. The trained module is also encrypted, only to be accessed by authorized medical personnel. The transfer learning modules (CNN-based deep learning model, ViT, Resnet101, and YOLOv8) are used here and achieved (Formula presented.) accuracy. © 2026 by the authors.</t>
  </si>
  <si>
    <t>R0104</t>
  </si>
  <si>
    <t>HE-Cloud: A DSL-Driven Homomorphic Encryption Framework with ZKP and ORAM for Privacy-Preserving Data Analytics</t>
  </si>
  <si>
    <t>Kim, T.N.; Hoang, H.N.; Trung, S.D.; Nguyen, L.T.</t>
  </si>
  <si>
    <t>Found in: Scopus · DOI: 10.22247/ijcna/2026/08</t>
  </si>
  <si>
    <t>Cloud computing has become a vital platform for large-scale data analytics, yet it poses significant privacy challenges when handling sensitive information, especially in healthcare and financial domains. Homomorphic Encryption (HE) enables computation on encrypted data, providing strong privacy guarantees, but traditional HE frameworks lack efficient query representation, do not protect query patterns, and cannot prove correctness of cloud-side computations. This paper proposes HE-Cloud, an integrated privacy-preserving framework that combines DSL-driven query compilation, HE, Zero-Knowledge Proofs (ZKP), and Oblivious RAM (ORAM). Our framework allows clients to express high-level analytical queries, securely executes them on encrypted data, protects query access patterns via ORAM, and returns verifiable results through ZKP. A proof-of-concept implementation using the Pima Diabetes dataset demonstrates feasibility: Average glucose computations can be performed entirely on encrypted data with sub-second latency for homomorphic operations and minimal accuracy loss (approximately 0.001). Scalable secure analytics, extendable to larger datasets and machine learning tasks. ©EverScience Publications.</t>
  </si>
  <si>
    <t>R0105</t>
  </si>
  <si>
    <t>FSTCP: Federated Spatio-Temporal Crop Prediction Using HPC-Simulation in CPS</t>
  </si>
  <si>
    <t>Mohanty, R.; Dash, R.K.; Tripathy, P.K.</t>
  </si>
  <si>
    <t>Found in: Scopus · DOI: 10.1109/OCIT66168.2025.11400368</t>
  </si>
  <si>
    <t>The proliferation of Cyber-Physical Systems (CPS) in precision agriculture has led to the generation of massive spatio-temporal datasets across distributed sensors and edge devices. While Federated Learning (FL) offers a privacy-preserving framework for collaborative model training, its application in Agricultural CPS (Agri-CPS) remains limited due to high communication costs, heterogeneous data distributions, and computational constraints of edge hardware. To address these challenges, we propose SecureLightCrypt - a novel FL framework that integrates lightweight compressed encryption with spatio-temporal learning and High Performance Computing (HPC)-driven simulation. The framework employs sparse homomorphic masking, ternary quantization, and delta compression to reduce communication overhead by up to $10 ×$ without compromising accuracy. Additionally, HPC-assisted simulations generate auxiliary features and weak labels from climate and pest dynamics, augmenting local training performance. Extensive experiments on real-world crop yield and disease datasets demonstrate that SecureLightCrypt outperforms state-of-the-art FL baselines in accuracy, efficiency, and robustness while ensuring data privacy and scalability. This work bridges the gap between secure FL and simulation-informed agricultural intelligence, enabling next-generation smart farming applications. © 2025 IEEE.</t>
  </si>
  <si>
    <t>R0106</t>
  </si>
  <si>
    <t>Fast CKKS Algorithm in the SEAL Library</t>
  </si>
  <si>
    <t>Lv, Y.; Han, Y.; Wang, Z.</t>
  </si>
  <si>
    <t>Found in: Scopus · DOI: 10.1007/978-981-97-8746-3_9</t>
  </si>
  <si>
    <t>Currently, artificial intelligence has been widely used, and customers can outsource large amounts of data to service providers through cloud-based machine learning services to reduce computing overhead. However, outsourcing sensitive data such as business and healthcare to service providers raises privacy issues. Homomorphic encryption can calculate encrypted data without knowing the encrypted data, but homomorphic encryption has the problem of low efficiency. The CKKS algorithm supports floating-point number operations and is widely used in the field of privacy-preserving deep learning. To solve the problem of long encryption times, this paper proposes the PF-CKKS algorithm, which uses OpenMP parallel computing in the NTT transformation and the lookup table algorithm instead of the SWAR algorithm to calculate the Hamming weight to improve the calculation speed and encryption efficiency. The experimental results show that while keeping the accuracy unchanged, the CKKS algorithm with the lookup table algorithm improves the encryption efficiency by 1.186% on the MNIST dataset, and the encryption efficiency on the CIFAR-10 dataset increases by 3.167%, which is better than that on the simple MNIST dataset. The encryption efficiency of the PF-CKKS algorithm is 7.574% and 4.904% higher than that of the CKKS algorithm on these two datasets, respectively. © The Author(s), under exclusive license to Springer Nature Singapore Pte Ltd. 2024.</t>
  </si>
  <si>
    <t>R0107</t>
  </si>
  <si>
    <t>Energy-Efficient and Privacy-Preserving Blockchain Based Federated Learning for Smart Healthcare System</t>
  </si>
  <si>
    <t>Singh, M.B.; Singh, H.; Pratap, A.</t>
  </si>
  <si>
    <t>Found in: Scopus · DOI: 10.1109/TSC.2023.3332955</t>
  </si>
  <si>
    <t>The privacy-focused concept of Federated Learning (FL) allows local data processing without disclosing patients' health details to a central server. However, its vulnerability to privacy breaches through shared model weights and susceptibility to a single point of failure remain concerns. Energy constraints of Wireless Body Area Networks (WBANs) necessitate considering computation and transmission energy in the FL process. Thus, this article introduces a smart healthcare system prioritizing energy efficiency and privacy through a blockchain-backed FL model. Yet, WBAN users might be unwilling to share data without adequate incentives, and miners might hesitate due to the high energy usage associated with maintaining the blockchain. Therefore, an optimization problem is formulated to maximize system utility while considering energy, WBAN incentives, miner revenue, and FL loss. A computationally efficient stable matching-based algorithm is proposed for optimizing utility via associating WBANs and miners. Associated WBANs use Quantized Neural Networks (QNNs) to minimize computation energy. Moreover, this work integrates Differential Privacy (DP) and Homomorphic Encryption (HE) mechanisms to prevent information leakage by adding noise to gradients before updating model weights and encrypting consequences before transmitting them to miners. Real-world experiments validate the framework, yielding an average of 15.1%, 9.03%, and 15.35% improvements over existing methods.  © 2008-2012 IEEE.</t>
  </si>
  <si>
    <t>R0108</t>
  </si>
  <si>
    <t>Securing Collaboration: Federated Learning with Homomorphic Encryption</t>
  </si>
  <si>
    <t>Meena, V.; Kanishkka, K.; Kavipriya, A.; Kumar, J.S.</t>
  </si>
  <si>
    <t>Found in: Scopus · DOI: 10.1007/978-3-032-16038-6_25</t>
  </si>
  <si>
    <t>A collection of a large amount of users’ data is required if training of machine learning models is to be done traditionally. Privacy concerns and security risks are thereby introduced in this process. Legal or ethical reasons restrict the sharing of data. Therefore, the failure of traditional machine learning methods is encountered in sensitive domains. These challenges are addressed by Federated Learning (FL). Machine learning in FL is done by collaborating with multiple clients across decentralized clients and thereby providing data privacy. Yet a critical challenge is to be faced remains: Privacy of data while updated weights are being aggregated and transmitted should be maintained. The movement of model updates from one server to another provides a high possibility of interception, thereby leading to an increased risk of data exposure. Encryption of data comes here to help; in particular, homomorphic encryption (HE) plays a vital role here. The model weights should remain encrypted throughout the processes (aggregation and transmission) for privacy concerns, and HE facilitates this. HE also blocks any unauthorized access to raw model updates (even from the central server itself). Despite these constraints imposed, any essential mathematical computations on the encrypted data can be performed without even decrypting it with the help of HE. This paper examines the collaboration of homomorphic encryption with federated learning. Our experimental results show that FL protected by HE achieves an accuracy that is comparable to the accuracy that can be achieved by traditional FL. This study highlights that employing HE for privacy-preserving FL is a crucial solution for sensitive domains like the healthcare sector. © The Author(s), under exclusive license to Springer Nature Switzerland AG 2026.</t>
  </si>
  <si>
    <t>R0109</t>
  </si>
  <si>
    <t>Privacy-Preserving Byzantine-Resilient Swarm Learning for E-Healthcare</t>
  </si>
  <si>
    <t>Zhu, X.; Lai, T.; Li, H.</t>
  </si>
  <si>
    <t>Found in: Scopus · DOI: 10.3390/app14125247</t>
  </si>
  <si>
    <t>An automatic medical diagnosis service based on deep learning has been introduced in e-healthcare, bringing great convenience to human life. However, due to privacy regulations, insufficient data sharing among medical centers has led to many severe challenges for automated medical diagnostic services, including diagnostic accuracy. To solve such problems, swarm learning (SL), a blockchain-based federated learning (BCFL), has been proposed. Although SL avoids single-point-of-failure attacks and offers an incentive mechanism, it still faces privacy breaches and poisoning attacks. In this paper, we propose a new privacy-preserving Byzantine-resilient swarm learning (PBSL) that is resistant to poisoning attacks while protecting data privacy. Specifically, we adopt threshold fully homomorphic encryption (TFHE) to protect data privacy and provide secure aggregation. And the cosine similarity is used to judge the malicious gradient uploaded by malicious medical centers. Through security analysis, PBSL is able to defend against a variety of known security attacks. Finally, PBSL is implemented by uniting deep learning with blockchain-based smart contract platforms. Experiments based on different datasets show that the PBSL algorithm is practical and efficient. © 2024 by the authors.</t>
  </si>
  <si>
    <t>R0110</t>
  </si>
  <si>
    <t>Reliability and soh degradation of thin li-ion batteries under various flexing conditions</t>
  </si>
  <si>
    <t>Lall, P.; Jang, H.; Soni, V.; Miller, S.</t>
  </si>
  <si>
    <t>Reliability of Li-ion batteries (LIB) is major concern for FHE devices due to needs of flexibility without degradation of state of health (SOH) of the LIB. In this regard, a thin form factor based LIB below 1mm of thickness is regarded as the candidate material to meet such needs because it is able to be fold, bent and twisted with limited performance drop. In addition to this, LIB has high specific power (W/Kg) and high specific energy (Wh/Kg) and a lower memory effect which could make the LIB more attractive for wearable applications. While studies on chemo-physical effect such as SEI growth, material decay, etc. due to repeated charging and discharging LIB has been conducted greatly, but such effects due to the flexing LIB have been rarely conducted. In this study, degradation of thin-flexible power source reliability has been studied under twist, flexing, flex-to-install of magnitude to replicate stresses of daily motion of human body using motion-control setups in a lab-environment. Additionally, AI-based regression model has been developed to predict the SOH of the battery with multiple variables including physical, ambient and chemo-mechanical experimental conditions which could be challenged to be treated by the manpower. The developed models can be used to predict the life of the battery and analyze acceleration factors between test conditions and use conditions for variety of test conditions based on the individual variables and their interactions. Copyright © 2021 by ASME.</t>
  </si>
  <si>
    <t>R0111</t>
  </si>
  <si>
    <t>Arbovirus Transmission in Australia from 2002 to 2017</t>
  </si>
  <si>
    <t>Viennet, E.; Frentiu, F.D.; McKenna, E.; Torres Vasconcelos, F.; Flower, R.L.P.; Faddy, H.M.</t>
  </si>
  <si>
    <t>Found in: Scopus; PubMed · DOI: 10.3390/biology13070524 · PMID: 39056717</t>
  </si>
  <si>
    <t>Arboviruses pose a significant global public health threat, with Ross River virus (RRV), Barmah Forest virus (BFV), and dengue virus (DENV) being among the most common and clinically significant in Australia. Some arboviruses, including those prevalent in Australia, have been reported to cause transfusion-transmitted infections. This study examined the spatiotemporal variation of these arboviruses and their potential impact on blood donation numbers across Australia. Using data from the Australian Department of Health on eight arboviruses from 2002 to 2017, we retrospectively assessed the distribution and clustering of incidence rates in space and time using Geographic Information System mapping and space–time scan statistics. Regression models were used to investigate how weather variables, their lag months, space, and time affect case and blood donation counts. The predictors’ importance varied with the spatial scale of analysis. Key predictors were average rainfall, minimum temperature, daily temperature variation, and relative humidity. Blood donation number was significantly associated with the incidence rate of all viruses and its interaction with local transmission of DENV, overall. This study, the first to cover eight clinically relevant arboviruses at a fine geographical level in Australia, identifies regions at risk for transmission and provides valuable insights for public health intervention. © 2024 by the authors.</t>
  </si>
  <si>
    <t>R0112</t>
  </si>
  <si>
    <t>An Efficient FHE-based Ciphertext Matrix Multiplication Algorithm</t>
  </si>
  <si>
    <t>Wang, Y.; Xue, X.; Liang, J.; Guan, D.; Koç, C.K.</t>
  </si>
  <si>
    <t>Found in: Scopus; IEEE · DOI: 10.1109/Trustcom66490.2025.00184</t>
  </si>
  <si>
    <t>People have a hard time using cloud computing because of rules concerning privacy and security in fields like healthcare and banking. Fully Homomorphic Encryption (FHE) lets computers work with encrypted data, but it puts a lot of burden on them. This paper introduces SMMHE (Secure Matrix Multiplication with FHE), a novel element-wise approach that enhances SIMD parallelism in contemporary FHE frameworks to mitigate costly rotation operations. SMMHE is 3.98× faster than the most common FHE-based multiplication techniques, according to thorough testing. This big speedup, which cuts the difference in performance between encrypted and plaintext computation by a lot, makes it much easier to use privacy-preserving cloud applications in real life, like classifying medical images. For encrypted MNIST classification, the amortized duration of 26 ms per image is an excellent example of this. © 2025 IEEE.</t>
  </si>
  <si>
    <t>R0113</t>
  </si>
  <si>
    <t>Intracranial collateral flow estimated by color velocity imaging quantification ultrasound: A protector of recurrent stroke in patient with carotid stenosis?</t>
  </si>
  <si>
    <t>Fang, H.; Chen, X.Y.; Song, B.; Cheng, B.; Xu, Y.M.; Wong, K.S.; Ho, S.S.Y.</t>
  </si>
  <si>
    <t>Found in: Scopus; PubMed · DOI: 10.2174/1567202613666160817092521 · PMID: 27538891</t>
  </si>
  <si>
    <t>Stroke patients with carotid disease have a high risk of recurrence of disease. By measuring cerebral blood flow volume (BFV) using extracranial duplex technique for clinical estimation of intracranial collaterals, we aimed to investigate the relationship between the presence of intracranial collaterals and stroke recurrence in stroke patients with carotid disease. Consecutive stroke patients indicated for carotid duplex ultrasound investigations in our hospital were recruited during three years' period. Carotid stenosis was diagnosed as ≥50% stenosis and extracranial arterial BFV was measured by using color velocity imaging quantification ultrasound (CVIQ) software. Presence of intracranial collateral flow was defined as a blood flow volume of either ≥370 mL/min in common carotid artery or ≥120 mL/min in vertebral artery. Univariate and multivariate analyses were performed to determine the independent predictors of recurrent stroke. One hundred and twelve stroke patients (19.1%) with ≥50% carotid stenosis were recruited from consecutive ischemic stroke patients. During a mean follow-up of 28.6±13.1 months, recurrent stroke was recorded in 32 (28.6%) out of the total recruited patients. Estimated by blood flow volume measured by CVIQ, the patients with intracranial collateral flow had a lower rate of recurrent stroke than those without (9.5% vs. 33%, P=0.032). After adjusting for potential confounders, the presence of CVIQ-estimated intracranial collateral flow was an independent protector of recurrent stroke (OR, 0.169; 95% CI, 0.034-0.842; P=0.03). It could be concluded that blood supply through intracranial collateral flow estimated by CVIQ technique may protect stroke patients with carotid stenosis from suffering recurrent stroke. © 2016 Bentham Science Publishers.</t>
  </si>
  <si>
    <t>R0114</t>
  </si>
  <si>
    <t>Homomorphic Encryption for Privacy-Preserving Federated Learning in Medical Applications</t>
  </si>
  <si>
    <t>Shabana, S.; Ranjan Kumar, H.S.; Raju, K.; Puttegowda, K.</t>
  </si>
  <si>
    <t>Found in: Scopus; IEEE · DOI: 10.1109/ICMNWC66779.2025.11354452</t>
  </si>
  <si>
    <t>The growing reliance on machine learning (ML) in healthcare raises critical concerns regarding data privacy and security. While federated learning (FL) enables collaborative model training without centralized data sharing, it remains vulnerable to inference attacks through model gradients and unauthorized access by third parties. To address these challenges, this work proposes a privacy-preserving federated learning framework that integrates homomorphic encryption (HE) with logistic regression for secure medical data analysis. In the proposed approach, local model parameters are encrypted using homomorphic schemes before aggregation on a centralized server, ensuring that neither raw data nor model updates are exposed. Experimental evaluation with BFV, BGV, and CKKS encryption schemes demonstrates that the framework achieves competitive accuracy (&gt; 85%) while safeguarding patient information. Among the tested schemes, BGV provided the highest accuracy (∼ 89.81%), whereas BFV achieved optimal training efficiency. The results highlight that combining federated learning with homomorphic encryption can effectively balance model performance and data confidentiality, making it a promising solution for privacy-preserving healthcare applications.  © 2025 IEEE.</t>
  </si>
  <si>
    <t>R0115</t>
  </si>
  <si>
    <t>Phase unwrapping based on transformer-enhanced residual network for Doppler OCT flow measurement</t>
  </si>
  <si>
    <t>Zhang, Z.; Ma, Z.; Bai, H.; Meng, X.; Fan, F.; Zhu, J.</t>
  </si>
  <si>
    <t>Found in: Scopus; PubMed · DOI: 10.1364/OE.573074 · PMID: 41215207</t>
  </si>
  <si>
    <t>Non-invasive and high-resolution blood flow velocity (BFV) measurement using Doppler optical coherence tomography (DOCT) is critical in diagnosing and monitoring clinical diseases. However, the inherent phase wrapping problem with inevitable noise in the acquired phase data severely limits the accuracy of flow quantification. To overcome this challenge, this paper takes phase unwrapping as a regression task and proposes a deep neural network called Transformer-enhanced residual network (TRNet) for automatic and noise-robust phase unwrapping in DOCT flow measurement. Considering the importance of long-range dependency for resolving phase discontinuities in noisy environments, TRNet integrates a Transformer block after each convolutional block, which is equipped with a residual strategy and row attention mechanism in the encoder path, forming a hybrid network that synergizes local feature extraction with global contextual awareness through self-attention mechanisms. To mitigate the lack of paired phase images used for network training, we construct a practically representative dataset with DOCT real phase images by leveraging Mamba-YOLO-based object detection and morphological image processing, avoiding reliance on simulated or synthetic data. Extensive evaluations on the rat middle cerebral artery (MCA) Doppler images demonstrate that TRNet outperforms traditional and other deep learning methods under varying signal-to-noise ratios (0-25 dB) in both visual inspection and quantitative evaluation. Notably, TRNet-derived flow velocities exhibit near-perfect correlation with the actual flow velocities in phantom milk flow experiments and show strong agreement with manual measurements in in vivo blood flow experiments, further validating the effectiveness of the proposed phase unwrapping method and its clinical feasibility for precision hemodynamic analysis. © 2025 Optica Publishing Group under the terms of the Optica Open Access Publishing Agreement.</t>
  </si>
  <si>
    <t>R0116</t>
  </si>
  <si>
    <t>Secure Federated Learning: Enhancing Privacy In Collaborative Machine Learning Environments</t>
  </si>
  <si>
    <t>Majeed, D.A.; Asaad, R.R.; Almufti, S.M.; Hussein, C.S.; Marqas, R.B.; Ali, R.I.; Shaban, A.A.; Salih, M.S.</t>
  </si>
  <si>
    <t>Found in: Scopus; IEEE · DOI: 10.1109/ICSCAI68849.2026.11649133</t>
  </si>
  <si>
    <t>As massive data is becoming generated at distributed sources, and the importance of user privacy and data security grows, a new type of machine learning, Federated Learning, allows multiple clients to jointly learn a common global model but does not transfer the training data to the server (non-IID data). But FL is not secure by nature considering its intrinsic strength. Even with model updates, gradients, and colluding participants, sensitive information may still be leaked. This raised the necessity of Secure Federated Learning, which is a substantial improvement over FL that combines multiple privacy-preservation and protection methods to ensure the privacy and integrity of data/models, as well as users' trust in distributed machine learning environments. Secure Federated Learning follows a set of the best mechanisms such as differential privacy, homomorphic encryption, secure multi-party computation and trusted execution environments to ensure the data is kept secure during the training process. In the differential privacy case, the model updates are noised statistically such that the amount of private data that can be recovered is bounded. Using homomorphic encryption allows for operations to be performed on encrypted data, meaning that the data is still secure while being utilized. Secure multi-party computation (SMPC) allows a group of parties to jointly compute a certain function over their inputs without disclosing those inputs. TEEs scrape upon hapless iron and enlist secure radix over which worthy I/Os may be relinquished from the repose of the macrocosm. By way of example, SFL goes beyond data privacy to include communication efficiency, robustness against adversarial attacks, and trust management among heterogeneous clients. Different clients in a federated network may, for instance, differ in their motivation to participate, computational power and trustworthiness. To obscure single updates and ensure privacy information leak, it is adequate to use secure aggregation protocols. To make our model robust against the global model poisoning attempts of malicious clients, we introduce the incorporation of anomaly detection and reputation systems in our model as well. Some use-cases of SFL are applicable to diverse Heterogeneous back end applications like Healthcare, Finance, smart cities, and IoT ecosystems where identity sensitive information(stored here is client specific so) of individuals or organizations needs to remain local. © 2026 IEEE.</t>
  </si>
  <si>
    <t>R0117</t>
  </si>
  <si>
    <t>Stochastic Poisson-embedded privacy framework for federated learning with secure homomorphic encryption in medical AI</t>
  </si>
  <si>
    <t>Gomathi, R.; Saranya, K.; Mahaboob John, Y.M.; Mary, G.L.R.</t>
  </si>
  <si>
    <t>Found in: Scopus; PubMed · DOI: 10.1038/s41598-026-41469-4 · PMID: 41896262</t>
  </si>
  <si>
    <t>Despite the advancements in federated learning (FL) for privacy-preserving AI, its implementation in medical diagnostics faces persistent challenges. Some of these are intolerable computational loads, communication delays, and inefficiencies in dynamic healthcare environments. Since X-ray models are likely to be imbalanced/heterogeneous, and be prone to adversarial attacks, the likelihood of slow convergence, high complexity, and the negative effects of these with FL models are high. As is highly likely, this will result in performance loss under constraints of such level —most likely with noisy or imbalanced data. Nevertheless, to have a stable FL platform for the actual healthcare utilization, it is essential to overcome these challenges. These challenge are responded to by proposing a new integration of ResNet-50 and privacy preserving techniques for federated medical diagnosis. The latter is a data privacy and security, which is achieved with stochastic noise and homomorphic encryption on top of the superior classification performance of ResNet-50 in processing high dimensional X-ray images. Through effective imbalanced datasets reduction and reduced computational complexity, our method reduces convergence during training with adaptive learning rates and advanced data balancing methods. The model is applied on Python with the use of the TensorFlow and PyTorch libraries, integrating the real-time data using improved communication formula. It is also compared with other approaches and achieve a considerable improvement in accuracy of 99.6%, Precision is 98.8%, Recall is 99.2%, and F1 Score is 99% compared to the 5% improvement of conventional FL models. The model is equally stable and scalable in the dynamic case of a healthcare setting, with guarantees on effective diagnostics and data privacy. The system is a new standard for privacy friendly AI in healthcare diagnosis and gives an effective and scalable solution in X-ray classification task. Now that it’s an open door for future research, there’s further expansion of more complex privacy mechanisms and integration with other AI systems. © The Author(s) 2026.</t>
  </si>
  <si>
    <t>R0118</t>
  </si>
  <si>
    <t>Architecting Ethical and Scalable Artificial Intelligence Systems: A Secure Deployment Model with Real-World Benchmarking</t>
  </si>
  <si>
    <t>Singh, A.; Singh, M.; Kaur, M.; Attri, V.; Chauhan, S.; Kumar, R.</t>
  </si>
  <si>
    <t>Found in: Scopus · DOI: 10.1109/IC-EETA66496.2025.11548266</t>
  </si>
  <si>
    <t>The sheer rampant growth of artificial intelligence (AI) systems in the safety-critical, regulated, and large-scale areas of infrastructures has enhanced the demand of deployment models that are secure, ethical compliant, and scalable in terms of operation. The proposed research aims to develop a layered AI system architecture with verifiable privacy, federated orchestration, and explanation of decision-making as the first principles, as opposed to an afterthought. The framework consists of three modular parts, namely a privacy preserving computational substrate based on holomorphic encryption (HE) and differential privacy (DP), a distributed trust model that is enforced by a zero knowledge proofs (ZKP) and decentralized authentication protocols, and an ethical governance layer that includes policy-aware execution and explainable AI (XAI) reasoning. In contrast to the isolated sandbox setup, this architecture was tried in the realistic environment of a deployment using the representative of the domain data, such as OpenAQ sensor telemetry, MIMIC-III health logs, or smart energy grid datasets. The simulations were performed on 60-node Docker Swarm cluster using orchestrated adversarial attacks such as input reconstruction, consensus disruption, and metadata inference. Based on empirical evidence, the results indicate the latency stabilization at less than 140 ms, the cryptographic computation overhead at less than 22 percent and the privacy leakage reduction at more than 83 percent compared to centralized conventional baselines. These results confirm the correctness of implementing scalable AI solutions and not compromising ethical outcomes, regulatory guidance, and computational performance. This is the stepping block of future AI infrastructures that will have to be at scale, constrained, and in a similar spirit as the human-centric values.  © 2025 IEEE.</t>
  </si>
  <si>
    <t>R0119</t>
  </si>
  <si>
    <t>ARCHITECTURE FOR SECURE AND REAL-TIME PATIENT MONITORING WITH WEARABLE AND IMPLANTABLE DEVICES</t>
  </si>
  <si>
    <t>Maashi, M.; Mengash, H.A.; Almutairi, A.; Khan, J.; Althobaiti, T.; Alsayat, A.; Alsini, R.</t>
  </si>
  <si>
    <t>Found in: Scopus · DOI: 10.30546/1683-6154.25.2.2026.227</t>
  </si>
  <si>
    <t>A Federated Edge Learning (FEL) architecture, described in this paper, was developed to facilitate patient monitoring as a scalable, secure and real-time feature. The proposed FEL framework integrates heterogeneous biomedical IoT devices, such as ECG patches, continuous glucose monitor, neurostimulators, and implantable cardiac devices, which can communicate with localized edge gateways and can engage in the federated model training with preprocessing performed on the devices. A hybrid CNN-LSTM classifier is applied to multimodal biosignal classification and considers the constraints of wearable and implantable devices. Privacy preserving technologies such as homomorphic encryption and secure aggregation are used to protect model updates to gradient inversion attacks and model poisoning attacks, and differential privacy enhances data confidentiality. The simulation was based on synthetic multimodal biomedical data (ECG, glucose, and temperature signals) through a comprehensive MATLAB-based simulation to measure FEL performance alongside centralized learning (CL) and cloud-assisted edge learning (CAEL) baselines. Experiments show that FEL outperforms CAEL and CL in average classification accuracy (96.2% versus 91.8% versus 89.7%), yet still performs 36% faster in terms of end-to-end latency and 29% cheaper in terms of communication cost due to on-device feature extraction. The proposed framework further showed adaptive and more trustworthy security with adversarial and privacy-constrained settings, further proving its feasibility in next-generation digital healthcare systems of high priority: Low latency, high accuracy, and privacy compliance. © 2026, Institute of Applied Mathematics of Baku State University. All rights reserved.</t>
  </si>
  <si>
    <t>R0120</t>
  </si>
  <si>
    <t>ANT-ACE: An FHE Compiler Framework for Automating Neural Network Inference</t>
  </si>
  <si>
    <t>Li, L.; Lai, J.; Yuan, P.; Sui, T.; Liu, Y.; Zhu, Q.; Zhang, X.; Xiao, L.; Chen, W.; Xue, J.</t>
  </si>
  <si>
    <t>Found in: Scopus · DOI: 10.1145/3696443.3708924</t>
  </si>
  <si>
    <t>Fully Homomorphic Encryption (FHE) facilitates computations on encrypted data without requiring access to the decryption key, offering substantial privacy benefits for deploying neural network applications in sensitive sectors such as healthcare and finance. Nonetheless, programming these applications within the FHE framework is complex and demands extensive cryptographic expertise to guarantee correctness, performance, and security. In this paper, we present ANT-ACE, a production-quality, open-source FHE compiler designed to automate neural network inference on encrypted data. ANT-ACE accepts ONNX models and generates C/C++ programs, leveraging its custom open-source FHE library. We explore the design challenges encountered in the development of ANT-ACE, which is engineered to support a variety of input formats and architectures across diverse FHE schemes through a novel Intermediate Representation (IR) that facilitates multiple levels of abstraction. Comprising 44,000 lines of C/C++ code, ANT-ACE efficiently translates ONNX models into C/C++ programs for encrypted inference on CPUs, specifically utilizing the RNS-CKKS scheme. Preliminary evaluations on a single CPU indicate that ANT-ACE achieves significant speed enhancements in ResNet models, surpassing expert manual implementations and fulfilling our design goals. © 2025 Copyright held by the owner/author(s).</t>
  </si>
  <si>
    <t>R0121</t>
  </si>
  <si>
    <t>Research on data privacy protection methods based on genome-wide association study</t>
  </si>
  <si>
    <t>Wu, Z.; Xiao, W.; Deng, H.; Yang, L.</t>
  </si>
  <si>
    <t>Found in: Scopus · DOI: 10.1504/IJES.2022.122105</t>
  </si>
  <si>
    <t>The deployment of genome-wide association study (GWAS) requires a large amount of genomic data to support statistical analysis to obtain reliable prediction results. However, the data used in the research and the statistical information released by the research results can be used to determine the individuals corresponding to the genomic data, and there is a great privacy risk, resulting in restricted access to the genomic and other biomedical data. Therefore, researchers are paying more and more attention to data privacy protection in genome-wide association research and have developed various methods to protect private data. This article summarises the latest developments in privacy protection technology in genome-wide association research. Firstly, the article introduces the background knowledge of genome-wide association research and privacy protection technology; then, it introduces the privacy protection technology in GWAS: 1) homomorphic encryption; 2) advanced research results related to secure multi-party computing, and then discuss the advantages and limitations of the two types of methods; finally, the article summarises and prospects the development of privacy protection technology in GWAS. Copyright © 2022 Inderscience Enterprises Ltd.</t>
  </si>
  <si>
    <t>R0122</t>
  </si>
  <si>
    <t>Securing Data Transmission and Privacy Preserving Using Fully Homomorphic Encryption</t>
  </si>
  <si>
    <t>Ahmed, A.A.; Madboly, M.M.; Guirguis, S.K.</t>
  </si>
  <si>
    <t>Found in: Scopus · DOI: 10.22266/ijies2023.0228.25</t>
  </si>
  <si>
    <t>The Cloud computing is a repository that stores massive amounts of data that is accessible online. There are many security and data privacy concerns threatening cloud computing services, especially through key sharing. So, there is an important need to improve security algorithms. An electrocardiogram (ECG) measures heart performance and detects arrhythmias. Nowadays, they are used for identification because they vary from one person to another. Therefore, securing an ECG signal is important. Homomorphic encryption (HE) is a security solution that processes encrypted data without decryption. HE supplies the same raw data results. In this paper, to enhance security and maintain data privacy while getting rid of sharing key restrictions, a new fully homomorphic encryption algorithm with an advanced encryption standard (FHEAES) is proposed to encode the ECG signals. This is accomplished by proposing the evaluation process to be appended to an AES algorithm as an additional security layer, which performs a variety of mathematical operations homomorphically on the encrypted data without decrypting it, instead of the original data. The evaluation process is proposed to be a linear polynomial function with variable values to enhance security. A Pan and Tompkins algorithm is used to process ECG signals. Then, the FHEAES algorithm was used for encoding the ECG signal. At last, ECG signals were classified for further diagnosis. According to the findings, FHEAES will take 1.078950 × 1033 years to break or hack. This is due to the using of the proposed three encryption keys to make it harder to break. Also, the FHEAES algorithm has 95.8% accuracy in classification and 100% accuracy in decryption (recovering the original signal). When compared to other algorithms, it is nearly 6 times and 3 times faster during encryption and decryption, respectively. This is because it is proposed to be based on computationally lightweight matrix operations, making it perfect to address the noise that arises from any FHE scheme. Thus, FHEAES provides superior security and privacy while computing and is solid against attacks. © 2023, International Journal of Intelligent Engineering and Systems. All Rights Reserved.</t>
  </si>
  <si>
    <t>R0123</t>
  </si>
  <si>
    <t>A smart biometric identity management framework for personalised iot and cloud computing-based healthcare services</t>
  </si>
  <si>
    <t>Farid, F.; Elkhodr, M.; Sabrina, F.; Ahamed, F.; Gide, E.</t>
  </si>
  <si>
    <t>Found in: Scopus; PubMed · DOI: 10.3390/s21020552 · PMID: 33466730</t>
  </si>
  <si>
    <t>This paper proposes a novel identity management framework for Internet of Things (IoT) and cloud computing-based personalized healthcare systems. The proposed framework uses multimodal encrypted biometric traits to perform authentication. It employs a combination of centralized and federated identity access techniques along with biometric based continuous authentication. The framework uses a fusion of electrocardiogram (ECG) and photoplethysmogram (PPG) signals when performing authentication. In addition to relying on the unique identification characteristics of the users’ biometric traits, the security of the framework is empowered by the use of Homomorphic Encryption (HE). The use of HE allows patients’ data to stay encrypted when being processed or analyzed in the cloud. Thus, providing not only a fast and reliable authentication mechanism, but also closing the door to many traditional security attacks. The framework’s performance was evaluated and validated using a machine learning (ML) model that tested the framework using a dataset of 25 users in seating positions. Compared to using just ECG or PPG signals, the results of using the proposed fused-based biometric framework showed that it was successful in identifying and authenticating all 25 users with 100% accuracy. Hence, offering some significant improvements to the overall security and privacy of personalized healthcare systems. © 2021 by the authors. Licensee MDPI, Basel, Switzerland.</t>
  </si>
  <si>
    <t>R0124</t>
  </si>
  <si>
    <t>Encrypted Vector Operations for Privacy-Preserving Machine Learning and Data Retrieval</t>
  </si>
  <si>
    <t>Deepthi, V.S.; Sahana, B.; Mangala, L.; Nagabhushana, V.C.</t>
  </si>
  <si>
    <t>Found in: Scopus; IEEE · DOI: 10.1109/ICETEG66194.2025.11473203</t>
  </si>
  <si>
    <t>The growth of machine learning and advanced information retrieval raises serious privacy concerns when sensitive data is shared with untrusted parties. This work enables similar computations directly on encrypted data without revealing sensitive information. Partially Homomorphic Encryption with the Paillier cryptosystem is used to perform vector operations such as dot product, cosine similarity, and Euclidean distance securely in the encrypted domain. Experiments show near-plaintext accuracy while significantly reducing computational overhead compared to Fully Homomorphic Encryption. The results demonstrate that Partially Homomorphic Encryption provides a practical balance between security and efficiency, making it suitable for applications in healthcare, biometric verification, recommender systems, and federated learning. © 2025 IEEE.</t>
  </si>
  <si>
    <t>R0125</t>
  </si>
  <si>
    <t>Chet: An optimizing compiler for fully-homomorphic neural-network inferencing</t>
  </si>
  <si>
    <t>Dathathri, R.; Laine, K.; Saarikivi, O.; Lauter, K.; Chen, H.; Maleki, S.; Musuvathi, M.; Mytkowicz, T.</t>
  </si>
  <si>
    <t>Found in: Scopus · DOI: 10.1145/3314221.3314628</t>
  </si>
  <si>
    <t>Fully Homomorphic Encryption (FHE) refers to a set of encryption schemes that allow computations on encrypted data without requiring a secret key. Recent cryptographic advances have pushed FHE into the realm of practical applications. However, programming these applications remains a huge challenge, as it requires cryptographic domain expertise to ensure correctness, security, and performance. CHET is a domain-specific optimizing compiler designed to make the task of programming FHE applications easier. Motivated by the need to perform neural network inference on encrypted medical and financial data, CHET supports a domain-specific language for specifying tensor circuits. It automates many of the laborious and error prone tasks of encoding such circuits homomorphically, including encryption parameter selection to guarantee security and accuracy of the computation, determining efficient tensor layouts, and performing scheme-specific optimizations. Our evaluation on a collection of popular neural networks shows that CHET generates homomorphic circuits that outperform expert-tuned circuits and makes it easy to switch across different encryption schemes. We demonstrate its scalability by evaluating it on a version of SqueezeNet, which to the best of our knowledge, is the deepest neural network to be evaluated homomorphically. © 2019 Association for Computing Machinery. ACM</t>
  </si>
  <si>
    <t>R0126</t>
  </si>
  <si>
    <t>Encrypted Classification for Prevention of Adversarial Perturbation and Individual Identification in Health-Monitoring</t>
  </si>
  <si>
    <t>Kawase, H.; Meinhold, W.; Zeagler, C.; Miles, T.P.; Ueda, J.</t>
  </si>
  <si>
    <t>Found in: Scopus; IEEE · DOI: 10.1109/AIM46323.2023.10196163</t>
  </si>
  <si>
    <t>Developments in sensing and analysis methods have significantly increased the scope of physiological monitoring for healthcare purposes. While the continuous monitoring of physiological measurements enables improved detection and management of many illnesses, accompanying cybersecurity concerns continue to evolve. The large amounts of individualized data necessary to enable learned models for analysis must be sufficiently protected. In addition, the analysis and classification methods themselves should not be vulnerable to attack. This work addresses adversarial individual identification with multiple forms of physiological data, as well as potential performance interruption attacks. The paper proposes a homomorphic encryption scheme to mitigate both of these threats.  © 2023 IEEE.</t>
  </si>
  <si>
    <t>R0127</t>
  </si>
  <si>
    <t>Secure and privacy-preserving decision tree classification with lower complexity</t>
  </si>
  <si>
    <t>Xue, L.; Liu, D.X.; Huang, C.; Lin, X.D.; Shen, X.M.S.</t>
  </si>
  <si>
    <t>Found in: Scopus; IEEE · DOI: 10.23919/JCIN.2020.9055107</t>
  </si>
  <si>
    <t>As a widely-used machine-learning classifier, a decision tree model can be trained and deployed at a service provider to provide classification services for clients, e.g., remote diagnostics. To address privacy concerns regarding the sensitive information in these services (i.e., the clients’ inputs, model parameters, and classification results), we propose a privacy-preserving decision tree classification scheme (PDTC) in this paper. Specifically, we first tailor an additively homomorphic encryption primitive and a secret sharing technique to design a new secure two-party comparison protocol, where the numeric inputs of each party can be privately compared as a whole instead of doing that in a bit-by-bit manner. Then, based on the comparison protocol, we exploit the structure of the decision tree to construct PDTC, where the input of a client and the model parameters of a service provider are concealed from the counterparty and the classification result is only revealed to the client. A formal simulation-based security model and the security proof demonstrate that PDTC achieves desirable security properties. In addition, performance evaluation shows that PDTC achieves a lower communication and computation overhead compared with existing schemes. © 2020, Posts and Telecom Press Co Ltd. All rights reserved.</t>
  </si>
  <si>
    <t>R0128</t>
  </si>
  <si>
    <t>Logistic regression over encrypted data from fully homomorphic encryption</t>
  </si>
  <si>
    <t>Chen, H.; Gilad-Bachrach, R.; Han, K.; Huang, Z.; Jalali, A.; Laine, K.; Lauter, K.</t>
  </si>
  <si>
    <t>Found in: Scopus; PubMed · DOI: 10.1186/s12920-018-0397-z · PMID: 30309350</t>
  </si>
  <si>
    <t>Background: One of the tasks in the 2017 iDASH secure genome analysis competition was to enable training of logistic regression models over encrypted genomic data. More precisely, given a list of approximately 1500 patient records, each with 18 binary features containing information on specific mutations, the idea was for the data holder to encrypt the records using homomorphic encryption, and send them to an untrusted cloud for storage. The cloud could then homomorphically apply a training algorithm on the encrypted data to obtain an encrypted logistic regression model, which can be sent to the data holder for decryption. In this way, the data holder could successfully outsource the training process without revealing either her sensitive data, or the trained model, to the cloud. Methods: Our solution to this problem has several novelties: we use a multi-bit plaintext space in fully homomorphic encryption together with fixed point number encoding; we combine bootstrapping in fully homomorphic encryption with a scaling operation in fixed point arithmetic; we use a minimax polynomial approximation to the sigmoid function and the 1-bit gradient descent method to reduce the plaintext growth in the training process. Results: Our algorithm for training over encrypted data takes 0.4-3.2 hours per iteration of gradient descent. Conclusions: We demonstrate the feasibility but high computational cost of training over encrypted data. On the other hand, our method can guarantee the highest level of data privacy in critical applications. © 2018 The Author(s).</t>
  </si>
  <si>
    <t>R0129</t>
  </si>
  <si>
    <t>Preserving Privacy for Distributed Genome-Wide Analysis Against Identity Tracing Attacks</t>
  </si>
  <si>
    <t>Zhang, Y.; Bai, G.; Li, X.; Nepal, S.; Grobler, M.; Chen, C.; Ko, R.K.L.</t>
  </si>
  <si>
    <t>Found in: Scopus · DOI: 10.1109/TDSC.2022.3186672</t>
  </si>
  <si>
    <t>Genome-wide analysis has demonstrated both health and social benefits. However, large scale sharing of such data may reveal sensitive information about individuals. One of the emerging challenges is identity tracing attack that exploits correlations among genomic data to reveal the identity of DNA samples. In this paper, we first demonstrate that the adversary can narrow down the sample's identity by detecting his/her genetic relatives and quantify such privacy threat by employing a Shannon entropy-based measurement. For example, we exemplify that when the dataset size reaches 30% of the population, for any target from that population, the uncertainty of the target's identity is reduced to merely 2.3 bits of entropy (i.e., the identity is pinned down within 5 people). Direct application of existing approaches such as differential privacy (DP), secure multiparty computation (MPC) and homomorphic encryption (HE) may not be applicable to this challenge in genome-wide analysis because of the compromise on utility (i.e., accuracy or efficiency). Towards addressing this challenge, this paper proposes a framework named υFrag to facilitate privacy-preserving data sharing and computation in genome-wide analysis. υFrag mitigates privacy risks by using a vertical fragmentation to disrupt the genetic architecture on which the adversary relies for identity tracing without sacrificing the capability of genome-wide analysis. We theoretically prove that it preserves the correctness of the primitive functionalities and algorithms ranging from basic summary statistics to advanced neural networks. Our experiments demonstrate that υFrag outperforms secure multiparty computation (MPC) and homomorphic encryption (HE) protocols, with a speedup of more than 221x for training neural networks, and also traditional non-private algorithms and a state-of-the-art noise-based differential privacy (DP) solution in most settings.  © 2004-2012 IEEE.</t>
  </si>
  <si>
    <t>R0130</t>
  </si>
  <si>
    <t>SparseBatch: Communication-efficient Federated Learning With Partially Homomorphic Encryption</t>
  </si>
  <si>
    <t>Wang, C.; Wang, J.; Lou, Z.; Kong, L.; Tao, W.; Wang, Y.</t>
  </si>
  <si>
    <t>Found in: Scopus · DOI: 10.6180/jase.202508_28(8).0003</t>
  </si>
  <si>
    <t>Cross-silo federated learning (FL) enables collaborative model training among various organizations (e.g., financial or medical). It operates by aggregating local gradient updates contributed by participating clients, all the while safeguarding the privacy of sensitive data. Industrial FL frameworks employ additively homomorphic encryption (HE) to ensure that local gradient updates are masked during aggregation, guaranteeing no update is revealed. However, this measure has resulted in significant computational and communication overhead. Encryption and decryption operations have occupied the majority of the training time. In addition, the bit length of ciphertext is two orders of magnitude larger than that of plaintext, inflating the data transfer amount. In this paper, we present a new gradient sparsification method, SparseBatch. By designing a new general gradient correction method and using Lion optimizer’s gradient quantization method, SparseBatch combines gradient sparsification and quantization. Experimental results show that compared with BatchCrypt, SparseBatch reduces the computation and communication overhead by 5×, and the accuracy reduction is less than 1. © The Author(’s).</t>
  </si>
  <si>
    <t>R0131</t>
  </si>
  <si>
    <t>EdgeSeal-FHE: A Privacy-Preserving Encryption Framework for End-to-End Encrypted Health Monitoring</t>
  </si>
  <si>
    <t>Jeter, A.; Pankey-Thompson, J.; Moosavi, S.R.; Jalooli, A.</t>
  </si>
  <si>
    <t>Found in: Scopus · DOI: 10.1016/j.procs.2026.04.047</t>
  </si>
  <si>
    <t>The increasing use of the Internet of Things (IoT) and wearable devices in healthcare exposes sensitive patient data to security risks when transmitted through untrusted networks. In this paper, we present EdgeSeal-FHE, an end-to-end encryption framework that applies Fully Homomorphic Encryption (FHE) at the edge to ensure that physiological data remain encrypted from generation to cloud analysis with no plaintext exposure. The system uses the Cheon-Kim-Kim-Song (CKKS) scheme via TenSEAL to support computation on encrypted medical embeddings, enabling continuous confidentiality and integrity without disrupting real-time processing. Evaluation results show that EdgeSeal-FHE encrypts 300-dimensional embeddings in 4.52 ms at 128-bit security, achieves end-to-end latency of 35.48 ms, and preserves 99.72% data quality with less than 0.5% reconstruction loss. Compared with state-of-the-art CKKS healthcare systems, our approach delivers higher throughput while remaining under the 100 ms real-time threshold across all device classes, including low-end smartphones. These results demonstrate that practical, real-time encrypted healthcare monitoring is achievable without sacrificing security, accuracy, or responsiveness.  © 2026 The Authors.</t>
  </si>
  <si>
    <t>R0132</t>
  </si>
  <si>
    <t>Secure Healthcare Predictive Modeling with Homomorphic Encryption</t>
  </si>
  <si>
    <t>Shekhu, P.; Sethi, S.; Chaudhary, A.</t>
  </si>
  <si>
    <t>Found in: Scopus · DOI: 10.23919/INDIACom61295.2024.10498904</t>
  </si>
  <si>
    <t>This project integrates TensorFlow, homomorphic encryption, and blockchain for secure data analytics. Prioritizing user privacy and data integrity, the solution adeptly processes user inputs, conducts TensorFlow predictions, and employs homomorphic encryption. Our findings emphasize the effectiveness of this integrated system, offering a seamless approach. Interpretations reveal the potential for decentralized and secure analytics, particularly in handling sensitive data. Implications underscore the reliability of our solution for safeguarding user privacy within machine learning contexts.  © 2024 Bharati Vidyapeeth, New Delhi.</t>
  </si>
  <si>
    <t>R0133</t>
  </si>
  <si>
    <t>AdaptiSlice-Guard: A Hybrid Adaptive Ensemble Framework for DDOS Attack Detection in 5G Network Slicing Environments with Extended Healthcare Network Applications</t>
  </si>
  <si>
    <t>Sindhu, M.; Davamani, K.A.</t>
  </si>
  <si>
    <t>Found in: Scopus; IEEE · DOI: 10.1109/ICISC69558.2026.11681498</t>
  </si>
  <si>
    <t>The dynamic, multi-tenant nature of network slices presented by rapid proliferation of 5G network slicing creates critical security vulnerabilities, especially the Distributed Denial-of-Service (DDoS) attacks. This paper presents a new Hybrid Adaptive Stacking Ensemble with Dynamic Confidence Gating (DCG), called AdaptiSlice-Guard which is built to detect the presence of DDoS attacks in the network slice of the 5G networks with privacy-preserving systems such as indicators of homomorphic encryption, GDPR compliance metrics, and data residency features. AdaptiSlice-Guard combines five different base learners (Random Forest, Extra Trees, Gradient Boosting, AdaBoost and SVM) using an entropy-based dynamic confidence gating algorithm and a Feature-Aware Gradient Boosting meta-learner, thus trained on a large scale dataset of 100 network slice records involving 25 security, privacy and performance parameters. The proposed ensemble was found to have the highest classification accuracy of 87.50% with an F1-score of 92.31% AUC-ROC of 94.87% greater than all the individual baseline classifiers such as Random Forest, SVM, Gradient Boosting, AdaBoost, Logistic Regression and Decision Tree. Extensive analysis with confusion matrices, ROC curve analysis, cross-validation, precision-recall analysis, and radar chart visualization proves that the adaptive ensemble of AdaptiSlice-Guard significantly reduces attack misclassification, which is inherent to single-algorithms systems. Such results declare AdaptiSlice-Guard an excellent privacy-conscious DDoS detection framework in 5G slicing, and have powerful implications in the next-generation network security, as well as in clinical-grade data protection. The framework is further validated on a healthcare-specific 5G network slicing dataset augmented with Electronic Health Record (EHR) access patterns, HL7/FHIR compliance indicators, and medical IoT device profiles, achieving 85.00% accuracy and 90.48% F1-score on the health domain, and 86.25% accuracy with 91.43% F1-score on a combined cross-domain dataset - confirming AdaptiSlice-Guard as a robust framework for protecting life-critical 5G healthcare network slices. © 2026 IEEE.</t>
  </si>
  <si>
    <t>R0134</t>
  </si>
  <si>
    <t>Novel Federated Graph Contrastive Learning for IoMT Security: Protecting Data Poisoning and Inference Attacks</t>
  </si>
  <si>
    <t>Daulay, A.; Ramli, K.; Harwahyu, R.; Hidayat, T.; Pranggono, B.</t>
  </si>
  <si>
    <t>Found in: Scopus · DOI: 10.3390/math13152471</t>
  </si>
  <si>
    <t>Malware evolution presents growing security threats for resource-constrained Internet of Medical Things (IoMT) devices. Conventional federated learning (FL) often suffers from slow convergence, high communication overhead, and fairness issues in dynamic IoMT environments. In this paper, we propose FedGCL, a secure and efficient FL framework integrating contrastive graph representation learning for enhanced feature discrimination, a Jain-index-based fairness-aware aggregation mechanism, an adaptive synchronization scheduler to optimize communication rounds, and secure aggregation via homomorphic encryption within a Trusted Execution Environment. We evaluate FedGCL on four benchmark malware datasets (Drebin, Malgenome, Kronodroid, and TUANDROMD) using 5 to 15 graph neural network clients over 20 communication rounds. Our experiments demonstrate that FedGCL achieves 96.3% global accuracy within three rounds and converges to 98.9% by round twenty—reducing required training rounds by 45% compared to FedAvg—while incurring only approximately 10% additional computational overhead. By preserving patient data privacy at the edge, FedGCL enhances system resilience without sacrificing model performance. These results indicate FedGCL’s promise as a secure, efficient, and fair federated malware detection solution for IoMT ecosystems. © 2025 by the authors.</t>
  </si>
  <si>
    <t>R0135</t>
  </si>
  <si>
    <t>Secure and Resilient: An Integrated Methodology for Enhancing Electronic Health Record (EHR) Data Security and Privacy in Healthcare</t>
  </si>
  <si>
    <t>Ginavanee, A.; Prasanna, S.</t>
  </si>
  <si>
    <t>Found in: Scopus; IEEE · DOI: 10.1109/ICONSTEM60960.2024.10568848</t>
  </si>
  <si>
    <t>Secure Electronic Healthcare Records (EHR) data is critical for protecting patient privacy and safeguarding the integrity of medical information. The requirement for strong security measures in healthcare data stems from the sensitive nature of the information involved, which includes personal identifiers and medical histories. This study explores existing techniques to securing healthcare data, outlining their shortcomings and proposing a unique methodology to address these difficulties. To manage healthcare data, the study takes a multimodal approach. It starts from the Synthea TM dataset and uses BERT -CNN for standardization. Game theory-based hyperparameter adjustment is used to maximize its performance. Full homomorphic encryption (TFHE) is then included for improved data security. Using RESTful API on the Ethereum blockchain, authentication is strengthened. An additional degree of protection is added with homomorphic encryption using decentralized identifiers. With the use of blockchain and homomorphic encryption, cloud infrastructure provides scalable and secure health data storage. Integrating the Ethereum blockchain strengthens storage that is both secure and decentralized. Using advanced technologies, this complete technique tackles the difficulties of security, standardization, and storage in the administration of healthcare data. Scalability, accessibility, and strict security requirements are met by this integrated method, which ensures standardized, safe, and privacy-preserving healthcare data management. With an average increase of almost 23%, the suggested Game Theory (GT) with BERT -CNN (99%) approach shows a significant improvement in accuracy over the current methods. The usefulness of the proposed model in improving the accuracy of the classification task over BERT and Random Forest approaches is highlighted by this noteworthy development, as demonstrated by the stated accuracy percentages. Together, these initiatives aim to bring about in a future in which patient outcomes are significantly improved by the secure handling, storage, analysis, and responsible use of medical data across the healthcare ecosystem.  © 2024 IEEE.</t>
  </si>
  <si>
    <t>R0136</t>
  </si>
  <si>
    <t>Enhancing Data Privacy in Multi-Institutional Medical AI: A Secure Vertical Federated Learning Framework</t>
  </si>
  <si>
    <t>Prabhune, S.; Jagdale, B.</t>
  </si>
  <si>
    <t>Found in: Scopus · DOI: 10.1109/I4Tech64670.2025.11277470</t>
  </si>
  <si>
    <t>With the growing application of AI for clinical decision-making and tailored therapies, healthcare organizations are tackling the challenge of training AI models for clinical decision-making while safeguarding patient data confidentiality. A solution to this issue is Vertical Federated Learning (VFL), a secure framework for multi-institutional healthcare settings. VFL employs secure multi-party computation and differential privacy to enable privacy-preserving training without data sharing. Demonstrated with the Diabetes 130-US hospitals dataset, VFL shows promise for real-world applications. The VFL model strikes a balance between privacy and utility, maintaining high predictive accuracy while ensuring patient data security. Comparative analyses highlight the efficacy of VFL in preserving privacy and model performance. VFL, with its advanced privacy measures, offers a robust approach for developing accurate AI models for clinical decision-making in healthcare. © 2025 IEEE.</t>
  </si>
  <si>
    <t>R0137</t>
  </si>
  <si>
    <t>ActivityNet-HE: An Encryption-Enabled Deep Learning-Based Framework for Secure Human Activity Monitoring</t>
  </si>
  <si>
    <t>Found in: Scopus; IEEE · DOI: 10.1109/TENCON66050.2025.11374984</t>
  </si>
  <si>
    <t>An increasingly popular non-intrusive monitoring technique in smart environments is the recognition of human activities using Wi-Fi Channel State Information (CSI). However, the exposure of raw CSI data during processing poses significant privacy risks. This paper presents ActivityNet-HE, a deep learning framework designed to perform secure activity recognition through homomorphic encryption. The framework utilizes Principal Component Analysis (PCA) to minimize the dimensionality of the data makes it efficient to compute and extracts 29 statistical and signal-based features from time and frequency domains for each PCA stream. A lightweight neural network with polynomial activation enables encrypted inference without revealing sensitive input data. Evaluated on the CSI-HAR dataset, the model achieves 94.05% accuracy on both encrypted and plain data, demonstrating that strong privacy preservation can be achieved without sacrificing performance. While the system ensures secure inference, it incurs additional latency due to encryption overhead, which may limit its use in low-latency real-time applications. This makes the framework especially relevant for privacy-sensitive cases like monitoring the stereotypical motor movement (SMM) of autistic children in home or healthcare settings. © 2025 IEEE.</t>
  </si>
  <si>
    <t>R0138</t>
  </si>
  <si>
    <t>Privacy Preserving Inference for Deep Neural Networks: Optimizing Homomorphic Encryption for Efficient and Secure Classification</t>
  </si>
  <si>
    <t>Akram, A.; Khan, F.; Tahir, S.; Iqbal, A.; Shah, S.A.; Baz, A.</t>
  </si>
  <si>
    <t>Found in: Scopus; IEEE · DOI: 10.1109/ACCESS.2024.3357145</t>
  </si>
  <si>
    <t>The application of machine learning in healthcare, financial, social media, and other sensitive sectors not only involves high accuracy but privacy as well. Due to the emergence of the Cloud as a computation and one-to-many access paradigm; training and classification/inference tasks have been outsourced to Cloud. However, its usage is limited due to legal and ethical constraints regarding privacy. In this work, we propose a privacy-preserving neural networks-based classification model based on Homomorphic Encryption (HE) where the user can send an encrypted instance to the cloud and receive an encrypted inference from it to preserve the user's query privacy. In contrast to existing works, we demonstrate the realistic limitations of HE for privacy-preserving machine learning by changing its parameters for enhanced security and accuracy. We showcase scenarios where the choice of HE parameters impedes accurate classification and present an optimized setting for achieving reliable classification. We present several results to demonstrate its effectiveness using MNIST dataset with highly improved inference time for a query as compared to the state of the art.  © 2013 IEEE.</t>
  </si>
  <si>
    <t>R0139</t>
  </si>
  <si>
    <t>Conjunctival microvascular alterations in dry eye disease: A comparative study of Sjögren’s and non-Sjögren’s subtypes</t>
  </si>
  <si>
    <t>Lee, J.E.; Kim, D.-K.; Yoon, Y.C.; Whang, W.-J.; Hwang, H.S.; Kim, H.-S.; Kim, D.Y.; Na, K.S.</t>
  </si>
  <si>
    <t>Found in: Scopus; PubMed · DOI: 10.4103/tjo.TJO-D-25-00108 · PMID: 41523113</t>
  </si>
  <si>
    <t>PURPOSE: Conjunctival microvasculature is associated with ocular and systemic diseases. Previous studies have reported increased blood flow velocity (BFV), blood flow rate (BFR), vessel density, and diameter in dry eye disease (DED). This study aimed to compare bulbar conjunctival microvascular morphology and hemodynamics between patients with DED with and without Sjögren’s dry eye (SSDE and NSDE) who had comparable symptoms, and to assess their correlations with Meibomian gland dysfunction (MGD) parameters. MATERIALS AND METHODS: In this prospective study, conjunctival imaging for the left eyes of patients with DED was performed using a previously developed optical system incorporating Attention-UNet-based vessel segmentation and a validated two-step motion-correction pipeline. Tear film lipid layer thickness measurement and meibography were performed using the LipiView® II Ocular Surface Inferometer. Microvascular parameters, including BFV, BFR, and diameter, were quantified. RESULTS: The mean microvessel diameter for the SSDE group (12.985 ± 2.478 μm) was significantly higher than that for NSDE (9.431 ± 3.982 μm) (P &lt; 0.050). In the NSDE group, diameter correlated positively with BFR (P &lt; 0.050), and BFR correlated with both upper and lower meiboscores (P &lt; 0.050). CONCLUSION: These findings reveal distinct conjunctival microvascular signatures in patients with SSDE, and support vessel diameter as a discriminator. The association between hemodynamic changes and MGD parameters in the NSDE group underscores the interplay between MGD and conjunctival microcirculation in NSDE. The differences in microvasculature identified in this study may serve as valuable biomarkers for DED subtype classification and the development of personalized treatment. © 2025 Taiwan J Ophthalmol.</t>
  </si>
  <si>
    <t>R0140</t>
  </si>
  <si>
    <t>Blockchain-Enabled Privacy and Homomorphic Encryption with Voting Classifier in IIoT</t>
  </si>
  <si>
    <t>Nisha, M.S.; Rajakumar, G.; Myrtle, R.S.; Priya, N.R.; Muthulakshmi, A.</t>
  </si>
  <si>
    <t>Found in: Scopus; IEEE · DOI: 10.1109/ICSCCC58608.2023.10176683</t>
  </si>
  <si>
    <t>In this virtual world, there are billions of physical devices are sharing their data via the Industrial Internet of Things (IIoT). These data transactions centralize with security and authentication for passing the data among IIoT applications. However, this centralization is exposed to security limitations due to its rapid growth and it is difficult to scale up the applications which acts as a critical challenge for the researchers. To improve the reliability of the IIoT application, federated learning with blockchain technology is utilized for data security. The UCI medical repository is taken as the input dataset which is fetched to k-means clustering for a cluster then homomorphic encryption for encrypting the input data. This encrypted data is verified by the signature sign-in process for authentication purposes. The blockchain accepts these data via decryption using a private key. Finally, the ensemble model (SVM, RF, Decision tree) classifies the result into five categories such as stage 1, stage 2, stage 3, stage 4, and stage 5 of heart disease. The experimental result shows the performance of the proposed system is better than the existing algorithms. Thus, we integrate blockchain and federated learning to provide an enhanced environment for IIoT applications.  © 2023 IEEE.</t>
  </si>
  <si>
    <t>R0141</t>
  </si>
  <si>
    <t>A Review of Homomorphic Encryption for Privacy-Preserving Biometrics</t>
  </si>
  <si>
    <t>Yang W; Wang S; Cui H; Tang Z; Li Y</t>
  </si>
  <si>
    <t>Found in: PubMed · DOI: 10.3390/s23073566 · PMID: 37050626</t>
  </si>
  <si>
    <t>The advancement of biometric technology has facilitated wide applications of biometrics in law enforcement, border control, healthcare and financial identification and verification. Given the peculiarity of biometric features (e.g., unchangeability, permanence and uniqueness), the security of biometric data is a key area of research. Security and privacy are vital to enacting integrity, reliability and availability in biometric-related applications. Homomorphic encryption (HE) is concerned with data manipulation in the cryptographic domain, thus addressing the security and privacy issues faced by biometrics. This survey provides a comprehensive review of state-of-the-art HE research in the context of biometrics. Detailed analyses and discussions are conducted on various HE approaches to biometric security according to the categories of different biometric traits. Moreover, this review presents the perspective of integrating HE with other emerging technologies (e.g., machine/deep learning and blockchain) for biometric security. Finally, based on the latest development of HE in biometrics, challenges and future research directions are put forward.</t>
  </si>
  <si>
    <t>R0142</t>
  </si>
  <si>
    <t>Deep learning with metaheuristics based data sensing and encoding scheme for secure cyber physical sensor systems</t>
  </si>
  <si>
    <t>Eshmawi, A.A.; Khayyat, M.; Abdel-Khalek, S.; Mansour, R.F.; Dwivedi, U.; joshi, K.K.; Gupta, D.</t>
  </si>
  <si>
    <t>Found in: Scopus · DOI: 10.1007/s10586-022-03654-8</t>
  </si>
  <si>
    <t>Cyber Physical System (CPS) plays an important role in industry 4.0 applications such as smart factories, smart energy, smart transportation, smart buildings, smart healthcare, etc. Similarly, Cyber Physical Sensor System (CPSS) has gained popularity in recent times and is composed of a computing platform linked to an actuator, sensor, and wireless access point. In real-time scenarios, CPSS continuously gathers data from physical objects and conducts real-time control events based on the process algorithm. Then, the gathered data is transferred to the control centre or cloud services via network layer for further processing. In this scenario, there exists a need to identify the way of utilizing the intellect correctly, by designing effective data sensing and fusion schemes for CPSS. With this background, the current paper presents a Deep Learning with Metaheuristics based Data Sensing and Encoding (DLMB-DSE) scheme for CPSS. The aim of the proposed DLMB-DSE technique is to present a prediction-based data sensing and fusion approach to reduce the quantity of data communication and maintain maximum coverage by ensuring security. DLMB-DSE technique involves the design of Optimal Deep Belief Network (DBN) with Adagrad optimizer to primarily predict the data of the succeeding period with minimum number of data items. It also helps in making the primary predicted value, estimate the actual value, with maximum accuracy. Besides, Multi-Key Homomorphic Encryption (MKHE) technique is also applied for useful data encoding and decoding processes, thereby accomplishing security. Moreover, the novelty of the study lies in optimal key generation process, followed in MKHE technique, using Equilibrium Optimizer (EO). This helps in improving the security. A wide range of experiments was implemented to validate the better performance of the proposed DLMB-DSE technique. The experimental results exhibit the promising performance of DLMB-DSE approach over other methods under different measures. © 2022, The Author(s), under exclusive licence to Springer Science+Business Media, LLC, part of Springer Nature.</t>
  </si>
  <si>
    <t>R0143</t>
  </si>
  <si>
    <t>Privacy-preserving association rule mining based on electronic medical system</t>
  </si>
  <si>
    <t>Xu, W.; Zhao, Q.; Zhan, Y.; Wang, B.; Hu, Y.</t>
  </si>
  <si>
    <t>Found in: Scopus · DOI: 10.1007/s11276-021-02846-1</t>
  </si>
  <si>
    <t>Privacy protection during collaborative distributed association rule mining is an important research, which has been widely used in market prediction, medical research and other fields. In medical research, Domadiya et al. (Sadhana 43(8):127, 2018) focused on mining association rules from horizontally distributed healthcare data to diagnose heart disease. They claimed they proposed a more effective privacy-preserving distributed association rule mining (PPDARM) scheme. However, a serious security scrutiny of the scheme is performed, and we find it vulnerable to protect the support of the itemsets from any electronic health record (EHR) system, which is the most important parameter Domadiya et al. tried to protect. In this paper, we first present the cryptanalysis of the PPDARM scheme proposed by Domadiya et al. as well as some revised performance analyses. Then a new PPDARM scheme with less interactions is proposed to avert the shortcomings of Domadiya et al., using the homomorphic properties of the distributed Paillier cryptosystem to accomplish the cooperative computation. Our scheme allows the directed authority (miner) to obtain the final results rather than all cooperative EHR systems, in case of semi-honest but pseudo EHR systems. Moreover, security analysis and performance evaluation demonstrate our proposal is efficient and feasible. © 2021, The Author(s), under exclusive licence to Springer Science+Business Media, LLC, part of Springer Nature.</t>
  </si>
  <si>
    <t>R0144</t>
  </si>
  <si>
    <t>Homomorphic WiSARDs: Efficient Weightless Neural Network Training over Encrypted Data</t>
  </si>
  <si>
    <t>Neumann, L.; Guimarães, A.; Aranha, D.F.; Borin, E.</t>
  </si>
  <si>
    <t>Found in: Scopus · DOI: 10.1007/978-3-031-95767-3_12</t>
  </si>
  <si>
    <t>Homomorphic encryption (HE) enables privacy-preserving machine learning by allowing computation directly over encrypted data, and HE-based inference algorithms are already practical even for relatively large Convolutional Neural Networks (CNNs). Encrypted training, on the other hand, is still a major challenge, with current solutions taking up to weeks of computation. In this paper, we introduce a framework for training and inference on Weightless Neural Network (WNN) models over encrypted data. Compared to CNNs, we show (HE-based) WNNs offer much better performance with a relatively small accuracy loss. Our solution is based on new building blocks we introduce for the TFHE scheme that can be of independent interest. We achieve 91.71% accuracy on the MNIST dataset after only 3.5 min of encrypted training (multi-threaded), going up to 93.76% in 3.5 h. Compared to the state of the art on HE-based CNN training, Glyph (Lou et al., NeurIPS 2020), this represents a speedup of up to 1200 times with an accuracy loss of at most 5.4%. For the HAM10000 dataset, we achieve 67.85% accuracy in just 1.5 min, going up to 69.85% after 1 h, which represents a 0.65% accuracy improvement while being 60 times faster than Glyph. We also provide solutions for small-scale encrypted training. In a single thread using less than 200 MB of memory, we train over the entire Wisconsin Breast Cancer dataset in just 11 s achieving 97.3% accuracy. © The Author(s), under exclusive license to Springer Nature Switzerland AG 2025.</t>
  </si>
  <si>
    <t>R0145</t>
  </si>
  <si>
    <t>FEDMAD: A Privacy-Preserving Adaptive Federated Learning Framework with Robustness against Data Quality Variations</t>
  </si>
  <si>
    <t>Rateria, D.; Nishanth, M.; Rao, S.</t>
  </si>
  <si>
    <t>Found in: Scopus · DOI: 10.5815/ijcnis.2026.03.02</t>
  </si>
  <si>
    <t>Federated Learning (FL) enables collaborative model training on decentralized data, offering privacy advantages but struggling with data quality variations and adversarial attacks. This paper introduces FEDMAD (Federated Learning for Medical Data with Enhanced Defense), a novel framework designed to enhance robustness in such environments. FEDMAD integrates Homomorphic Encryption (HE) for model update privacy with a quality-aware aggregation mechanism based on a client’s local training loss (1/loss). Our key contribution is the robust aggregation of these quality scores using Median Absolute Deviation (MAD)-based clipping to defend against dishonest score reporting by adversaries. We evaluated FEDMAD on a real-world smoker prediction task using the TenSEAL HE library. Results demonstrate that FEDMAD’s quality-aware mechanism effectively mitigates the impact of noisy clients. More importantly, MAD-based score aggregation is essential for neutralizing dishonest score reporting attacks and preventing model collapse, a scenario where simpler percentile-based clipping fails. While FEDMAD shows significant resilience, our study highlights remaining challenges with sophisticated model poisoning attacks, suggesting directions for future research. © 2026, Modern Education and Computer Science Press. All rights reserved.</t>
  </si>
  <si>
    <t>R0146</t>
  </si>
  <si>
    <t>I. Federated Learning: Pushing Forward Machine Learning Without Scarifising Privacy</t>
  </si>
  <si>
    <t>Ghade, O.; Narad, S.</t>
  </si>
  <si>
    <t>Found in: Scopus · DOI: 10.1109/ICAIQSA64000.2024.10882458</t>
  </si>
  <si>
    <t>Federated learning is a new family of privacy-preserving machine learning, tackling at the same time the most demanding challenges set by data-driven systems. In this paper, we attempt to present a study on federated learning topics concerning the principles, architecture, and mechanisms for preserving privacy and the protection of information. We survey the challenges and bounds of FL, its communication efficiency, heterogeneity-driven issues, and tradeoffs between privacy and utility. We also relate real-world FL applications to healthcare, finance, and mobile computing. We continue to investigate current research and future directions of the federated learning research landscape, showing in this way that federated learning is really changing the machine learning field as it was known before, that it allows collaborative training of models without violating people's sensitive data. © 2024 IEEE.</t>
  </si>
  <si>
    <t>R0147</t>
  </si>
  <si>
    <t>Security and Privacy Concerns for Healthcare Wearable Devices and Emerging Alternative Approaches</t>
  </si>
  <si>
    <t>Boumpa, E.; Tsoukas, V.; Gkogkidis, A.; Spathoulas, G.; Kakarountas, A.</t>
  </si>
  <si>
    <t>Found in: Scopus · DOI: 10.1007/978-3-031-06368-8_2</t>
  </si>
  <si>
    <t>The wide use of wearable devices rises a lot of concerns about the privacy and security of personal data that are collected and stored by such services. This concern is even higher when such data is produced by healthcare monitoring wearable devices and thus the impact of any data leakage is more significant. In this work a classification of the wearable devices used for healthcare monitoring is conducted, and the most prominent relevant privacy and security issues and concerns are presented. Furthermore, a brief review of alternative approaches that can eliminate most of such issues, including federated learning, homomorphic encryption, and tinyML, is presented. The aim of this work is to present the privacy and security concerns in healthcare monitoring wearable devices, as well as some solutions in hot topics about these issues. © 2022, ICST Institute for Computer Sciences, Social Informatics and Telecommunications Engineering.</t>
  </si>
  <si>
    <t>R0148</t>
  </si>
  <si>
    <t>A Sustainable Decentralized Privacy-Preserving Multi-Class Cancer Classification Framework Using Horizontal Federated Learning</t>
  </si>
  <si>
    <t>A. Mangal; T. Vyas; R. Gupta</t>
  </si>
  <si>
    <t>Found in: IEEE · DOI: 10.1109/ICSCST70031.2026.11709751</t>
  </si>
  <si>
    <t>Cancer is one of the most commonly diagnosed health issue in these days. To detect cancer at an early stage and classify accurately, we train a model on a large dataset of 26 cancer types. In this manuscript, we introduce a multi-class cancer classification framework using Horizontal Federated Learning (HFL) for sustainable healthcare. It provides multiple clients to jointly train a multi-class cancer classification model without sharing any personal information. We incorporate Homomorphic Encryption (HE) before sharing weights with the global model. This process improves patient privacy and data security. We used four ImageNet-based models in our experiments: MobileNetV2, ResNet50, ResNet18, and EfficientNet_B0. We trained these models in a centralized setting and achieved the best accuracy with EfficientNet_B0 at 98.72%. We conducted 5 rounds of experiments in HFL setting, with and without HE, to evaluate accuracy. The highest global model test accuracy is 99.72% without HE, using MobileNetV2, and 99.78% with HE, using ResNet50. These results demonstrate that the proposed framework performs well and can classify all cancer types.</t>
  </si>
  <si>
    <t>R0149</t>
  </si>
  <si>
    <t>A Diabetes Prediction System Based on Federated Learning</t>
  </si>
  <si>
    <t>Liu, J.; Lu, X.; Yang, H.; Zhuang, L.</t>
  </si>
  <si>
    <t>Found in: Scopus; IEEE · DOI: 10.1109/BDICN55575.2022.00095</t>
  </si>
  <si>
    <t>In recent decades, with the rapid development of society, people's quality of life has improved, but the incidence of diseases such as diabetes has become more and more serious. According to authoritative literature, the occurrence of diabetes may be related to a person's age, living environment, living habits, genes, past medical history and other factors. We can get more accurate models through machine learning training on a large amount of data, but in order to protect patients' private information between different hospitals, it is impossible to conduct training directly through data transmission. In view of this situation, we propose a solution combining homomorphic encryption and federated learning, and design and implement a privacy-protected diabetes prediction system based on federated learning. The experimental results demonstrated that it broke the phenomenon of information isolation among hospitals and successfully collected patient information from different hospitals, which could not only improve the accuracy of the trained model, but also effectively protect the privacy of patients. Therefore, this work is very innovative and practical, and has strong practical and application significance under the current social background. It can provide solutions for diabetes treatment in the medical field in the future, and it is expected to provide new ideas for multi-party data combination in different fields in the future. © 2022 IEEE.</t>
  </si>
  <si>
    <t>R0150</t>
  </si>
  <si>
    <t>Challenging Federated Learning for Drug-Gene Interaction Prediction: A Comparative Study of FedAvg and FedProx Feasibility</t>
  </si>
  <si>
    <t>Mashrafi, M.J.; Ahamed Alif, H.; Haldar, U.; Rahman, M.M.; Alamgir Miah, M.; Hasan, M.H.</t>
  </si>
  <si>
    <t>Found in: Scopus; IEEE · DOI: 10.1109/ICIDCA66325.2025.11280589</t>
  </si>
  <si>
    <t>Drug-gene interaction (DGI) prediction is essential for precision medicine, but centralized model training raises privacy and regulatory concerns. This study uses two approaches to evaluate federated learning (FL) for modeling sparse bipartite drug-gene networks. The first integrates graph convolutional encoders with differential privacy and homomorphic encryption simulations to ensure data confidentiality. The second applies FedAvg and FedProx across simulated institutions, enhanced with gradient sparsification and quantization. Comparative experiments show that FL approaches underperform centralized models by 30-40% in ROC-AUC and incur significant communication costs under high sparsity. Differential privacy further reduces model expressiveness, and FedProx yields only marginal convergence improvement relative to FedAvg. These results indicate that, under extreme data heterogeneity and sparsity conditions, FL provides limited practical benefit for DGI tasks. Our findings highlight the trade-offs between privacy, scalability, and predictive performance, suggesting centralized architectures remain preferable for high-stakes biomedical applications.  © 2025 IEEE.</t>
  </si>
  <si>
    <t>R0151</t>
  </si>
  <si>
    <t>Efficient and Privacy-Preserving Neural Network Prediction Scheme with TEE</t>
  </si>
  <si>
    <t>Liu, X.; Zhu, H.; Wang, F.; Zheng, Y.; Liu, Z.</t>
  </si>
  <si>
    <t>Found in: Scopus; IEEE · DOI: 10.1109/ICC45041.2023.10278683</t>
  </si>
  <si>
    <t>With the rapid development of machine learning, MLaaS has infiltrated into many fields such as image recognition, natural language processing, medical diagnosis, and so on. However, in MLaaS, data interaction between users and service providers is inevitable, and both users' private data and servers' model parameters are at risk of privacy disclosure. In order to solve this problem, homomorphic encryption is an extensively used technique to process private information over ciphertexts. However, since homomorphic encryption only supports linear operations, approximation techniques are required to calculate nonlinear functions, which leads to the loss of prediction accuracy and heavy computation overhead. Therefore, in this paper, we propose a secure neural network prediction scheme combining the trusted execution environment and homomorphic encryption with different security assumptions. Specifically, we first define the security model of TEE-assisted neural network prediction. Then, by combining a lightweight homomorphic encryption technique with TEE, we design secure neural network prediction protocols under different security levels, with which neural network prediction can be securely processed with high performance and accuracy. Finally, we evaluate the performance of our scheme on the MNIST, Fashion-MNIST, and KMNIST datasets, and the results demonstrate that our scheme indeed improves the prediction efficiency and accuracy compared to traditional homomorphic encryption-based schemes with polynomial approximation.  © 2023 IEEE.</t>
  </si>
  <si>
    <t>R0152</t>
  </si>
  <si>
    <t>SA-GA: Surrogate-Assisted Genetic Algorithm for Optimizing Activation Function Approximations in Privacy-Preserving EEG Classification Networks</t>
  </si>
  <si>
    <t>Debie, E.; Harshita, H.</t>
  </si>
  <si>
    <t>Found in: Scopus · DOI: 10.1007/978-3-032-15635-8_32</t>
  </si>
  <si>
    <t>Electroencephalography (EEG) data is highly sensitive, requiring strong privacy protection in brain–computer interfaces and neurological diagnosis. Homomorphic encryption enables secure EEG classification with deep neural networks, but standard activation functions (e.g., ReLU) are incompatible with encrypted arithmetic, causing severe computational overhead. Polynomial approximations mitigate this issue yet fail to capture EEG’s distinctive spectral patterns, temporal dynamics, and inter-subject variability. We propose a surrogate-assisted genetic algorithm (SA-GA) to optimize activation function approximations for encrypted deep learning models. SA-GA uses fixed-length chromosome encoding and a Gaussian Process surrogate to efficiently search the approximation space while avoiding costly encrypted evaluations. Applied to motor imagery classification (BCI Competition IV Dataset 2a), our method achieves 89.7% accuracy—7.2% higher than conventional polynomial approaches—while remaining feasible for real-time use. This enables practical, privacy-preserving deployment of EEG deep learning systems in clinical and BCI applications. © The Author(s), under exclusive license to Springer Nature Switzerland AG 2026.</t>
  </si>
  <si>
    <t>R0153</t>
  </si>
  <si>
    <t>Privacy-Preserving and Energy-Saving Random Forest-Based Disease Detection Framework for Green Internet of Things in Mobile Healthcare Networks</t>
  </si>
  <si>
    <t>Alex, S.; Jagalchandran, D.K.; Pattathil, D.P.</t>
  </si>
  <si>
    <t>Found in: Scopus; IEEE · DOI: 10.1109/TDSC.2023.3347342</t>
  </si>
  <si>
    <t>The privacy of medical data and resource restrictions in the Internet of Things (IoT) nodes prohibit medical users from utilizing disease detection (DD) services offered by the health cloud in the mobile healthcare network (MHN). Also, health clouds may need the DD procedures to be private. Therefore, the essential requirements for MHN DD services are (i) performing accurate and fast DD without jeopardizing the privacy of health clouds and medical users and (ii) reducing the computational and transmission overhead (energy-consumption) of the green IoT devices while performing privacy-preserving DD. The outsourced privacy-preserving DD is available in the literature based on popular tree-based machine learning schemes such as a random forest. However, these schemes utilize energy-hungry public-key encryption schemes in IoT nodes at medical users for privacy preservation. This work proposes an energy-efficient, fully homomorphic modified Rivest scheme (FHMRS) for the proposed privacy-preserving random forest classification (PRFC). A secure integer comparison protocol is also developed for reducing processing time and energy consumption for users while performing outsourced PRFC. The implementation results and security analysis show that the proposed schemes guarantee better energy efficiency for MHN green IoT devices without compromising privacy than the existing tree-based schemes.  © 2004-2012 IEEE.</t>
  </si>
  <si>
    <t>R0154</t>
  </si>
  <si>
    <t>Privacy-Preserving Collective Learning with Homomorphic Encryption</t>
  </si>
  <si>
    <t>Paul, J.; Annamalai, M.S.M.S.; Ming, W.; Badawi, A.A.; Veeravalli, B.; Aung, K.M.M.</t>
  </si>
  <si>
    <t>Found in: Scopus; IEEE · DOI: 10.1109/ACCESS.2021.3114581</t>
  </si>
  <si>
    <t>Deep learning models such as long short-term memory (LSTM) are valuable classifiers for time series data like hourly clinical statistics. However, access to health data is challenging due to privacy and legal issues. Homomorphic encryption (HE) offers a potential solution by encrypting confidential data. However, the computational complexity of encrypted operations makes it infeasible for training with gradient descent. Prior works only deal with encrypted procedures during the inference phase of the network. To this end, we design Collective Learning protocol, a secure protocol for sharing classified time-series data within entities to train parameters of the binary classifier model partially. The protocol encrypts each data's feature activations using HE and trains the last layers using encrypted logistic regression. We evaluate our protocol on a benchmark LSTM network trained on the Medical Information Mart for Intensive Care (MIMIC-III) dataset. We selected the Cheon-Kim-Kim-Song (CKKS) encryption scheme because of its ability to work with real numbers using approximate arithmetic. Our protocol improved the area under the precision-recall curve (AUPRC) score of the in-hospital mortality prediction model. The same protocol was reimplemented using secure multi-party computation (MPC) and compared.  © 2013 IEEE.</t>
  </si>
  <si>
    <t>R0155</t>
  </si>
  <si>
    <t>A Verifiable Privacy-Preserving Outsourced Prediction Scheme Based on Blockchain in Smart Healthcare</t>
  </si>
  <si>
    <t>Li, T.; Tian, Y.; Xiong, J.; Wang, L.</t>
  </si>
  <si>
    <t>Found in: Scopus; IEEE · DOI: 10.1109/Healthcom56612.2023.10472342</t>
  </si>
  <si>
    <t>The swift progression of the Internet of Things and the extensive integration of machine learning have spurred the growth of intelligent healthcare. Many intelligent healthcare devices, limited by their own computing and storage resources, require outsourcing data analysis tasks to cloud platforms for efficient and accurate results. Unfortunately, malicious cloud services lead to privacy breaches in outsourced data and untrustworthiness in learning models. To address these challenges, this paper proposes a verifiable privacy-preserving outsourced prediction scheme based on blockchain in smart healthcare (VPOL). Specifically, by incorporating blockchain technology into VPOL, we build a robust and scalable framework to prevent falsification of outsourced data and learning models in a decentralized and transparent manner. Then, we design a training committee approach to ensure the reliability of outsourced prediction and employ homomorphic encryption and commitment scheme to protect the privacy and integrity of the data. Finally, theoretical analysis proves the effectiveness and security of VPOL. Sufficient experiments demonstrate that VPOL achieves the approximate accuracy of the plaintext. © 2023 IEEE.</t>
  </si>
  <si>
    <t>R0156</t>
  </si>
  <si>
    <t>An advanced data fabric architecture leveraging homomorphic encryption and federated learning</t>
  </si>
  <si>
    <t>Rieyan, S.A.; News, M.R.K.; Rahman, A.B.M.M.; Khan, S.A.; Zaarif, S.T.J.; Alam, M.G.R.; Hassan, M.M.; Ianni, M.; Fortino, G.</t>
  </si>
  <si>
    <t>Found in: Scopus · DOI: 10.1016/j.inffus.2023.102004</t>
  </si>
  <si>
    <t>Data fabric is an automated and AI-driven data fusion approach to accomplish data management unification without moving data to a centralized location for solving complex data problems. In a Federated learning architecture, the global model is trained based on the learned parameters of several local models that eliminate the necessity of moving data to a centralized repository for machine learning. This paper introduces a secure approach for medical image analysis using federated learning and partially homomorphic encryption within a distributed data fabric architecture. With this method, multiple users or clients (hospitals/medical data centers) can collaborate in training a machine-learning model without exchanging raw data. The approach complies with laws and regulations such as HIPAA and GDPR, ensuring the privacy and security of the data. The study demonstrates the method's effectiveness through a case study on pituitary tumor classification, achieving a significant accuracy of 83.31%. However, the primary focus of the study is using the data fabric architecture to securely store and analyze medical images while complying with HIPAA and GDPR regulations. The results highlight the potential of these techniques to be applied to other privacy-sensitive domains and contribute to the growing body of research on secure and privacy-preserving machine learning. © 2023 Elsevier B.V.</t>
  </si>
  <si>
    <t>R0157</t>
  </si>
  <si>
    <t>Federated Learning in Healthcare: Improving Collaboration and Privacy</t>
  </si>
  <si>
    <t>Kovačević, A.</t>
  </si>
  <si>
    <t>Found in: Scopus · DOI: 10.1007/978-981-96-3077-6_28</t>
  </si>
  <si>
    <t>Federated learning (FL) represents an innovative approach to addressing data-sharing challenges within the healthcare sector. With increasing demands for privacy, security, and regulatory compliance, centralized collection of patient data is becoming more problematic. FL allows healthcare institutions to develop machine learning (ML) models without the need to share raw data, thereby advancing personalized medicine, diagnostics, and patient monitoring. This paper explores the role of FL in healthcare, particularly in improving health outcomes using data from various sources such as electronic health records (EHR), medical imaging, wearable devices, and Internet of medical things (IoMT) systems. Additionally, technical challenges related to security, privacy, and client reliability are discussed, along with potential solutions such as Differential Privacy, Homomorphic Encryption, and Secure Multi-Party Computation. © The Author(s), under exclusive license to Springer Nature Singapore Pte Ltd. 2025.</t>
  </si>
  <si>
    <t>R0158</t>
  </si>
  <si>
    <t>Block-Chain Based Multi-Layer Encryption Method for the Secure Storage of Healthcare Data in Cloud Environments</t>
  </si>
  <si>
    <t>Suresh, R.; Dayana, T.R.N.</t>
  </si>
  <si>
    <t>Found in: Scopus · DOI: 10.14445/22315381/IJETT-V73I5P115</t>
  </si>
  <si>
    <t>Remote diagnostic processes in electronic healthcare require patient health information. Hospitals, healthcare facilities, and insurance companies must all securely exchange this medical data as the demand to fully utilize them develops. However, maintaining the ownership and integrity of this data is difficult due to third-party access and potential manipulation. Standard cryptography systems may handle a variety of issues, including multi-tenant setups, secure key management, and real-time data processing. By providing a multi-layered, machine learning (ML) based dynamic encryption solution intended for cloud environments, this contemporary cryptographic technique aims to overcome these issues. The proposed approach combines homomorphic encryption (HE), attribute-based encryption (ABE), and blockchain-assisted key management (BAKM) into a single framework. The framework utilizes digital contrasts to facilitate access control, and data can only be accessed and interpreted by authorized entities. The recommended method provides a complete solution for protecting medical data in cloud environments while permitting safe and easy data sharing between patients, researchers, and hospitals, notwithstanding the privacy trade-off. A secure and reliable digital healthcare environment is made possible by this strategy. © 2025 Seventh Sense Research Group®</t>
  </si>
  <si>
    <t>R0159</t>
  </si>
  <si>
    <t>EPDR: An Efficient and Privacy-Preserving Disease Research System with Horizontal Federated Learning in the Internet of Medical Things</t>
  </si>
  <si>
    <t>Yang, Y.; He, D.; Wang, J.; Feng, Q.; Luo, M.</t>
  </si>
  <si>
    <t>Found in: Scopus · DOI: 10.22967/HCIS.2024.14.007</t>
  </si>
  <si>
    <t>The combination of machine learning (ML) and the Internet of Medical Things has emerged as one of the most critical modes for disease diagnoses and treatments. As the medical data in IoMT is sensitive, it is urgent to protect the data privacy when training a ML model. Therefore, researchers are exploring federated learning (FL), a distributed ML framework that enables participants to model together without sharing data. Nevertheless, existing works neglect to verify the reliability of the participants, the integrity, and the credibility of messages. In this situation, the attackers can inject malicious messages to reduce FL results’ accuracy. In this paper, we focus on horizontal FL (HFL) with the natural paradigm of “IoT nodes (INs) - edge nodes (ENs) - center server” and propose an efficient and privacy-preserving disease research (EPDR) system. In EPDR, to verify the reliability of the participants, we apply a new digital signature scheme with message recovery. To protect the privacy of participants, we split the messages and transmit them through the ENs to hide the relationship between the messages and the INs. To ensure confidentiality, integrity, and credibility of messages, we use a linear homomorphic encryption scheme and the message authentication code. The security analysis demonstrates that our proposal can preserve privacy and resist the member inference attack, model inversion attack, and impersonation attack. The performance analysis shows that our proposal has lower computation and communication costs than current methods. © (2024) Korea Information Processing Society.</t>
  </si>
  <si>
    <t>R0160</t>
  </si>
  <si>
    <t>PRIVACY-PRESERVING BIOMETRIC AUTHENTICATION: FINGERPRINT ENCRYPTION AND SECURE FEATURE EXTRACTION</t>
  </si>
  <si>
    <t>Li, D.; Chen, L.; Zhong, Y.; Lian, J.</t>
  </si>
  <si>
    <t>Found in: Scopus · DOI: 10.30546/1683-6154.25.2.2026.349</t>
  </si>
  <si>
    <t>This study proposes a secure fingerprint authentication framework specifically de-signed for Medical Cyber-Physical Systems (MCPS) environments to enable clinician authentication for medical equipment such as ventilators, infusion pumps, radiology systems, and remote healthcare infrastructures while ensuring secure and accurate user identification. The proposed framework consists of the following key stages: Data preprocessing, feature extraction, privacy-preserving protection using homomorphic encryption and secure multi-party computation, and Secure Hash Algorithm-3 (SHA-3), followed by authentication through a Transformer-based classifier for accurate and efficient fingerprint matching. To further enhance performance, a Hybrid Quantum Swarm Optimization Algorithm (HQSOA) is employed for optimal feature selection and hyperparameter tuning. The system is deployable across device controllers, nurse workstations, hospital edge servers, and cloud telemedicine services, ensuring low-latency, secure communication for repeated clinical workflows. Experimental evaluation on FVC2002, FVC2004, and LivDet 2015 datasets demonstrates superior performance in accuracy, FAR, FRR, and EER, and processing efficiency. © 2026, Institute of Applied Mathematics of Baku State University. All rights reserved.</t>
  </si>
  <si>
    <t>R0161</t>
  </si>
  <si>
    <t>Poster Abstract: CNN-guardian: Secure Neural Network Inference Acceleration on Edge GPU</t>
  </si>
  <si>
    <t>Xie, Q.; Yang, H.; Jiang, L.; Zhao, Z.; Jiang, S.; Shen, S.; Khan, S.; Liu, Z.; Wu, K.</t>
  </si>
  <si>
    <t>Found in: Scopus · DOI: 10.1145/3625687.3628394</t>
  </si>
  <si>
    <t>The rapid development of AI applications powered by deep learning in edge devices boosts the opportunity for real-time health monitoring. To address the potential privacy concern in the inference phase, homomorphic encryption (HE) is an alternative solution that encrypts inference data without exposing raw data and has several distinct advantages, (i.e., single-round communication, lightweight bandwidth consumption, and non-interactive computation). However, the computational overhead on the current HE-based privacy-preserving inference necessitates a substantial amount of time, which is not feasible for some real-time applications on edge devices. To address this issue, we propose CNN-guardian, a unified and compact neural network structure for real-time inference in HE-based inference on edge GPU. CNN-guardian designs a HE-friendly neural network and GPU engine that optimizes HE operations to accelerate the inference in the HE domain.  © 2023 Copyright is held by the owner/author(s). Publication rights licensed to ACM.</t>
  </si>
  <si>
    <t>R0162</t>
  </si>
  <si>
    <t>A Secure and Scalable Federated Learning Framework for Healthcare IoMT Applications</t>
  </si>
  <si>
    <t>V. Pavani; C. Bhumika; P. Jahnavia; P. Deepthi; M. Chaithanya</t>
  </si>
  <si>
    <t>Found in: IEEE · DOI: 10.23919/CCICTCPS00010.2026.00096</t>
  </si>
  <si>
    <t>The fast development of the Internet of Medical Things (IoMT) has greatly revolutionized contemporary healthcare by allowing real-time patient monitoring, diagnosis, and treatment due to the interconnecting medical devices and smart sensors. Nevertheless, the issue of privacy, security, and scalability of patient data is crucially important when considering healthcare data analysis through the conventional centralized machine learning methods because of the necessity to transfer To overcome these issues, the paper introduces a proposal of a Secure and Scalable Federated Learning Framework of Healthcare IoMT (SSFL-HIoMT) that allows multiple medical tools and healthcare organizations to collaboratively train machine learning models without exchanging raw patient data. Within the suggested scheme, federated learning would enable local IoMT devices to train models using their local datasets and transfer encrypted model updates to a central server, thus maintaining the confidentiality of patients. In order to improve even more securities and privacy protection, the framework incorporates homomorphic encryption and differentially privacy to ensure that the update to the model and avoids data leakage when performing the aggregation process. Also, a verification layer is integrated through a blockchain-based platform to guarantee transparency, traceability, and trust between involved healthcare parties by storing transactions of model updates through a secure system. The edge and fog computing architectures are also used in the framework to enhance scalability, minimize the communication overhead, and facilitate efficient computations in heterogeneous IoMT settings. Experimental analyses reveal that the proposed SSFL-HIoMT framework has a superior model accuracy, better privacy protection, lower communication cost and greater security attack resistance than the current federated learning frameworks, including FEEL, FedCure and FedCare. Thus, the presented solution is an effective and trustworthy way to ensure privacy-saving collaborative healthcare analytics and contribute to the creation of safe and smart IoMT-based healthcare systems.</t>
  </si>
  <si>
    <t>R0163</t>
  </si>
  <si>
    <t>Secure Federated Learning for Parkinson's Disease: Non-IID Data Partitioning and Homomorphic Encryption Strategies</t>
  </si>
  <si>
    <t>Tanim, S.A.; Aurnob, A.R.; Mridha, M.F.; Safran, M.; Alfarhood, S.; Che, D.</t>
  </si>
  <si>
    <t>Found in: Scopus · DOI: 10.1109/ACCESS.2024.3454690</t>
  </si>
  <si>
    <t>In this paper, we explore methods to enhance both the performance and privacy of federated learning models by implementing two key techniques: homomorphic encryption and attention-based fusion. Federated learning which involves client-side training of models using multiple users data suffers from its drawbacks such as privacy issues and the variability of data across different users, known as data heterogeneity. To address these challenges, we introduce a Secure Federated Learning (SFL) algorithm. This approach avoids problems associated with Non-Independent and Identically Distributed (Non-IID) data by the introduced prosed partitioning method of datasets and then using homomorphic encryption for securely summing encrypted model parameters. Additionally, we use attention-based fusion techniques to boost model accuracy and robustness. The experiments performed on the PD-BioStampRC21 dataset with a focus on the disease's progression demonstrated significant improvements in accuracy and robustness compared to traditional methods. We evaluated our approach using metrics such as accuracy and assessed the model's consistency before and after encryption. The results validate the resemblance and efficacy of the encryption process while indicating the possibility of reliable and fast implementation of federated learning in clinical scenarios. Overall, we present an impactful and comprehensive framework focusing on privacy-preserving model averaging in practice with case studies in healthcare and other sensitive contexts. © 2013 IEEE.</t>
  </si>
  <si>
    <t>R0164</t>
  </si>
  <si>
    <t>Secured machine learning using Approximate homomorphic scheme for healthcare</t>
  </si>
  <si>
    <t>Gowri, S.S.; Sadasivam, S.; Priya, N.H.; Deva Priyan, T.A.</t>
  </si>
  <si>
    <t>Found in: Scopus; IEEE · DOI: 10.1109/ICISCoIS56541.2023.10100547</t>
  </si>
  <si>
    <t>Medical disease prediction is a boon after the growth of the medical learning on the recent years The potential for Machine Learning (ML) to boost productivity is significant. To achieve good outcomes, the data quality for training ML models must be great. Any ML algorithm only performs well when it is provided with a tonne of high-quality training data. In order to obtain such high-quality data, several organizations collaborate. It is crucial to uphold data privacy and confidentiality while obtaining data from many patients of different regions. In specific the medical data should be dealt with importance and should be secured to prevent data breach. The proposed work uses CKKS approximate homomorphic encryption scheme to preserve privacy in data when it is fed into the machine learning models. Homomorphic features allow calculations on encrypted data to be done without any privacy leaks, and the user can safely decode the results. This paper proposes a secure mechanism to store and process medical records using homomorphic encryption scheme. The suggested method uses a logistic regression model that was trained using the pima indian diabetes dataset. © 2023 IEEE.</t>
  </si>
  <si>
    <t>R0165</t>
  </si>
  <si>
    <t>PACT: Enhancing Privacy and Efficiency in Tree Evaluation via Secure Parallel Comparison and Oblivious Tree Aggregation</t>
  </si>
  <si>
    <t>Zhao, J.; Zhu, H.; Zhang, J.; Wang, F.; Zheng, Y.; Li, H.</t>
  </si>
  <si>
    <t>Found in: Scopus; IEEE · DOI: 10.1109/TIFS.2026.3723094</t>
  </si>
  <si>
    <t>As a classical type of machine learning algorithms, tree models have been widely employed in various fields, such as financial analysis and health diagnostics, offering high-accuracy and low-latency prediction services to users. However, tree evaluation also raises significant privacy concerns, particularly with respect to the tree model and the query sample, while the existing private decision tree evaluation schemes are unable to reach a good trade-off between privacy and efficiency in practice. Therefore, in this paper, we propose an efficient and privacy-preserving tree evaluation scheme based on additive homomorphic encryption, namely PACT. Specifically, PACT introduces an innovative algorithm by leveraging the overflow characteristic of two’s complement to support AHE-based parallel comparison, and it utilizes the lightweight homomorphic addition to select tree paths non-interactively. Meanwhile, we carefully design perturbation and shuffle methods to enhance model and sample privacy. The security of PACT is verified based on the ideal-real paradigm. Experimental results on real-world and synthetic datasets demonstrate the lossless accuracy and superior running efficiency of PACT. © 2005-2012 IEEE.</t>
  </si>
  <si>
    <t>R0166</t>
  </si>
  <si>
    <t>Secure Personalized Federated Learning Based on Oblivious Transfer</t>
  </si>
  <si>
    <t>Cao, Y.; Odiathevar, M.; Seah, W.K.G.; Xu, G.; Zhang, F.</t>
  </si>
  <si>
    <t>Found in: Scopus; IEEE · DOI: 10.1109/ICCCN65249.2025.11133849</t>
  </si>
  <si>
    <t>Federated learning(FL) is a machine learning paradigm designed to protect data privacy and security among multiple clients. It is widely used in industries such as healthcare, finance, and insurance. However, common personalization techniques such as clustering, data augmentation, and knowledge distillation often increase privacy risks or incur high computational costs with methods like homomorphic encryption. To address these challenges, this paper proposes the Secure Personalized Federated Learning (SPFL) algorithm, combining Clustered Federated Learning (CFL) and Oblivious Transfer (OT). Using the Affinity Propagation (AP) clustering algorithm, SPFL groups clients by model similarity to create personalized global models without additional information sharing. OT has achieved efficient delivery of security models. Experimental results show SPFL enhances security, adapts to Non-Independent and Identically Distributed (Non-IID) data, improves global model accuracy by more than 6.5%, and reduces the overall running time under three alpha values by more than 19.82% compared to Paillier encryption. © 2025 IEEE.</t>
  </si>
  <si>
    <t>R0167</t>
  </si>
  <si>
    <t>PCD: A privacy-preserving predictive clinical decision scheme with E-health big data based on RNN</t>
  </si>
  <si>
    <t>Lin, J.; Niu, J.; Li, H.</t>
  </si>
  <si>
    <t>Found in: Scopus; IEEE · DOI: 10.1109/INFCOMW.2017.8116480</t>
  </si>
  <si>
    <t>As large amount of e-health data is generated exponentially, recurrent neural networks (RNN) can be utilized to make predictive clinical decision which is helpful to improve diagnosis accuracy and reduce diagnosis time. However, it is still a challenging task to guarantee the information security and solve the privacy concerns. We design a new Privacy-preserving Predictive Clinical Decision scheme based on RNN, called PCD, that can predict and alert before diseases occur while preserving the privacy of patients. In PCD, we utilize a homomorphic encryption scheme, so no e-health data will be leaked. PCD could resist various security threats. We design a sequential and an averaged RNN model in real-time systems that is capable to improve prediction accuracy. The experimental results illustrate that our scheme achieves high disease prediction accuracy and time efficiency while protecting privacy of patients. © 2017 IEEE.</t>
  </si>
  <si>
    <t>R0168</t>
  </si>
  <si>
    <t>A Practical Implementation of Medical Privacy-Preserving Federated Learning Using Multi-Key Homomorphic Encryption and Flower Framework</t>
  </si>
  <si>
    <t>Walskaar, I.; Tran, M.C.; Catak, F.O.</t>
  </si>
  <si>
    <t>Found in: Scopus · DOI: 10.3390/cryptography7040048</t>
  </si>
  <si>
    <t>The digitization of healthcare data has presented a pressing need to address privacy concerns within the realm of machine learning for healthcare institutions. One promising solution is federated learning, which enables collaborative training of deep machine learning models among medical institutions by sharing model parameters instead of raw data. This study focuses on enhancing an existing privacy-preserving federated learning algorithm for medical data through the utilization of homomorphic encryption, building upon prior research. In contrast to the previous paper, this work is based upon Wibawa, using a single key for HE, our proposed solution is a practical implementation of a preprint with a proposed encryption scheme (xMK-CKKS) for implementing multi-key homomorphic encryption. For this, our work first involves modifying a simple “ring learning with error” RLWE scheme. We then fork a popular federated learning framework for Python where we integrate our own communication process with protocol buffers before we locate and modify the library’s existing training loop in order to further enhance the security of model updates with the multi-key homomorphic encryption scheme. Our experimental evaluations validate that, despite these modifications, our proposed framework maintains a robust model performance, as demonstrated by consistent metrics including validation accuracy, precision, f1-score, and recall. © 2023 by the authors.</t>
  </si>
  <si>
    <t>R0169</t>
  </si>
  <si>
    <t>HealthSenseFusion for Healthcare Industry: IoT based Integrated Model for Remote Monitoring and Disease Prediction</t>
  </si>
  <si>
    <t>Sailaja, P.; Dinesh, A.; Blossom, L.</t>
  </si>
  <si>
    <t>Found in: Scopus; IEEE · DOI: 10.1109/GITCON65266.2025.11376742</t>
  </si>
  <si>
    <t>The rapid advancement of IoT-driven healthcare monitoring has enabled real-time disease prediction and patient management. HealthSenseFusion is an integrated AI model that leverages edge computing, federated learning, and deep learning to enhance remote healthcare monitoring and anomaly detection. The model was evaluated across multiple health conditions, achieving an accuracy of 94.2% for cardiovascular disease detection, 92.8% for respiratory disorders, 91.5% for diabetes monitoring, and 96.1% for general anomaly detection. By integrating Convolutional Neural Networks (CNNs) and Bidirectional Long Short-Term Memory (Bi-LSTM) with an attention mechanism, HealthSenseFusion significantly improves prediction accuracy, inference speed, and computational efficiency. In comparison with existing models, HealthSenseFusion reduced inference time by 50% and improved privacy compliance with federated learning and homomorphic encryption. The real-time anomaly detection module demonstrated 96.5% accuracy in identifying sudden heart rate drops and 97.1% accuracy in detecting abnormal SpO2 fluctuations. Additionally, early intervention using this system reduced mortality rates by up to 54.5% in diabetic complications and 48.4% in cardiac arrest cases. With its optimized energy efficiency (10W power consumption) and low-cost processing ($1.00 per 1000 predictions), HealthSenseFusion presents a scalable, secure, and highly accurate healthcare monitoring solution for real-world deployment. © 2025 IEEE.</t>
  </si>
  <si>
    <t>R0170</t>
  </si>
  <si>
    <t>Privacy-Preserving Federated Learning for Skin Cancer Detection Using Homomorphic Encryption and Advanced Deep Learning Techniques</t>
  </si>
  <si>
    <t>Ebadinezhad, S.; Ahmed, N.A.</t>
  </si>
  <si>
    <t>The paper presents discussions on privacy-preserving federated learning integrated with homomorphic encryption towards healthcare frameworks. This paper will further develop scalable, robust, and practical models for preserving privacy within federated learning. The interest of this work is in protecting sensitive medical information during model training on Skin Cancer MNIST: HAM10000 with a pre-trained ImageNet model based on ResNet50 architecture. Enabling the TenSEAL library will be performed in this context for data augmentation and homomorphic encryption. A federated learning framework is implemented where a few clients are trained on the model of their local dataset while keeping the data privacy via encryption. Our proposed PPFL-E for the detection of skin cancer achieved an extraordinary test accuracy of 91%, with further benefits achieved through augmentation and tuning of hyperparameters. Performance is computed in terms of a set of key performance metrics: confusion matrix, classification report, and temporal model performance. Compared to the state-of-the-art, our approach shows very significant advantages in both privacy and accuracy. From these results, one may expect the huge potential of homomorphic encryption for significantly boosting data privacy and security in healthcare, allowing complex, efficient, federated learning applications for medical domains. © (2025), (International Association of Engineers). All rights reserved.</t>
  </si>
  <si>
    <t>R0171</t>
  </si>
  <si>
    <t>Computationally Efficient CKKS-Based Homomorphic Deep Learning for Privacy-Preserving Medical Image Classification</t>
  </si>
  <si>
    <t>Nikam, S.S.; Kulkarni, N.</t>
  </si>
  <si>
    <t>Found in: Scopus · DOI: 10.59543/jidmis.v3.482</t>
  </si>
  <si>
    <t>The high rate of deep learning application in medical image analysis has made significant contribution to automated diagnosis, screening and clinical decision support. Nonetheless, sensitive patient information poses significant privacy, regulatory, and governance risks that tend to restrain widespread implementation of intelligent healthcare systems. Fully Homomorphic Encryption (FHE) is a highly effective solution because it provides the possibility to perform the computation with encrypted data without revealing the plaintext. This article introduces: a computationally efficient privacy preserving classification of medical images securely over chest X-ray images. The suggested system combines the Cheon-Kim-Kim-Song (CKKS) homomorphic encryption algorithm, realized with the help of the TenSEAL library, and a small convolutional neural network (CNN) that is used to diagnose three classes of patients with COVID-19, Normal, and Viral Pneumonia cases. The framework includes standardized preprocessing, class-balancing augmentation, encrypted data processing, trusted-zone inference, and implementation, which is deployment-oriented. Moreover, mathematical basis of CKKS and architecture of the classifier are developed systematically to be clear and reproducible methodologically. Experimental analysis on a balanced public chest X-ray dataset shows high prediction potential with accuracy 97.13%, precision 97.08%, recall 97.15%, F1-score 97.11%, specificity 98.57% and AUC 0.9968. Operationally, the system has an average secure prediction latency of 111.7 ms/sample and the entire secure pipeline is 296.3 ms/sample, which confirms that the system is practically feasible in the field. The findings determine that diagnostic performance and strict protection of privacy are not conflicting goals. This work provides a viable way to trustworthy artificial intelligence in healthcare by integrating cryptographic protection, computational effectiveness, and deployable deep learning. © 2026, Nexora Academic Press. All rights reserved.</t>
  </si>
  <si>
    <t>R0172</t>
  </si>
  <si>
    <t>Analysing speech for clinical applications</t>
  </si>
  <si>
    <t>Trancoso, I.; Correia, J.; Teixeira, F.; Raj, B.; Abad, A.</t>
  </si>
  <si>
    <t>Found in: Scopus · DOI: 10.1007/978-3-030-00810-9_1</t>
  </si>
  <si>
    <t>The boost in speech technologies that we have witnessed over the last decade has allowed us to go from a state of the art in which correctly recognizing strings of words was a major target, to a state in which we aim much beyond words. We aim at extracting meaning, but we also aim at extracting all possible cues that are conveyed by the speech signal. In fact, we can estimate bio-relevant traits such as height, weight, gender, age, physical and mental health. We can also estimate language, accent, emotional and personality traits, and even environmental cues. This wealth of information, that one can now extract with recent advances in machine learning, has motivated an exponentially growing number of speech-based applications that go much beyond the transcription of what a speaker says. In particular, it has motivated many health related applications, namely aiming at non-invasive diagnosis and monitorization of diseases that affect speech. Most of the recent work on speech-based diagnosis tools addresses the extraction of features, and/or the development of sophisticated machine learning classifiers [5, 7, 12–14, 17]. The results have shown remarkable progress, boosted by several joint paralinguistic challenges, but most results are obtained from limited training data acquired in controlled conditions. This talk covers two emerging concerns related to this growing trend. One is the collection of large in-the-wild datasets and the effects of this extended uncontrolled collection in the results [4]. Another concern is how the diagnosis may be done without compromising patient privacy [18]. As a proof-of-concept, we will discuss these two aspects and show our results for two target diseases, Depression and Cold, a selection motivated by the availability of corresponding lab datasets distributed in paralinguistic challenges. The availability of these lab datasets allowed us to build a baseline system for each disease, using a simple neural network trained with common features that have not been optimized for either disease. Given the modular architecture adopted, each component of the system can be individually improved at a later stage, although the limited amount of data does not motivate us to exploit deeper networks. Our mining effort has been focused on video blogs (vlogs), that include a single speaker which, at some point, admits that he/she is currently affected by a given disease. Retrieving vlogs with the target disease involves not only a simple query (i.e. depression vlog), but also a post-filtering stage to exclude videos that do not correspond to our target of first person, present experiences (lectures, in particular, are relatively frequent). This filtering stage combines multimodal features automatically extracted from the video and its metadata, using mostly off-the-shelf tools. We collected a large dataset for each target disease from YouTube, and manually labelled a small subset which we named the in-the-Wild Speech Medical (WSM) corpus. Although our mining efforts made use of relatively simple techniques using mostly existing toolkits, they proved effective. The best performing models achieved a precision of 88% and 93%, and a recall of 97% and 72%, for the datasets of Cold and Depression, respectively, in the task of filtering videos containing these speech affecting diseases. We compared the performance of our baseline neural network classifiers trained with data collected in controlled conditions in tests with corresponding in-the-wild data. For the Cold datasets, the baseline neural network achieved an Unweighted Average Recall (UAR) of 66.9% for the controlled dataset, and 53.1% for the manually labelled subset of the WSM corpus. For the Depression datasets, the corresponding values were 60.6%, and 54.8%, respectively (at interview level, the UAR increased to 61.9% for the vlog corpus). The performance degradation that we had anticipated for using in-the-wild data may be due to a greater variability in recording conditions (p.e. microphone, noise) and in the effects of speech altering diseases in the subjects’ speech. Our current work with vlog datasets attempts to estimate the quality of the predicted labels of a very large set in an unsupervised way, using noisy models. The second aspect we addressed was patient privacy. Privacy is an emerging concern among users of voice-activated digital assistants, sparkled by the awareness of devices that must be always in the listening mode. Despite this growing concern, the potential misuse of health related speech based cues has not yet been fully realized. This is the motivation for adopting secure computation frameworks, in which cryptographic techniques are combined with state-of-the-art machine learning algorithms. Privacy in speech processing is an interdisciplinary topic, which was first applied to speaker verification, using Secure Multi-Party Computation, and Secure Modular Hashing techniques [1, 15], and later to speech emotion recognition, also using hashing techniques [6]. The most recent efforts on privacy preserving speech processing have followed the progress in secure machine learning, combining neural networks and Full Homomorphic Encryption (FHE) [3, 8, 9]. In this work, we applied an encrypted neural network, following the FHE paradigm, to the problem of secure detection of pathological speech. This was done by developing an encrypted version of a neural network, trained with unencrypted data, in order to produce encrypted predictions of health-related labels. As proof-of-concept, we used the same two above mentioned target diseases, and compared the performance of the simple neural network classifiers with their encrypted counterparts on datasets collected in controlled conditions. For the Cold dataset, the baseline neural network achieved a UAR of 66.9%, whereas the encrypted network achieved 66.7%. For the Depression dataset, the baseline value was 60.6%, whereas the encrypted network achieved 60.2% (67.9% at interview level). The slight difference in results showed the validity of our secure approach. This approach relies on the computation of features on the client side before encryption, with only the inference stage being computed in an encrypted setting. Ideally, an end-to-end approach would overcome this limitation, but combining convolutional neural networks with FHE imposes severe limitations to their size. Likewise, the use of recurrent layers such as LSTMs (Long Short Term Memory) also requires a number of operations too large for current FHE frameworks, making them computationally unfeasible as well. FHE schemes, by construction, only work with integers, whilst neural networks work with real numbers. By using encoding methods to convert real weights to integers we are throwing away the capability of using an FHE batching technique that would allow us to compute several predictions, at the same time, using the same encrypted value. Recent advances in machine learning have pushed towards the “quantization” and“discretization” of neural networks, so that models occupy less space and operations consume less power. Some works have already implemented these techniques using homomorphic encryption, such as Binarized Neural Networks [10, 11, 16] and Discretized Neural Networks [2]. The talk will also cover our recent efforts in applying this type of approach to the detection of health related cues in speech signals, while discretizing the network and maximizing the throughput of its encrypted counterpart. More than presenting our recent work in these two aspects of speech analysis for medical applications, this talk intends to point to different directions for future work in these two relatively unexplored topics that were by no means exhausted in this summary. © 2018, Springer Nature Switzerland AG.</t>
  </si>
  <si>
    <t>R0173</t>
  </si>
  <si>
    <t>Homomorphic encryption-based fault diagnosis in IoT-enabled industrial systems</t>
  </si>
  <si>
    <t>Kim, H.; Son, Y.; Byun, J.</t>
  </si>
  <si>
    <t>Found in: Scopus · DOI: 10.1007/s10207-025-01005-3</t>
  </si>
  <si>
    <t>In IoT-enabled industrial environments, ensuring the privacy and security of operational data is paramount for fault diagnosis systems. This study presents a novel framework that seamlessly integrates homomorphic encryption (HE) with deep learning to achieve secure and efficient fault diagnosis for industrial bearings. By performing computations directly on encrypted sensor data, the framework guarantees full data confidentiality throughout the diagnostic process without requiring decryption. Key technical contributions of this work include the development of a minimax polynomial approximation for ReLU activations, which enhances diagnostic accuracy while preserving efficiency, and the design of an efficient 1D convolution method that combines two existing HE convolution techniques for optimal performance. Additionally, the framework incorporates frequency-domain optimizations using the Discrete Fourier Transform (DFT), which significantly enhance processing efficiency. The proposed model was trained on the CWRU bearing dataset and validated on a private dataset, achieving a diagnostic accuracy of 95.92%, comparable to state-of-the-art models operating on plaintext data. Furthermore, the DFT-based optimizations reduced inference time by nearly threefold while maintaining superior accuracy, underscoring the framework’s potential to provide secure and efficient fault diagnosis for industrial applications. © The Author(s), under exclusive licence to Springer-Verlag GmbH Germany, part of Springer Nature 2025.</t>
  </si>
  <si>
    <t>R0174</t>
  </si>
  <si>
    <t>Scalable and secure logistic regression via homomorphic encryption</t>
  </si>
  <si>
    <t>Aono, Y.; Hayashi, T.; Phong, L.T.; Wang, L.</t>
  </si>
  <si>
    <t>Found in: Scopus · DOI: 10.1145/2857705.2857731</t>
  </si>
  <si>
    <t>Logistic regression is a powerful machine learning tool to classify data. When dealing with sensitive data such as private or medical information, cares are necessary. In this paper, we propose a secure system for protecting the training data in logistic regression via homomorphic encryption. Perhaps surprisingly, despite the non-polynomial tasks of training in logistic regression, we show that only additively homomorphic encryption is needed to build our system. Our system is secure and scalable with the dataset size.</t>
  </si>
  <si>
    <t>R0175</t>
  </si>
  <si>
    <t>HIPAA-Compliant Hybrid Cloud for EHR Mortality and Readmission Risk Prediction</t>
  </si>
  <si>
    <t>Warrier, A.; Abhilash K, S.</t>
  </si>
  <si>
    <t>Found in: Scopus; IEEE · DOI: 10.1109/ICIDCA66325.2025.11280400</t>
  </si>
  <si>
    <t>The rapid digitization of healthcare has transformed how patient data is collected, stored, and utilized, bringing both opportunities and challenges for modern medical systems. With hospitals relying on Electronic Health Records (EHRs), predictive models are vital for clinical outcomes and timely intervention. Yet, deploying EHRs in shared environments raises serious challenges of privacy, regulatory compliance, and secure management of sensitive patient information. This study introduces a HIPAA (Health Insurance Portability and Accountability Act)-compliant hybrid cloud framework that integrates homomorphic encryption with logistic regression for privacy-preserving EHR analysis. The architecture employs the Cheon-Kim-Kim-Song (CKKS) scheme, enabling computations to be performed directly on encrypted data without decryption. Sensitive patient records remain encrypted within the private cloud, while encrypted computations are securely carried out in the public cloud. Logistic regression functions as the predictive model in the public cloud, delivering outcomes on mortality and readmission risk. Once decrypted in the private cloud, predictions are mapped back to patients, and clinicians are alerted through secure hospital systems. Experimental evaluation demonstrates the robustness of the framework, achieving an accuracy of 98.7% for mortality prediction and 98.3% for readmission risk, with precision, recall, and F1-scores consistently above 96%. The findings confirm that the system balances predictive accuracy with robust data protection, offering a practical framework for secure AI in healthcare that supports proactive decisions while preserving patient confidentiality.  © 2025 IEEE.</t>
  </si>
  <si>
    <t>R0176</t>
  </si>
  <si>
    <t>Federated Learning for Privacy-Preserving Medical Prediction with Quality-Aware Aggregation</t>
  </si>
  <si>
    <t>Anwar, M.S.; Khan, A.N.; Raihan, M.</t>
  </si>
  <si>
    <t>Found in: Scopus · DOI: 10.1109/ICCIT68739.2025.11491342</t>
  </si>
  <si>
    <t>Federated Learning enables collaborative medical research while keeping patient data local. However, transmitting model updates poses a significant risk of gradient leakage. Additionally, standard aggregation methods (e.g., FedAvg) typically imply an average of all clients' learning, treating all clients as equally credible. Hence, they are prone to client drift in heterogeneous, Non-Independent and Identically Distributed environments, where inconsistent or biased updates may degrade global model performance. To solve these challenges, this paper presents a secure, quality-aware federated learning framework that preserves client update confidentiality via homomorphic encryption and enables the server to perform quality-based aggregation over model learning in encrypted form. To address heterogeneous, non-IID data, the framework integrates the standard FSMMG algorithm for variance reduction, achieving 98.77% accuracy on a publicly available brain tumor dataset. These results demonstrate that secure, quality-aware federated learning achieved higher accuracy while preserving data privacy and robustness among heterogeneous clients. © 2025 IEEE.</t>
  </si>
  <si>
    <t>R0177</t>
  </si>
  <si>
    <t>Linear Support Vector Regression in Cloud Computing on Data Encrypted using Paillier Cryptosystem</t>
  </si>
  <si>
    <t>Sari, A.K.; Prasetya, F.M.W.</t>
  </si>
  <si>
    <t>Found in: Scopus; IEEE · DOI: 10.1109/ISRITI48646.2019.9034657</t>
  </si>
  <si>
    <t>The use of linear support vector regression on private data in cloud computing must consider data privacy. Homomorphic encryption is an approach to address the problem. However, most of the existing approaches still use inefficient fully homomorphic encryption, in which both the training data and the testing data must be encrypted using the same public key. This leads to the repetition of the training process. The problem is addressed in this paper by applying partially homomorphic encryption using Paillier cryptosystem. Operations in linear support vector regression are modified so that they can be applied to process encrypted data. The model is used to predict the motor and total UPDRS (Unified Parkinson's Disease Rating Scale) scores. To assess the performance of the model, the MRSE (Mean Root Square Error) of the prediction on encrypted data is then compared with the MRSE of the prediction on unencrypted data. The evaluation shows that the MRSE of the prediction on encrypted data is exactly the same as that on unencrypted data, which proves that the modification on the operations in linear support vector regression has been done correctly. © 2019 IEEE.</t>
  </si>
  <si>
    <t>R0178</t>
  </si>
  <si>
    <t>Secured Data Transmission in IoT using Homomorphic Encryption</t>
  </si>
  <si>
    <t>Suganya, S.; Ramasamy, K.; Srinivasan, A.; Suba, M.; Kalaichelvi, V.; Swaminathan, S.</t>
  </si>
  <si>
    <t>The IoT systems transfer highly sensitive data in a network and majority of the people needs IoT technology in real time applications like smart home, smart health care etc., A number of security algorithms exists to protect the IoT systems but with some time complexity. Deep learning is considered to be an efficient technique to analyze threats and respond to attacks and security incidents instantly and accurately. Conditional Generative Adversarial Network (CGAN) is one of the deep learning technique that protects data based on conditions created by generator and discriminator models. CGANs are useful for getting features of choice in generated data. This work use the CGAN feasibility to controllable the data encryption and decryption part in GAN network. This work solve the time complexity issues using Algebraic Matrix in Conditional GAN (AMCGAN) and Fully Homomorphic Encryption (FHE) algorithm. The advantage of using algebraic matrix is to reduce the time complexity and input complexity in cryptography process. It performs both addition and multiplication at the same time, and can compute any operation instantly. There are many encryption techniques used to encrypt the data but the same time they have more time to decrypt the result. Because the mathematical evaluation are complex to derived in encryption part and otherwise. So, this work considered to address the time complexity problem by solving the easiest mathematical derivations in encryption and decryption part. Also we noticed that the fully homomorphic encryption algorithm have less encryption time compared to Chaotic Algorithm and it has minimal time complexity than existing algorithms such as RSA algorithm. © 2022, Ismail Saritas. All rights reserved.</t>
  </si>
  <si>
    <t>R0179</t>
  </si>
  <si>
    <t>MEDHST: Secure spatiotemporal EHR analytics with fine-grained access control for IoMT</t>
  </si>
  <si>
    <t>Li, Y.; Chen, J.; Ji, D.; Deng, Q.</t>
  </si>
  <si>
    <t>Found in: Scopus · DOI: 10.1016/j.sysarc.2025.103606</t>
  </si>
  <si>
    <t>Within the Internet of Medical Things (IoMT), wearables and edge sensors continuously stream physiological data with precise spatiotemporal labels, producing spatiotemporal electronic health records (EHRs) at scale. Offloading raw telemetry to the cloud burdens analytics and storage and raises compliance and profiling risks. We present MEDHST, an edge-first framework that secures the IoMT analytics pipeline end-to-end with fine-grained access control. Each timestamp–grid block is protected with labeled additive homomorphic encryption (LabHE) for encrypted range aggregation. Per-dimension first-difference masking with constrained pseudorandom function (cPRF)-derived seeds enables constant-time verify-then-decrypt for axis-aligned windows. A hierarchical quadtree-dyadic index together with a homomorphic MAC (HoMAC) binds each answer to a fresh nonce and its query context, providing end-to-end integrity. Least-privilege sharing uses ciphertext-policy attribute-based encryption (CP-ABE)-wrapped range seeds to support epoch-bounded revocation and logarithmic-size authorization headers, without exposing plaintext indices. On a gateway-class platform, MEDHST returns constant-size answers and maintains O(1) client verify-then-decrypt work; cryptographic paths run in the μs regime with a predictable ≈2× integrity overhead; end-to-end latency remains 1−2ms across window sizes; and ingest scales to tens of millions of blocks. Collectively, these properties establish MEDHST as a practical, scalable, and verifiable security layer for privacy-preserving IoMT analytics from device to cloud. © 2025 Elsevier B.V.</t>
  </si>
  <si>
    <t>R0180</t>
  </si>
  <si>
    <t>PPSDT: A novel privacy-preserving single decision tree algorithm for clinical decision-support systems using IoT devices</t>
  </si>
  <si>
    <t>Alabdulkarim, A.; Al-Rodhaan, M.; Ma, T.; Tian, Y.</t>
  </si>
  <si>
    <t>Found in: Scopus; PubMed · DOI: 10.3390/s19010142 · PMID: 30609816</t>
  </si>
  <si>
    <t>Medical service providers offer their patients high quality services in return for their trust and satisfaction. The Internet of Things (IoT) in healthcare provides different solutions to enhance the patient-physician experience. Clinical Decision-Support Systems are used to improve the quality of health services by increasing the diagnosis pace and accuracy. Based on data mining techniques and historical medical records, a classification model is built to classify patients’ symptoms. In this paper, we propose a privacy-preserving clinical decision-support system based on our novel privacy-preserving single decision tree algorithm for diagnosing new symptoms without exposing patients’ data to different network attacks. A homomorphic encryption cipher is used to protect users’ data. In addition, the algorithm uses nonces to avoid one party from decrypting other parties’ data since they all will be using the same key pair. Our simulation results have shown that our novel algorithm have outperformed the Naïve Bayes algorithm by 46.46%; in addition to the effects of the key value and size on the run time. Furthermore, our model is validated by proves, which meet the privacy requirements of the hospitals’ datasets, frequency of attribute values, and diagnosed symptoms. © 2019 by the authors. Licensee MDPI, Basel, Switzerland.</t>
  </si>
  <si>
    <t>R0181</t>
  </si>
  <si>
    <t>Privacy-Aware Hybrid Federated-Homomorphic Learning Framework for Secure Medical Healthcare Diagnostics</t>
  </si>
  <si>
    <t>Mukiri, R.R.; Satyanarayana, G.S.; Amarnath Babu, S.</t>
  </si>
  <si>
    <t>Found in: Scopus · DOI: 10.1109/IDCIoT67589.2026.11455703</t>
  </si>
  <si>
    <t>The government and business have been closely watching healthcare industry improvements related to the IoT because of the potential they hold to improve patient diagnosis and research. Privacy and security are major issues with healthcare data due to its sensitive nature, especially when user data needs to be sent to data centres for data mining. A privacy-aware healthcare architecture based on federated learning is proposed in this paper to address these difficulties. It allows various entities to work together to train a global Privacy Aware Healthcare model without disclosing personal information. An innovative deep learning architecture called Enhanced Ghost BiNet, which combines GhostNet with the BiGRU is used by the framework to safely train local models. The model is fine-tuned using the CAh algorithm after data is cleaned and features are extracted using cuckoos. The suggested FL-CAh-HE technique is highly effective, as shown experimentally by its 99.05% detection precision. In essence, our research shows that in privacy-aware healthcare settings, federated learning, deep learning, and advanced optimisation methods may work together to improve detection accuracy, safeguard patient privacy, and guarantee secure information exchange. © 2026 IEEE.</t>
  </si>
  <si>
    <t>R0182</t>
  </si>
  <si>
    <t>Application of Homomorphic Encryption in Machine Learning Based Chronic Kidney Disease Prediction</t>
  </si>
  <si>
    <t>Gogoi, P.; Valan, J.A.</t>
  </si>
  <si>
    <t>Found in: Scopus; IEEE · DOI: 10.1109/WCONF61366.2024.10692276</t>
  </si>
  <si>
    <t>Chronic Kidney Disease (CKD) is a silent but progressive illness that can lead to kidney failure if not detected early. Machine learning (ML) classifiers offer a promising avenue for early detection, but the sensitive nature of healthcare data requires stringent privacy measures. This paper proposes a novel approach that leverages homomorphic encryption to securely predict CKD using ML algorithms. We first conduct a literature review on homomorphic encryption in healthcare systems and CKD prediction using ML. We then preprocess the CKD dataset, which includes 400 samples with 24 features, and apply feature selection using mutual information. Next, we build a logistic regression model on plaintext CKD training data and use it to conduct predictive analysis on encrypted test data. We encrypt the test data using Paillier homomorphic encryption, enabling computations on the encrypted data without decryption. Our experimental results demonstrate the effectiveness of the proposed approach. Using the logistic regression model trained on plaintext data, we achieve accuracies of up to 98.75% on encrypted test data, while preserving patient privacy. This study highlights the potential of homomorphic encryption in enhancing patient privacy and data security in healthcare applications, particularly in CKD prediction. © 2024 IEEE.</t>
  </si>
  <si>
    <t>R0183</t>
  </si>
  <si>
    <t>Privacy-preserving federated neural network learning for disease-associated cell classification</t>
  </si>
  <si>
    <t>Sav, S.; Bossuat, J.-P.; Troncoso-Pastoriza, J.R.; Claassen, M.; Hubaux, J.-P.</t>
  </si>
  <si>
    <t>Found in: Scopus; PubMed · DOI: 10.1016/j.patter.2022.100487 · PMID: 35607628</t>
  </si>
  <si>
    <t>Training accurate and robust machine learning models requires a large amount of data that is usually scattered across data silos. Sharing or centralizing the data of different healthcare institutions is, however, unfeasible or prohibitively difficult due to privacy regulations. In this work, we address this problem by using a privacy-preserving federated learning-based approach, PriCell, for complex models such as convolutional neural networks. PriCell relies on multiparty homomorphic encryption and enables the collaborative training of encrypted neural networks with multiple healthcare institutions. We preserve the confidentiality of each institutions’ input data, of any intermediate values, and of the trained model parameters. We efficiently replicate the training of a published state-of-the-art convolutional neural network architecture in a decentralized and privacy-preserving manner. Our solution achieves an accuracy comparable with the one obtained with the centralized non-secure solution. PriCell guarantees patient privacy and ensures data utility for efficient multi-center studies involving complex healthcare data. © 2022 The Authors</t>
  </si>
  <si>
    <t>R0184</t>
  </si>
  <si>
    <t>RAHAS: Reliable, Privacy-Aware Human Activity Sensing</t>
  </si>
  <si>
    <t>Aryendu, I.; Wang, Y.</t>
  </si>
  <si>
    <t>Found in: Scopus · DOI: 10.1145/3803414</t>
  </si>
  <si>
    <t>Over the years, there has been an increase in the use of wearable sensors for high-precision Human Activity Recognition (HAR), ranging from personal fitness to remote patient monitoring. However, the continuous collection of biometric information poses a privacy risk, potentially leading to user profiling and data misuse. Today’s state-of-the-art approaches use standard encryption techniques to protect data in transit but leave it vulnerable during computation. For accurate HAR while maintaining the privacy of users’ data during collaborative analysis, we propose a hybrid, domain-agnostic framework that integrates Homomorphic Encryption (HE) with Secure Multi-Party Computation (SMPC). The proposed approach enables healthcare providers and device manufacturers to collaboratively analyze data without ever disclosing raw biometrics by utilizing HE for data encryption and secret sharing for collaborative computation. While this framework applies to general HAR scenarios, it will be crucially useful in the high-stakes domain of eldercare, where data privacy and regulatory compliance are critical. Reliable, Privacy-Aware Human Activity Sensing (RAHAS) achieved 89.24± 0.95% accuracy when tested on the widely used PAMAP2 dataset for HAR. Our analysis demonstrates that our privacy-preserving design provides side-channel resilience while maintaining utility comparable to clear-text baselines. © 2026 Copyright held by the owner/author(s).</t>
  </si>
  <si>
    <t>R0185</t>
  </si>
  <si>
    <t>BlockFed: Blockchain-based privacy preserving federated learning for 5G-assisted healthcare ecosystems</t>
  </si>
  <si>
    <t>Verma, A.; Pathak, S.; Bhattacharya, P.</t>
  </si>
  <si>
    <t>Found in: Scopus · DOI: 10.1007/s10586-026-06355-8</t>
  </si>
  <si>
    <t>With the rapid evolution of Fifth Generation (5G) networks and the surge of digital healthcare data, ensuring privacy, trust, and low-latency learning across medical institutions has become imperative. This paper presents BlockFed, a blockchain-enabled federated learning (FL) framework that safeguards patient health records (PHR) while enabling collaborative intelligence among healthcare entities. In BlockFed, model training occurs locally at hospitals or diagnostic centers, and only encrypted model updates secured through additive homomorphic encryption are shared. The blockchain layer records update hashes via smart contracts, ensuring immutability, verifiability, and access control, while the InterPlanetary File System (IPFS) offloads encrypted weights to minimize on-chain storage overhead. To maintain real-time responsiveness, a Practical Byzantine Fault Tolerance (PBFT) consensus ensures sub-second finality and deterministic security in 5G-assisted environments. Experimental results on brain MRI datasets demonstrate that BlockFed achieves 95.1% classification accuracy, comparable to centralized models (96.3%), with only a marginal 1.2% trade-off in accuracy. The framework reduces communication cost by 84.5% and achieves a total computation delay of approximately 309 ms per update transaction, validating its efficiency for low-latency healthcare scenarios. BlockFed thus offers a scalable, verifiable, and privacy-preserving foundation for next-generation 5G healthcare ecosystems. © The Author(s), under exclusive licence to Springer Science+Business Media, LLC, part of Springer Nature 2026.</t>
  </si>
  <si>
    <t>R0186</t>
  </si>
  <si>
    <t>Towards Privacy-Preserving Deep Learning based Medical Imaging Applications</t>
  </si>
  <si>
    <t>Vizitiu, A.; Niţǎ, C.I.; Puiu, A.; Suciu, C.; Itu, L.M.</t>
  </si>
  <si>
    <t>Found in: Scopus · DOI: 10.1109/MeMeA.2019.8802193</t>
  </si>
  <si>
    <t>Following the reports of breakthrough performances, machine learning based applications have become very popular in the medical field. However, with the recent increase in concerns related to data privacy, and the publication of specific regulations (e.g. GDPR), the development and, thus, exploitation of deep learning based applications in clinical decision making processes, has been rendered impossible in many cases. Herein, we describe and evaluate an approach that employs Fully Homo-morphic Encryption for allowing computations to be performed on sensitive data. Specifically, the solution exploits the MORE scheme and does not disclose patient data. The chosen encryption scheme increases the runtime only marginally and, importantly, allows for operations to be performed directly on floating point numbers, which represents a critical property for artificial neural networks. The feasibility and performance are first evaluated on a standard benchmarking application (MNIST digit classification). Next, we considered a medical imaging application, i.e. classification of coronary views in X-ray angiography. The reported results indicate that the proposed solution has great potential: (i) computational results are indistinguishable from those obtained with the unencrypted variants of the deep learning based applications, and (ii) run times increase only marginally. Finally, we also discuss in detail security concerns, and emphasize that the proposed solution may be employed in several practical applications, while still significant limitations remain to be solved in future work. © 2019 IEEE.</t>
  </si>
  <si>
    <t>R0187</t>
  </si>
  <si>
    <t>A Lightweight Privacy-Preserving Federated Learning Framework for Heterogeneity-Resilient Skin Cancer Diagnosis</t>
  </si>
  <si>
    <t>Lin, J.; Chen, J.; Xiong, J.; Jiao, D.; Zhao, W.; Xiang, Y.</t>
  </si>
  <si>
    <t>Found in: Scopus; PubMed; IEEE · DOI: 10.1109/JBHI.2025.3578125 · PMID: 40489276</t>
  </si>
  <si>
    <t>Machine Learning (ML) demonstrates dermatologist level accuracy in skin cancer diagnosis, yet its practical adoption is constrained by data silos and privacy issues. While Federated Learning (FL) addresses these limitations, it remains susceptible to data heterogeneity and gradient leakage attacks. To overcome these challenges, we introduce a privacy-preserving FL framework tailored for encrypted dermoscopic image analysis. Our proposed framework integrates a Fully Homomorphic Encryption (FHE)-enabled variant of Stochastic Controlled Averaging (SCA), enhancing model convergence with Non-IID data. To further minimize computational and communication overhead, we develop a layer-wise Packed FHE (PFHE) approach that improves the efficiency of encrypted model aggregation. Moreover, we design a lightweight, FHE-Friendly Deep Neural Network (DNN) optimized for encrypted inference. This architecture incorporates a DO-EncConv module specifically engineered to balance inference efficiency and precision within FHE computational constraints. Experimental results on the HAM10000 and ISIC2019 datasets confirm the effectiveness of our proposed framework, demonstrating F1-Score improvements of 2.2% and 4.0%, respectively, over baseline FL approaches. Additionally, our method achieves communication overhead reductions of 94.85% and 93.48%, while encrypted inference is performed in approximately 17.8 seconds per sample, with less than 2% accuracy degradation compared to centralized plaintext models. These outcomes underscore the framework's practicality and effectiveness for secure, scalable clinical deployment.  © 2013 IEEE.</t>
  </si>
  <si>
    <t>R0188</t>
  </si>
  <si>
    <t>Integrating Deep Learning and Homomorphic Encryption for Secure Image Transmission</t>
  </si>
  <si>
    <t>Suvitha, B.; Murugan, D.</t>
  </si>
  <si>
    <t>Found in: Scopus · DOI: 10.53759/7669/jmc202404111</t>
  </si>
  <si>
    <t>This paper introduces a novel approach to securing medical image transmission through the integration of deep learning techniques into cryptographic processes. Leveraging the capabilities of Backpropagation (BP), Convolutional Neural Networks (CNN), Residual Networks (ResNet), and Generative Adversarial Network (GAN), our method aims to enhance the privacy and security of medical images in real-time applications like telemedicine. The proposed system focuses on optimizing performance metrics including Peak Signal-to-Noise Ratio (PSNR), Root Mean Square Error (RMSE), Structural Similarity Index Measure (SSIM), Mean Average Precision (MAP), and encryption speed. Through experimental evaluation, our approach demonstrates promising results in terms of encryption efficiency and preservation of image quality. By addressing the critical need for secure transmission methods in healthcare, this research contributes to advancing the field of medical image cryptography and lays the groundwork for further exploration in deep learning-based security solutions for healthcare data. ©2024 The Authors.</t>
  </si>
  <si>
    <t>R0189</t>
  </si>
  <si>
    <t>Achieving Privacy-Preserving Online Diagnosis With Outsourced SVM in Internet of Medical Things Environment</t>
  </si>
  <si>
    <t>Xie, B.; Xiang, T.; Liao, X.; Wu, J.</t>
  </si>
  <si>
    <t>Found in: Scopus; IEEE · DOI: 10.1109/TDSC.2021.3119897</t>
  </si>
  <si>
    <t>Online diagnosis is one of the data services, which can use the machine learning model placed on the cloud and collected physical data from internet of medical things (IoMT) for better medical services. However, the collected user data, diagnosis results and the deployed machine learning model contain sensitive information of users and the healthcare provider, which may lead to serious privacy leakage. To achieve a secure outsourced diagnosis, both high security and low burden for users should be considered. However, the existing works can not solve these problems simultaneously. In this article, based on two non-colluding servers, a privacy-preserving cloud-aided diagnosis scheme for IoMT is proposed. Concretely, a hybrid data encryption method based on homomorphic encryption and AES is used to generate user requests in an efficient way. Besides, we propose a class of secure two-party protocols using homomorphic encryption, such as secure kernel function computation, secure multiplication, and secure comparison, and a privacy-preserving diagnosis scheme based on multi-class SVM with these building blocks is constructed, which can keep users offline in the diagnosis process. Finally, the security analysis and evaluation further illustrate that our scheme is superior to the prior works in terms of security and user-friendliness.  © 2004-2012 IEEE.</t>
  </si>
  <si>
    <t>R0190</t>
  </si>
  <si>
    <t>Highly Accurate CNN Inference Using Approximate Activation Functions over Homomorphic Encryption</t>
  </si>
  <si>
    <t>Ishiyama, T.; Suzuki, T.; Yamana, H.</t>
  </si>
  <si>
    <t>Found in: Scopus; IEEE · DOI: 10.1109/BigData50022.2020.9378372</t>
  </si>
  <si>
    <t>In the big data era, cloud-based machine learning as a service (MLaaS) has attracted considerable attention. However, when handling sensitive data, such as financial and medical data, a privacy issue emerges, because the cloud server can access clients' raw data. A common method of handling sensitive data in the cloud uses homomorphic encryption, which allows computation over encrypted data without decryption. Previous research adopted a low-degree polynomial mapping function, such as the square function, for data classification. However, this technique results in low classification accuracy. This study seeks to improve the classification accuracy for inference processing in a convolutional neural network (CNN) while using homomorphic encryption. We apply various orders of the polynomial approximations of Google's Swish and ReLU activation functions. We also adopt batch normalization to normalize the inputs for the approximated activation functions to fit the input range to minimize the error. We implemented CNN inference labeling over homomorphic encryption using the Microsoft's Simple Encrypted Arithmetic Library (SEAL) for the Cheon-Kim-Kim-Song (CKKS) scheme. The experimental evaluations confirmed classification accuracies of 99.29% and 81.06% for MNIST and CIFAR-10, respectively, which entails 0.11% and 4.69% improvements, respectively, over previous methods. © 2020 IEEE.</t>
  </si>
  <si>
    <t>R0191</t>
  </si>
  <si>
    <t>Machine unlearning through model forgetting techniques: application area and emerging methods</t>
  </si>
  <si>
    <t>Buyuktanir, B.; Kucur, E.; Kuyumcu, Z.; Ozdemir, N.; Altinkaya, S.; Baydogmus, G.K.; Yildiz, K.</t>
  </si>
  <si>
    <t>Found in: Scopus · DOI: 10.1007/s10586-026-06300-9</t>
  </si>
  <si>
    <t>This study presents a comprehensive literature review on Machine Unlearning (MU), which aims to eliminate the influence of specific data samples from trained machine learning models under the “right to be forgotten” framework mandated by the European Union GDPR and similar regulations. This study presents a systematic literature review of MU research published between 2020 and 2025. More than 170 publications were reviewed. A taxonomy of centralized and Federated Unlearning(FU) methods is proposed, along with four main categories (Exact, Approximate, Certified, and Verifiable Unlearning). Findings are summarized across benchmark datasets, including MNIST, CIFAR-10, CIFAR-100, ImageNet, IMDB, AG News, MovieLens, as well as healthcare and finance related tabular datasets. Across these benchmarks, prior studies consistently report that approximate unlearning methods offer substantial computational advantages over full retraining while maintaining competitive model utility, whereas certified methods provide stronger formal guarantees at the cost of increased computational overhead. However, these deployments present important security risks like membership inference, data poisoning, malicious forgetting requests, data re-engineering, and model inversion attacks, as well as significant engineering challenges related to energy efficiency, communication overhead, and scalability constraints in IoT systems. The study also reviews privacy-enhancing approaches that integrate differential privacy, homomorphic encryption, secure computation, trusted computing environments, and access control mechanisms into the unlearning process. The viability of regulatory compliance is analyzed from a sectoral viewpoint in terms of ethics, justice, and accountability, especially in high-security industries like healthcare and finance. These factors highlight the necessity of scalable, verifiable, attack-resistant, and resource-efficient MU techniques for privacy-preserving AI. © The Author(s), under exclusive licence to Springer Science+Business Media, LLC, part of Springer Nature 2026.</t>
  </si>
  <si>
    <t>R0192</t>
  </si>
  <si>
    <t>Fast and Scalable Private Genotype Imputation Using Machine Learning and Partially Homomorphic Encryption</t>
  </si>
  <si>
    <t>Sarkar, E.; Chielle, E.; Gursoy, G.; Mazonka, O.; Gerstein, M.; Maniatakos, M.</t>
  </si>
  <si>
    <t>Found in: Scopus; PubMed; IEEE · DOI: 10.1109/ACCESS.2021.3093005 · PMID: 34476144</t>
  </si>
  <si>
    <t>The recent advances in genome sequencing technologies provide unprecedented opportunities to understand the relationship between human genetic variation and diseases. However, genotyping whole genomes from a large cohort of individuals is still cost prohibitive. Imputation methods to predict genotypes of missing genetic variants are widely used, especially for genome-wide association studies. Accurate genotype imputation requires complex statistical methods. Due to the data and computing-intensive nature of the problem, imputation is increasingly outsourced, raising serious privacy concerns. In this work, we investigate solutions for fast, scalable, and accurate privacy-preserving genotype imputation using Machine Learning (ML) and a standardized homomorphic encryption scheme, Paillier cryptosystem. ML-based privacy-preserving inference has been largely optimized for computation-heavy non-linear functions in a single-output multi-class classification setting. However, having a large number of multi-class outputs per genome per individual calls for further optimizations and/or approximations specific to this application. Here we explore the effectiveness of linear models for genotype imputation to convert them to privacy-preserving equivalents using standardized homomorphic encryption schemes. Our results show that performance of our privacy-preserving genotype imputation method is equivalent to the state-of-the-art plaintext solutions, achieving up to 99% micro area under curve score, even on real-world large-scale datasets up to 80,000 targets. © 2013 IEEE.</t>
  </si>
  <si>
    <t>R0193</t>
  </si>
  <si>
    <t>Cryptanalysis and Improvement of DeepPAR: Privacy-Preserving and Asynchronous Deep Learning for Industrial IoT</t>
  </si>
  <si>
    <t>Chen, Y.; He, S.; Wang, B.; Duan, P.; Zhang, B.; Hong, Z.; Ping, Y.</t>
  </si>
  <si>
    <t>Found in: Scopus · DOI: 10.1109/JIOT.2022.3181665</t>
  </si>
  <si>
    <t>Industrial Internet of Things (IIoT) is gradually changing the mode of traditional industries with the rapid development of big data. Besides, thanks to the development of deep learning, it can be used to extract useful knowledge from the large amount of data in the IIoT to help improve production and service quality. However, the lack of large-scale data sets will lead to low performance and overfitting of learning models. Therefore, federated deep learning with distributed data sets has been proposed. Nevertheless, the research has shown that federated learning can also leak the private data of participants. In IIoT, once the privacy of participants in some special application scenarios is leaked, it will directly affect national security and people's lives, such as smart power grid and smart medical care. At present, several privacy-preserving federated learning schemes have been proposed to preserve data privacy of participants, but security issues prevent them from being fully applied. In this article, we analyze the security of the DeepPAR scheme proposed by Zhang et al., and point out that the scheme is insecure in the re-encryption key generation process, which will cause the leakage of the secret key of participants or the proxy server. In addition, the scheme is not resistant to collusion attacks between the parameter server and participants. Based on this, we propose an improved scheme. The security proof shows that the improved scheme solves the security problem of the original scheme and is resistant to collusion attacks. Finally, the security and accuracy of the scheme is illustrated by performance analysis.  © 2014 IEEE.</t>
  </si>
  <si>
    <t>R0194</t>
  </si>
  <si>
    <t>Federated Learning-Based Healthcare Model Ensuring Secure Transmission Using Cryptographic Technique</t>
  </si>
  <si>
    <t>Dalvi, A.S.; William, P.</t>
  </si>
  <si>
    <t>Found in: Scopus · DOI: 10.1109/IIPEM65914.2025.11548352</t>
  </si>
  <si>
    <t>The integration of Internet of Things (IoT) devices in healthcare has led to exponential growth in medical data generation, enabling real-time patient monitoring and intelligent diagnosis. However, transmitting and processing such sensitive data raises serious privacy, security, and ethical concerns. This research proposes a Federated Learning (FL)-based healthcare model combined with cryptographic techniques to ensure secure data transmission and model validation across distributed IoT networks. In this model, patient data remains locally on IoT-enabled medical devices, while only encrypted model updates are transmitted to a central server using homomorphic encryption and Elliptic Curve Cryptography (ECC). The central aggregator then performs secure model aggregation and validation without exposing raw data. Experimental validation conducted using the IoT Healthcare Sensor Dataset (vitals such as heart rate, oxygen saturation, and body temperature) demonstrates a model accuracy of 94.6% with 96.8% encryption efficiency and minimal latency overhead (4.3%). The proposed framework ensures that sensitive patient data never leaves the device in unencrypted form, addressing both data leakage and compliance issues (HIPAA, GDPR). This approach establishes a secure, privacy-preserving, and trustworthy infrastructure for real-time IoT healthcare analytics. © 2025 IEEE.</t>
  </si>
  <si>
    <t>R0195</t>
  </si>
  <si>
    <t>Edge-AI enabled secure IoT framework for real-time patient monitoring and anomaly detection in smart healthcare systems</t>
  </si>
  <si>
    <t>Karpagam, P.; Karthikeyan, M.; Kalpana, G.; Suresh, A.</t>
  </si>
  <si>
    <t>Found in: Scopus; PubMed · DOI: 10.1038/s41598-026-59602-8 · PMID: 42350501</t>
  </si>
  <si>
    <t>Hospitals desire knowledge of bedside sensors in real time but they do not wish to send everything to the cloud. We propose an Edge-AI framework used in the IoT environment that maintains intelligence as near as possible to the patient, and ensures privacy and a trusted audit trail. A quantized CNN-LSTM is run on-device to detect anomalies and protects data in transit and at rest (TLS plus lightweight homomorphic encryption), logs notable events to a private block chain to give an auditable, tamper-proof history, and improves models off-device using federated learning to ensure that raw patient data never reaches the cloud. Reply The framework was tested against a cloud-only baseline on the MIT-BIH Arrhythmia dataset and a live multi-sensor synthetic stream, beating it across all metrics: accuracy 94.7% versus 83.1% accuracy, median inference latency 118 ms versus 246 ms (a 52% reduction), daily communication overhead 36.2 MB versus 56.3 MB (a savings of 38.1%), and energy usage 1.21 mW/sample (near 22% energy efficiency improvement). Block chain logging endured 75 events/s, which helped medico-legal tractability. Federated rounds provided ~ 1.5–2.3 accuracy points per round across five rounds, whereas INT8 quantization reduced model size by ~ 74% with only a ~ 0.4 accuracy degrade-practical in Jetson-class edge devices. SHAP explanations accompany alerts to enable the establishment of clinical trust in the model by demonstrating why a case was flagged. In general, the framework provides a safe, decipherable, and standard-aligned course to hospital-scale implementation (&gt; 1,000 nodes) with quantifiable gains in responsiveness and bandwidth as well as power. © The Author(s) 2026.</t>
  </si>
  <si>
    <t>R0196</t>
  </si>
  <si>
    <t>BNN-based Privacy-aware Healthcare Data Analysis</t>
  </si>
  <si>
    <t>Ding, Y.; Li, S.</t>
  </si>
  <si>
    <t>Found in: Scopus · DOI: 10.1109/ES64449.2025.11136594</t>
  </si>
  <si>
    <t>Recent advances in Neural Networks have shown increasing success in analyzing healthcare data. But they also raise challenges to efficient computation and data privacy. This paper proposes a novel privacy preserving healthcare data analytics framework that, while ensuring privacy of medical data, supports efficient data analysis and requires fewer parameters by introducing Binary Neural Networks (BNN). Experimental results over dataset MedMNIST indicate that the proposed framework exhibits favorable performance across multiple healthcare datasets. The BNN model achieves high accuracy while retaining a minimal number of parameters. Furthermore, regarding privacy inference performance, it demonstrates shorter inference times and higher accuracy in comparison to current mainstream networks such as ResNet-20.  © 2025 IEEE.</t>
  </si>
  <si>
    <t>R0197</t>
  </si>
  <si>
    <t>Detection of nutrient deficiency in plants using radial basis function neural network with a modified adaptive Kalman filter</t>
  </si>
  <si>
    <t>Sathyan, A.; Palanisamy, P.</t>
  </si>
  <si>
    <t>Found in: Scopus · DOI: 10.14719/pst.8380</t>
  </si>
  <si>
    <t>The agriculture sector plays a significant role in the national GDP. Global agricultural industries employ advanced techniques for the early detection and characterisation of plant nutrient deficiencies to enhance crop yield. In most agriculture-dependent countries, economic growth is determined by the gross yield of entire plantations. Plants exhibit noticeable symptoms such as changes in leaf colouration, spotting, or altered growth patterns. These symptoms, including yellowing (chlorosis), browning, or stunted growth, indicate potential nutrient deficiencies. Monitoring these variations enables early detection of deficiencies before they significantly affect plant health. Early detection of nutrient deficiencies plays a pivotal role in achieving a speedy recovery from the disease, thereby assuring sufficient improvement in the plant’s yield. This article proposes a method for the early detection of nutrient deficiency in plants based on variations in leaf colour and pattern. It uses 54305 data points with three versions of the same images, differing in colour, greyscale and segmentation. Initially, image preprocessing is carried out using Fuzzy Histogram Equalization (FHE) and a modified adaptive Kalman filter to achieve better results. The preprocessed image datasets are then used to train the proposed Radial Basis Function Neural Network (RBFNN). The proposed RBFNN model demonstrates significant improvements (1.18-16.47 %) in accuracy, precision, specificity, sensitivity and F-score compared to conventional models. © The Author(s). This is an open-access article distributed under the terms of the Creative Commons Attribution License, which permits unrestricted use, distribution and reproduction in any medium, provided the original author and source are credited (https://creativecommons.org/licenses/by/4.0/)</t>
  </si>
  <si>
    <t>R0198</t>
  </si>
  <si>
    <t>SAFEDT: A Privacy-Preserving Decision Tree Inference Framework Using Homomorphic Encryption</t>
  </si>
  <si>
    <t>Wei, S.; Chen, Z.; Yu, Y.; Chen, X.</t>
  </si>
  <si>
    <t>Found in: Scopus · DOI: 10.46586/tches.v2026.i4.156-180</t>
  </si>
  <si>
    <t>With the increasing application of machine learning in sensitive domains such as healthcare, the demand for privacy-preserving techniques in decision tree inference has grown urgent. Traditional decision trees, when executed in untrusted environments, pose a risk of exposing sensitive data to untrusted parties. Therefore, we propose SAFEDT, a privacy-preserving decision tree inference framework based on homomorphic encryption (HE). To enable efficient homomorphic evaluation of comparison functions, we employ Chebyshev polynomials to approximate comparison functions and propose the Polynomial Degree Multi-Objective Optimization (PD-MOO) algorithm. PD-MOO dynamically adjusts the approximation strategy through layered hybrid-degree polynomials, enabling flexible adaptation to diverse tree structures while enhancing model accuracy and reducing ciphertext computation overhead. Furthermore, building on CKKS SIMD batching, we develop a parallel evaluation strategy based on column-wise packing and path splitting to tackle the computational inefficiency of HE, optimizing the inference process from root to leaf nodes and significantly reducing latency. Experiments on standard UCI datasets validate the effectiveness of SAFEDT. Results demonstrate that SAFEDT achieves impressive performance across multiple datasets, with accuracy reaching 99% on the Iris and Wine datasets, which represents an improvement of about 2% over state-of-the-art HE-based methods. Additionally, inference time is reduced by at least 54.7% compared to prior approaches across various datasets. Comprehensive evaluations demonstrate that SAFEDT supports privacy-preserving decision tree inference while balancing practicality and efficiency, offering a practical optimization path for HE-based machine learning inference. © 2026, Ruhr-University of Bochum. All rights reserved.</t>
  </si>
  <si>
    <t>R0199</t>
  </si>
  <si>
    <t>Cybersecurity Enabled Improved BigData Privacy Management Measures to Preserve Information With Privacy Concerns</t>
  </si>
  <si>
    <t>Sankar, R.; Alwin Christopher, T.; Daden, W.A.; Miruthula, M.; Vaishali, M.; Rajan Kirthy, G.</t>
  </si>
  <si>
    <t>Found in: Scopus; IEEE · DOI: 10.1109/ICONSTEM60960.2024.10568845</t>
  </si>
  <si>
    <t>In today's data-driven landscape, preserving the privacy and security of sensitive information within Big Data environments, particularly in sectors like healthcare, is of paramount importance. This paper introduces a comprehensive framework for Cybersecurity Enabled Improved Big Data Privacy Management Measures (IBPMM) tailored to address the challenges of safeguarding privacy while harnessing the potential of vast datasets. The framework integrates advanced cybersecurity measures with privacy management strategies, incorporating key components such as data encryption, access controls, anonymization techniques, threat detection, and incident response protocols. Regulatory compliance requirements, including GDPR and HIPAA, are carefully considered throughout the framework's development. Additionally, methodologies for data classification, risk assessment, and continuous monitoring ensure that privacy risks are systematically identified and mitigated. Privacy-preserving technologies such as differential privacy and homomorphic encryption enable secure data analysis while protecting individual privacy. Employee training and awareness initiatives foster a culture of privacy and security within organizations. The framework also includes robust incident response procedures to address security breaches promptly. By implementing the IBPMM framework, organizations can effectively balance the benefits of Big Data analytics with the imperative to preserve information with privacy concerns.  © 2024 IEEE.</t>
  </si>
  <si>
    <t>R0200</t>
  </si>
  <si>
    <t>Privacy Preserving Healthcare Based on Secure Mathematical Foundations of Fully Homomorphic Encryption (FHE)</t>
  </si>
  <si>
    <t>Sathiya Devi, S.; Jayasri, K.</t>
  </si>
  <si>
    <t>Found in: Scopus; IEEE · DOI: 10.1109/ESCI63694.2025.10988128</t>
  </si>
  <si>
    <t>The swift development of digital technology in the healthcare industry has made it crucial to protect sensitive patient data while maintaining its usefulness. One such technique is Homomorphic Encryption (HE), a powerful paradigm that enables computations on encrypted data without the requirement for decryption. This feature ensures that confidential health information remains secure while still allowing for complex analyses and operations. There are three primary categories of HE includes Partially Homomorphic Encryption (PHE), Somewhat Homomorphic Encryption (SHE) and Fully Homomorphic Encryption (FHE). The experiments are conducted to demonstrate the effectiveness of HE. In particular, FHE provides the most extensive capabilities by permitting an infinite amount of addition and multiplication operations on ciphertexts. Similarly, FHE ensures semantic security and correctness over other HE techniques based on proper parameter optimization through squashing and bootstrapping. Bootstrapping maintains the noise within safe limit whereas squashing reduces decryption complexity.The performance analysis proves that RLWE based FHE ensures both privacy and utility for healthcare data in computationally efficient way. The privacy-preserving nature of FHE along with its ability to support complex computations and its strong mathematical foundation proving its potential for real-world use cases like secure cloud computing, privacy-preserving machine learning and secure data analytics in healthcare etc. © 2025 IEEE.</t>
  </si>
  <si>
    <t>R0201</t>
  </si>
  <si>
    <t>StressSentry-FHE: A Transformer-Based Privacy-Preserving Framework for Stress Detection Using Quantized Attention</t>
  </si>
  <si>
    <t>Xiong, J.; Chen, J.; Lin, J.; Jiao, D.; Su, C.; Meng, W.</t>
  </si>
  <si>
    <t>Found in: Scopus · DOI: 10.1007/978-981-95-3052-6_23</t>
  </si>
  <si>
    <t>Stress detection using physiological signals has emerged as a promising approach for monitoring mental health, yet current methods face significant challenges in preserving privacy while maintaining high accuracy. This paper introduces StressSentry-FHE, a novel privacy-preserving framework that leverages Fully Homomorphic Encryption (FHE) and Transformer-based architecture to analyze encrypted physiological data without compromising sensitive personal information. Our approach addresses critical limitations of existing models by: (1) implementing a specialized Transformer architecture that effectively captures complex inter-signal relationships and temporal dynamics across multiple physiological modalities including accelerometer, electrodermal activity, blood volume pulse, and temperature data; (2) developing FHE-compatible components through precision-preserving quantization strategies, numerically stable attention mechanisms, and efficient approximations for non-linear functions; and (3) delivering exceptional cross-subject generalization with 98.33% accuracy under General Partitioning and 96.06% accuracy with Leave-One-Subject-Out (LOSO) cross-validation on the WESAD 3-class dataset. Comparative analysis reveals that StressSentry-FHE significantly outperforms state-of-the-art approaches in both accuracy and privacy preservation, with only a modest 3.27% accuracy reduction when operating on fully encrypted data compared to plaintext inference. Our framework demonstrates that advanced deep learning architectures and robust privacy protection can be effectively combined for physiological signal analysis, establishing a new benchmark for secure affective computing in healthcare applications. © The Author(s), under exclusive license to Springer Nature Singapore Pte Ltd. 2026.</t>
  </si>
  <si>
    <t>R0202</t>
  </si>
  <si>
    <t>AI-Powered Sustainable Healthcare Analytics Platform for Cancer Prediction with Privacy-Preserving Data Visualization and Green Computing Integration</t>
  </si>
  <si>
    <t>Sungheetha, A.; Saranya, S.L.</t>
  </si>
  <si>
    <t>Found in: Scopus; IEEE · DOI: 10.1109/ICMCSI67283.2026.11412671</t>
  </si>
  <si>
    <t>Cancer remains a leading global health challenge with approximately 19.3 million new cases diagnosed annually, demanding innovative computational approaches for early detection and sustainable healthcare delivery. Traditional cancer prediction systems face critical limitations including high computational energy consumption, privacy vulnerabilities in patient data handling, and inadequate real-time analytics capabilities for clinical decision-making. This research addresses these challenges by developing an AI-Powered Sustainable Healthcare Analytics Platform that integrates privacy-preserving mechanisms with green computing principles for cancer prediction and visualization. The proposed methodology combines federated learning architectures with homomorphic encryption techniques, achieving 94.7% prediction accuracy while reducing energy consumption by 67.3% compared to centralized cloud-based approaches. The platform implements differential privacy protocols with epsilon values of 0.85, ensuring patient data confidentiality while maintaining statistical utility for machine learning models. Novel contributions include the development of an Adaptive Energy-Aware Neural Architecture (AENA) that dynamically adjusts computational complexity based on available renewable energy sources, a Privacy-Preserving Visualization Framework (PPVF) enabling secure multi-institutional data sharing, and a Green Computing Optimization Module (GCOM) reducing carbon footprint by 58.4% through intelligent workload scheduling. Experimental validation using publicly available cancer datasets demonstrates superior performance with F1-scores of 0.932, specificity of 91.8%, and processing throughput of 1847 records per second while consuming only 34.2 watts average power. The system achieves real-time prediction latency of 127 milliseconds, making it suitable for clinical deployment in resource-constrained healthcare environments seeking sustainable digital transformation. © 2026 IEEE.</t>
  </si>
  <si>
    <t>R0203</t>
  </si>
  <si>
    <t>Zero-Knowledge Privacy-Preserving Federated Learning for Cross-Institutional Medical Imaging Diagnostics</t>
  </si>
  <si>
    <t>Bharath, M.B.; Ashwni, S.S.; Mamatha, M.; Sowjanya, S.; Dilip, K.; Mala, B.A.</t>
  </si>
  <si>
    <t>Found in: Scopus; IEEE · DOI: 10.1109/ICECIT67774.2025.11450988</t>
  </si>
  <si>
    <t>With increasing dependence on AI for medical imaging diagnostics, privacy concerns and strict regulations continue to restrict data sharing across healthcare institutions. To address this, we propose a novel framework that enables cross-institutional collaboration without compromising sensitive patient information. Our system integrates federated learning with advanced privacy-preserving techniques, including homomorphic encryption, secure aggregation, differential privacy, and zero-knowledge proofs. Hospitals retain their data locally and contribute encrypted, noise-added model updates, ensuring that raw data never leaves the premises. Secure aggregation and encryption prevent any entity, including the central server, from accessing individual contributions. Differential privacy introduces mathematically bounded noise to mitigate risks from inversion and membership attacks. Meanwhile, zero-knowledge proofs allow clients to verify the legitimacy of their training process and updates without revealing internal computations or data. This layered privacy defense effectively counters gradient inversion, model poisoning, and membership inference attacks, all while maintaining strong diagnostic performance. Evaluated on real-world medical imaging datasets, our method balances accuracy with compliance to privacy laws like HIPAA and GDPR. The proposed architecture offers a scalable and trustworthy approach to enable AI-driven diagnostics across hospitals, ensuring patient confidentiality is never compromised. © 2025 IEEE.</t>
  </si>
  <si>
    <t>R0204</t>
  </si>
  <si>
    <t>Privacy-Preserving Federated Learning for Intrusion Detection in IoT Environments: A Survey</t>
  </si>
  <si>
    <t>A. Vyas; P. -C. Lin; R. -H. Hwang; M. Tripathi</t>
  </si>
  <si>
    <t>Found in: IEEE · DOI: 10.1109/ACCESS.2024.3454211</t>
  </si>
  <si>
    <t>With the rapid development of artificial intelligence and a new generation of network technologies, the Internet of Things (IoT) is expanding worldwide. Malicious agents consistently exploit new technical vulnerabilities to access the various IoT systems used in critical industries, medical diagnosis, military, and defense systems. To mitigate these threats, IoT networks should be equipped with intrusion detection systems capable of detecting threat vectors in an attempt to compromise the systems. Moreover, many researchers have integrated privacy-preserving technologies such as homomorphic encryption, differential privacy, and secure multiparty computation with machine learning algorithms. Furthermore, federated learning, which shares only model parameters rather than data, provides distributed privacy-preserving learning; therefore, federated learning is secure and reliable for the implementation of intrusion detection systems in IoT environments. This survey examined the utilization and applications of privacy-preserving mechanisms, explicitly focusing on privacy-preserving federated learning for intrusion detection systems in IoT environments. This survey also highlights future research directions and open research questions. Privacy-preserving federated learning can significantly contribute to the rapid and efficient detection and prevention of various threat vectors that target IoT ecosystems.</t>
  </si>
  <si>
    <t>R0205</t>
  </si>
  <si>
    <t>Implementing a Personalized Model in Edge via FPGA for Non-Invasive Blood Flow Volume Measurement Based on PPG for Security</t>
  </si>
  <si>
    <t>Wu, H.-C.; Nguyen, D.H.; Chao, P.C.-P.</t>
  </si>
  <si>
    <t>Found in: Scopus; IEEE · DOI: 10.1109/SENSORS56945.2023.10324900</t>
  </si>
  <si>
    <t>This study proposes a personalized blood flow volume (BFV) prediction method using PPG signals for improved accuracy and model robustness in dialysis treatment. Experimental results validate the effectiveness of the proposed system, demonstrating enhanced raw PPG signal processing through band-pass filtering, power spectrum density (PSD) calculation, and DC drift analysis for PPG quality assessment. Extracted features from pre-processed PPG signals are utilized as inputs for personalized models trained using transfer learning. The dedicated hardware implementation accelerates both training and BFV calculation, significantly reducing latency compared to software. The hardware-based implementation exhibits notably faster latency, reducing training latency from 469.45ms to 115.88ms and testing latency from 1.2ms to 0.0041ms. Despite a slight decrease in R-square (R2) from 0.985 to 0.984, the hardware implementation successfully achieves improved latency, highlighting its practical efficiency. This approach offers a reliable and efficient method for personalized BFV estimation using PPG signals, with potential benefits in dialysis treatment. The FPGA-based hardware implementation utilizing the CDC method enables efficient training of personalized models, achieving comparable calculation speeds while reducing latency. Overall, this approach demonstrates the potential for enhanced patient care in dialysis treatment through reliable and efficient personalized BFV estimation using PPG signals, featuring an improved R2 of 0.985, reduced latency, and efficient hardware implementation. © 2023 IEEE.</t>
  </si>
  <si>
    <t>R0206</t>
  </si>
  <si>
    <t>Privacy-preserving aware data aggregation for IoT-based healthcare with green computing technologies</t>
  </si>
  <si>
    <t>Othman, S.B.; Almalki, F.A.; Chakraborty, C.; Sakli, H.</t>
  </si>
  <si>
    <t>Found in: Scopus · DOI: 10.1016/j.compeleceng.2022.108025</t>
  </si>
  <si>
    <t>Despite the rapid development of the Internet of Things technologies where more and more medical sensors and gadgets are connected to the Internet, limited energy resources due to transmission, and security are still main challenges. Most cases, patients wear multiple medical devices that transmit sensed medical data wirelessly to servers, which might cause big traffic on the communication networks, which in turn cause high energy consumption. Therefore, using the data aggregation, we can considerably reduce the energy consumption by eliminating redundant data; yet collected data must be fully protected. Secure data collection and transfer to centralized servers in healthcare applications employing IoT is quite challenging to protect against several attacks for illegal data access. For this reason, massive security measures should be taken to ensure that patients’ data can only be accessed by legitimate users. This paper proposes EPPADA: Efficient Privacy‑Preserving Authentication and Data Aggregation scheme in conjunction with Homomorphic Encryption concepts to meet requirements of healthcare using IoT with green computing technologies. The main objective of this proposed scheme is to decrease the communication overhead and energy consumption while maintaining safe and secure aggregation of the healthcare data between medical sensors and cloud servers. The proposed system is experimentally developed using E-health sensor shield V2.0 platform. Based on security analysis that has the most extensive set of security features, our multi-objective approach enhances the End-to-End Delay, Computational Cost, Communication Overhead, besides maintaining security features. © 2022</t>
  </si>
  <si>
    <t>R0207</t>
  </si>
  <si>
    <t>Artificial Intelligence (AI) Based Multi-Layered Approaches for Privacy Preservation in Federated Learning</t>
  </si>
  <si>
    <t>Bharath, K.; Chopra, P.; Kumar, M.</t>
  </si>
  <si>
    <t>Found in: Scopus · DOI: 10.5815/ijmecs.2026.02.12</t>
  </si>
  <si>
    <t>This paper proposes the hybrid framework of privacy preserving that combines the concept of federated learning and homomorphic encryption with differential privacy, to address the privacy issue of collaborative machine learning for healthcare application. The proposed approach makes three contributions: (1) multi-layered architecture using federated learning in combination homomorphic encryption (based on CKKS scheme) and differential privacy that offers defense against inference attacks at different layers, (2) the implementation which alleviates the computational overhead compared to homomorphic encryption only with optimised cryptographic parameters, and (3) the application of the Grasshopper-Black Hole Optimization (G-BHO) for the optimisation of privacy parameters (e, deltas, gradient clipping thresholds) in order to balance the privacy-utility trade-off. Cryptographic keys are produced using the principles of cryptographically secure random number generation. Experimental evaluation on two healthcare data sets (MIMIC-III and chest X rays of the patients of Covid-19) to compare the hybrid approach to the single technique baselines in four metrics: Classification accuracy (93.0±1.2% vs. 89.0±1.5% for federated learning only), differential privacy guarantee (e = 0.7, 8 = 10“5), computational overhead (2.5x baseline vs. 8x for homomorphic encryption only) and the resistance to membership inference attacks (92% vs. 68%) The observed improvement in the accuracy is unexpected, and potentially a consequence of side-effects due to the effects of the regularization in the differential privacy noise; this finding needs to be further explored in theory. The evaluation is restricted to the tasks of healthcare classification, while generalization to other domains needs more validation. The main contribution is an empirical proof that by using a combination of several privacy mechanisms, it will be possible to achieve a stronger attack resistance with a lower computational overhead than by using homomorphic encryption alone. © 2026, Modern Education and Computer Science Press. All rights reserved.</t>
  </si>
  <si>
    <t>R0208</t>
  </si>
  <si>
    <t>Privacy-Preserving Predictive Analytics in Healthcare: A Federated 1D-CNN Framework Utilizing Secure Multi-Party Computation and Homomorphic Encryption</t>
  </si>
  <si>
    <t>Kushwaha, A.; Kumar, G.; Gunjan, V.K.</t>
  </si>
  <si>
    <t>Found in: Scopus; IEEE · DOI: 10.1109/GSEACT68539.2026.11620552</t>
  </si>
  <si>
    <t>We present a privacy-preserving machine learning (PPML) model for distributed healthcare analytics, with emphasis of prediction on clinical duration. We used a clinical dataset and ensembled 1-D CNNs of each of 50 workstations as hospitals. For sequence like data, we used cumulative patient touchpoints and diagnostic assay counts. Then for encryption of data, we used a secure private loader which uses NumPy byte serialization and AES-256 CFB encryption with per node unique keys. For security purposes, we used Shamir's Secret Sharing (SSS), Garbled Circuits (GC) and Fully Homomorphic Encryption (FHE) for the data. Also, in Cheon-Kim-Kim-Song-based (CKKS), a noise issue was reported. In the term 'Noise Explosion', as we multiply encrypted data, the noise quadratically increases. For example - if we start with 100, then grow linearly to 500, then exponentially from (1. 0 × 1 0wedge 7 to 5.0 × 1 0wedge 7). The bootstrapping mechanism is necessary for resetting noise levels before they reach the 1 0wedge 8 noise threshold, leading to parity flip errors and encryption failures. Although there is a significant time overhead when evaluating an operation with FHE (4.4024s vs. 0.6287 s in encryption), the ensemble achieves a combined accuracy of 77.80%, beating the average accuracy of individual nodes (71.11%). Such a PPML solution is ideal for enabling the 'Clinical Trust' model as the ensemble predicts 'High Trust' predictions in 42.4% of cases. © 2026 IEEE.</t>
  </si>
  <si>
    <t>R0209</t>
  </si>
  <si>
    <t>SecureFed+ a federated learning framework with adaptive gradient clipping and encrypted aggregation for credit card fraud detection</t>
  </si>
  <si>
    <t>Manonmani, T.; Umakanth, N.; Kumar, S.N.; Kannadhasan, S.; Hareni, S.K.; Tharishana, P.S.S.</t>
  </si>
  <si>
    <t>Found in: Scopus · DOI: 10.1007/s13042-026-03081-w</t>
  </si>
  <si>
    <t>Credit card fraud detection demands intelligent systems that ensure data privacy across institutions. Federated learning (FL) presents a privacy-preserving alternative to centralized methods but faces challenges such as vulnerability to gradient inversion attacks, high communication overhead, and degraded performance with heterogeneous (non-IID) data. Current methods such as differential privacy, secure aggregation, and statistical unlearning address these concerns to some extent but are typically associated with privacy-accuracy-computation trade-offs. In response to these limitations, we introduce SecureFed+, a novel federated learning framework whose core contribution is the principled co-design of three mutually reinforcing mechanisms that have not previously been unified: (i) a linearly adaptive gradient clipping (LAGC) mechanism whose threshold schedule is calibrated per-client to local gradient statistics, directly closing the accuracy–stability gap under non-IID financial data; (ii) 2048-bit Paillier homomorphic encryption applied at the clipped-gradient level (not the model level), so that privacy is guaranteed before aggregation and gradient inversion becomes computationally infeasible; and (iii) a performance-weighted secure aggregation scheme that dynamically down-weights malicious or low-quality updates. Unlike prior work that treats convergence stability, privacy, and adversarial robustness as isolated concerns, SecureFed+’s co-design ensures these three properties are mutually consistent—producing emergent improvements in accuracy, convergence rate, and attack resilience that no single component achieves in isolation. We further provide formal convergence bounds (rate under non-IID data), a robustness bound quantifying the adversarial influence at most Byzantine clients can exert, and an IND-CPA privacy guarantee. Experiments on a real-world credit card fraud benchmark confirm SecureFed+ outperforms FedAvg, FedProx, FedEncrypt, FedAvg+DP, SCAFFOLD, FedNova, TAPFed, and FedML-HE, while remaining applicable to healthcare, IoT anomaly detection, and recommender-system settings. © The Author(s), under exclusive licence to Springer-Verlag GmbH Germany, part of Springer Nature 2026.</t>
  </si>
  <si>
    <t>R0210</t>
  </si>
  <si>
    <t>Herb: Privacy-preserving Random Forest with Partially Homomorphic Encryption</t>
  </si>
  <si>
    <t>Liao, Q.; Cabral, B.; Fernandes, J.P.; Lourenco, N.</t>
  </si>
  <si>
    <t>Found in: Scopus · DOI: 10.1109/IJCNN55064.2022.9892321</t>
  </si>
  <si>
    <t>Building a Machine Learning model requires the use of large amounts of data. Due to privacy and regulatory concerns, these data might be owned by multiple sites and are often not mutually shareable. Our work deals with private learning and inference for the Weighted Random Forest model when data records are vertically distributed among multiple sites. Previous privacy-preserving vertical tree-based frameworks either adapt Secure Multi-party Computation or share intermediate results and are hard to generalize or scale. In contrast, our proposal contains efficient collaborative calculation algorithms of the Gini Index and Entropy for computing the impurity of decision tree nodes while protecting all intermediate values and disclosing minimal information. We offer a learning protocol based on the Paillier Cryptosystem and Digital Envelope. Also, we provide an inference protocol found on the Look-up Table. Our experiments show that the proposed protocols do not cause predictive performance loss while still establishing and utilizing the model within a reasonable time. The results imply that practitioners can overcome the barrier of data sharing and produce random forest models for data-heavy domains with strict privacy requirements, such as Health Prediction, Fraud Detection, and Risk Evaluation. © 2022 IEEE.</t>
  </si>
  <si>
    <t>R0211</t>
  </si>
  <si>
    <t>Learning binary and sparse permutation-invariant representations for fast and memory efficient whole slide image search</t>
  </si>
  <si>
    <t>Hemati, S.; Kalra, S.; Babaie, M.; Tizhoosh, H.R.</t>
  </si>
  <si>
    <t>Found in: Scopus; PubMed · DOI: 10.1016/j.compbiomed.2023.107026 · PMID: 37267827</t>
  </si>
  <si>
    <t>Considering their gigapixel sizes, the representation of whole slide images (WSIs) for classification and retrieval systems is a non-trivial task. Patch processing and multi-Instance Learning (MIL) are common approaches to analyze WSIs. However, in end-to-end training, these methods require high GPU memory consumption due to the simultaneous processing of multiple sets of patches. Furthermore, compact WSI representations through binary and/or sparse representations are urgently needed for real-time image retrieval within large medical archives. To address these challenges, we propose a novel framework for learning compact WSI representations utilizing deep conditional generative modeling and the Fisher Vector Theory. The training of our method is instance-based, achieving better memory and computational efficiency during the training. To achieve efficient large-scale WSI search, we introduce new loss functions, namely gradient sparsity and gradient quantization losses, for learning sparse and binary permutation-invariant WSI representations called Conditioned Sparse Fisher Vector (C-Deep-SFV), and Conditioned Binary Fisher Vector (C-Deep-BFV). The learned WSI representations are validated on the largest public WSI archive, The Cancer Genomic Atlas (TCGA) and also Liver-Kidney-Stomach (LKS) dataset. For WSI search, the proposed method outperforms Yottixel and Gaussian Mixture Model (GMM)-based Fisher Vector both in terms of retrieval accuracy and speed. For WSI classification, we achieve competitive performance against state-of-art on lung cancer data from TCGA and the public benchmark LKS dataset. © 2023 The Author(s)</t>
  </si>
  <si>
    <t>R0212</t>
  </si>
  <si>
    <t>A Probabilistic Design for Practical Homomorphic Majority Voting with Intrinsic Differential Privacy</t>
  </si>
  <si>
    <t>Grivet Sébert, A.; Zuber, M.; Stan, O.; Sirdey, R.; Gouy-Pailler, C.</t>
  </si>
  <si>
    <t>Found in: Scopus · DOI: 10.1145/3605759.3625258</t>
  </si>
  <si>
    <t>As machine learning (ML) has become pervasive throughout various fields (industry, healthcare, social networks), privacy concerns regarding the data used for its training have gained a critical importance. In settings where several parties wish to collaboratively train a common model without jeopardizing their sensitive data, the need for a private training protocol is particularly stringent and implies to protect the data against both the model's end-users and the other actors of the training phase. In this context of secure collaborative learning, Differential Privacy (DP) and Fully Homomorphic Encryption (FHE) are two complementary countermeasures of growing interest to thwart privacy attacks in ML systems. Central to many collaborative training protocols, in the line of PATE, is majority voting aggregation. Thus, in this paper, we design SHIELD, a probabilistic approximate majority voting operator which is faster when homomorphically executed than existing approaches based on exact argmax computation over an histogram of votes. As an additional benefit, the inaccuracy of SHIELD is used as a feature to provably enable DP guarantees. Although SHIELD may have other applications, we focus here on one setting and seamlessly integrate it in the SPEED collaborative training framework from [20] to improve its computational efficiency. After thoroughly describing the FHE implementation of our algorithm and its DP analysis, we present experimental results. To the best of our knowledge, it is the first work in which relaxing the accuracy of an algorithm is constructively usable as a degree of freedom to achieve better FHE performances. © 2023 ACM.</t>
  </si>
  <si>
    <t>R0213</t>
  </si>
  <si>
    <t>Jobless Recovery and Structural Change: A VAR Approach</t>
  </si>
  <si>
    <t>Chen, L.-H.; Cui, Z.</t>
  </si>
  <si>
    <t>Found in: Scopus · DOI: 10.1177/2277978717695145</t>
  </si>
  <si>
    <t>This study uses a vector autoregression approach to examine the link between jobless recoveries and the fast employment expansion in finance, health and education (FHE) sectors. Both reduced-form estimates and impulse responses indicate a negative effect of the expansion on aggregate employment. While the expansion Granger causes aggregate employment fluctuations, up to 40 per cent of the error variance of those fluctuations can be explained by innovations in the expansion. Moreover, movements in aggregate employment are reduced by 25 per cent when the expansion is accounted for. Therefore, the fast expansion of the FHE sectors is shown to have notably contributed to the onset of jobless recoveries. JEL Classification: E24, E32, C32. © 2017, © 2017 SAGE Publications.</t>
  </si>
  <si>
    <t>R0214</t>
  </si>
  <si>
    <t>Privacy-Preserving Federated Learning for Medical Image Classification with Selective Homomorphic Encryption</t>
  </si>
  <si>
    <t>Li, Z.; Mo, M.; Du, C.; Wei, Z.</t>
  </si>
  <si>
    <t>Found in: Scopus · DOI: 10.3390/ai7070264</t>
  </si>
  <si>
    <t>Federated learning lets hospitals train shared diagnostic models without exchanging patient images, yet the updates they exchange each round can be inverted to reconstruct training images. Homomorphic encryption (HE) protects these updates, but encrypting an entire model with CKKS inflates communication and computation to impractical levels for cross-silo medical use. We present PASHE-FL, which exploits the structure of personalized federated learning: the client-specific classifier head stays local and is never uploaded, so encryption need only cover the shared backbone. The server ranks backbone coordinates by importance from the public global model and selects the same top- (Formula presented.) set for all clients, avoiding mask negotiation; these are encrypted with CKKS, the remaining coordinates are quantized, and the encrypted fraction is annealed over training. On four medical image-classification tasks, PASHE-FL matches the personalized FedPer baseline within about one accuracy point while cutting per-round uplink by roughly (Formula presented.) – (Formula presented.) and encryption time by about (Formula presented.) relative to full-model HE; this accuracy comes from personalization, not encryption. Under a gradient-inversion attack, encrypting only the top 5–10% most important coordinates collapses reconstruction quality, whereas encrypting random coordinates does not. PASHE-FL offers an empirical privacy–cost trade-off under the stated threat model rather than a formal privacy guarantee. © 2026 by the authors.</t>
  </si>
  <si>
    <t>R0215</t>
  </si>
  <si>
    <t>P-HrDPS: Security-Aware Heart Disorder Prediction Support Model Using Ensemble Learning Technique</t>
  </si>
  <si>
    <t>Gupta, M.; Pantola, D.; Budhiraja, I.; Chaudhary, R.</t>
  </si>
  <si>
    <t>Found in: Scopus; IEEE · DOI: 10.1109/ICCWorkshops57953.2023.10283624</t>
  </si>
  <si>
    <t>Biomedical applications' rapid technological development produces vast amounts of personal data. This biological data creates privacy concerns as it discloses private information like a person's health status and way of life. In Biomedical field, heart disorder is the most critical and major threat for the population across the world. Due to the advancement in machine learning and parametric technologies, heart disorder is possible to predict. In this presented work, heart disorder prediction is performed based on univariate and multivariate feature analysis. Along with this, the proposed system keeps private data safe by using Paillier homomorphic encryption technique to encrypt and decrypt the patients' records. In this work, the max voting ensemble learning technique is used by incorporating five machine learning techniques such as support vector machine, logistic regression, naïve Bayes, decision tree and K-nearest neighbor. The outcome shows that ensemble learning performed better in comparison to others. According to the univariate feature analysis, type (0) chest pain is critical than others. In multivariate analysis, chest pain, exang, and old peak parameters are more correlated with the heart disorder than others. © 2023 IEEE.</t>
  </si>
  <si>
    <t>R0216</t>
  </si>
  <si>
    <t>Privacy-Preserving Machine Learning for Heart Disease Detection Using Fully Homomorphic Encryption</t>
  </si>
  <si>
    <t>Dziri, M.; Touati, H.; Hadded, M.; Ghazzai, H.; Khalil, O.K.; Laouiti, A.</t>
  </si>
  <si>
    <t>Found in: Scopus; IEEE · DOI: 10.1109/AICCSA66935.2025.11315308</t>
  </si>
  <si>
    <t>With the growing adoption of Artificial Intelligence (AI) in sensitive sectors such as healthcare and finance, protecting user privacy during data processing has become paramount. One promising approach is Fully Homomorphic Encryption (FHE), which offers a viable solution by allowing computations to be performed directly on encrypted data, thus safeguarding sensitive information. In this study, we investigate the practical application of the Cheon Kim Kim Song (CKKS) FHE scheme to perform inference with various machine learning models for heart disease detection. We evaluated five models: Logistic Regression, Support Vector Machine, Decision Tree, Random Forest, and a simple Neural Network, across multiple heart disease datasets. Our analysis compares their performance on both standard (plain-text) and encrypted data, using metrics including accuracy, precision, recall, and F1-score. Results demonstrate that encrypted models deliver predictive accuracy comparable to their standard counterparts, confirming the viability of privacypreserving inference with FHE despite the expected increase in computational time. Furthermore, our findings highlight up to 100% consistency between the predictions made on encrypted and plain-text inputs.  © 2025 IEEE.</t>
  </si>
  <si>
    <t>R0217</t>
  </si>
  <si>
    <t>Consent-based Privacy-preserving Decision Tree Evaluation</t>
  </si>
  <si>
    <t>Xue, L.; Liu, D.; Ni, J.; Lin, X.; Shen, X.S.</t>
  </si>
  <si>
    <t>Found in: Scopus; IEEE · DOI: 10.1109/ICC40277.2020.9149181</t>
  </si>
  <si>
    <t>Decision trees are prevalent machine learning models used for data classification. Cloud servers can build their decision tree models and provide users with many classification services, such as remote medical diagnosis. Moreover, users would also like to share the classification results with third-party applications for customized services. For example, the medical diagnosis results can be further utilized by a nutrition application to provide users with dietary recommendations. However, as stringent privacy regulations of personal data, such as GDPR, takes effect, the decision tree evaluation must comply with the following requirements. First, the model parameters and user data (input and output) should be protected from public disclosure. Second, different applications should obtain the classification results with users' consent in the context of user-customised services. In this paper, we propose a consent-based privacy-preserving decision tree evaluation scheme, named CPDE. Specifically, to achieve model parameter privacy and user data privacy, the original decision tree evaluation is conducted in a private manner in CPDE. As a result, all operations can be performed in the encrypted domain using an additively homomorphic encryption primitive and a secure comparison protocol. In addition, by integrating a proxy re-encryption technique, CDPE enables user-authorized applications to obtain the user's classification results even if the user is offline. The security analysis shows that CPDE achieves the desirable security properties and performance evaluation demonstrates CPDE is efficient and is suitable for real-world implementations. © 2020 IEEE.</t>
  </si>
  <si>
    <t>R0218</t>
  </si>
  <si>
    <t>Patient privacy in paralinguistic tasks</t>
  </si>
  <si>
    <t>Found in: Scopus · DOI: 10.21437/Interspeech.2018-2186</t>
  </si>
  <si>
    <t>Recent developments in cryptography and, in particular in Fully Homomorphic Encryption (FHE), have allowed for the development of new privacy preserving machine learning schemes. In this paper, we show how these schemes can be applied to the automatic assessment of speech affected by medical conditions, allowing for patient privacy in diagnosis and monitoring scenarios. More specifically, we present results for the assessment of the degree of Parkinsons Disease, the detection of a Cold, and both the detection and assessment of the degree of Depression. To this end, we use a neural network in which all operations are performed in an FHE context. This implies replacing the activation functions by linear and second degree polynomials, as only additions and multiplications are viable. Furthermore, to guarantee that the inputs of these activation functions fall within the convergence interval of the approximation, a batch normalization layer is introduced before each activation function. After training the network with unencrypted data, the resulting model is then employed in an encrypted version of the network, to produce encrypted predictions. Our tests show that the use of this framework yields results with little to no performance degradation, in comparison to the baselines produced for the same datasets. © 2018 International Speech Communication Association. All rights reserved.</t>
  </si>
  <si>
    <t>R0219</t>
  </si>
  <si>
    <t>A Secure and Privacy-Preserving Approach to Healthcare Data Collaboration</t>
  </si>
  <si>
    <t>Adnan, A.; Kausar, F.; Shoaib, M.; Iqbal, F.; Altaf, A.; Asif, H.M.</t>
  </si>
  <si>
    <t>Found in: Scopus · DOI: 10.3390/sym17071139</t>
  </si>
  <si>
    <t>Combining a large collection of patient data and advanced technology, healthcare organizations can excel in medical research and increase the quality of patient care. At the same time, health records present serious privacy and security challenges because they are confidential and can be breached through networks. Even traditional methods with federated learning are used to share data, patient information might still be at risk of interference while updating the model. This paper proposes the Privacy-Preserving Federated Learning with Homomorphic Encryption (PPFLHE) framework, which strongly supports secure cooperation in healthcare and at the same time providing symmetric privacy protection among participating institutions. Everyone in the collaboration used the same EfficientNet-B0 architecture and training conditions and keeping the model symmetrical throughout the network to achieve a balanced learning process and fairness. All the institutions used CKKS encryption symmetrically for their models to keep data concealed and stop any attempts at inference. Our federated learning process uses FedAvg on the server to symmetrically aggregate encrypted model updates and decrease any delays in our server communication. We attained a classification accuracy of 83.19% and 81.27% when using the APTOS 2019 Blindness Detection dataset and MosMedData CT scan dataset, respectively. Such findings confirm that the PPFLHE framework is generalizable among the broad range of medical imaging methods. In this way, patient data are kept secure while encouraging medical research and treatment to move forward, helping healthcare systems cooperate more effectively. © 2025 by the authors.</t>
  </si>
  <si>
    <t>R0220</t>
  </si>
  <si>
    <t>A Novel Privacy-Enhancing Framework for Low-Dose CT Denoising</t>
  </si>
  <si>
    <t>Yang, Z.; Huangfu, H.; Ran, M.; Wang, Z.; Yu, H.; Sun, M.; Zhang, Y.</t>
  </si>
  <si>
    <t>Found in: Scopus · DOI: 10.1109/TAI.2025.3561092</t>
  </si>
  <si>
    <t>Deep learning (DL) has made significant advancements in tomographic imaging, particularly in low-dose computed tomography (LDCT) denoising. A recent trend involves servers training powerful models with enormous self-collecteddata and providing application programming interfaces (APIs) for users, such as Chat-GPT. To avoid model leakage, users are required to upload their data to the server. This approach is particularly advantageous for devices with limited computational capabilities, as it offloads computation to the server, easing the workload on the devices themselves. However, this way raises public concerns about the privacy disclosure risk. Hence, to alleviate related concerns, we propose to directly denoise LDCT in the encrypted domain to achieve privacy-preserving cloud services without exposing private data to the server. Concretely, we employ homomorphic encryption to encrypt private LDCT, which is then transferred to the server model trained with plaintext LDCT for further denoising. Since fundamental DL operations, such as convolution and linear transformation, cannot be directly used in the encrypted domain, we transform the fundamental mathematic operations in the plaintext domain into the operations in the encrypted domain. Moreover, we present two interactive frameworks for linear and nonlinear models, both of which can achieve lossless operating. In this way, the proposed methods can achieve two merits, the data privacy is well protected, and the server model is free from the risk of model leakage. Moreover, we provide theoretical proof to validate the lossless property of our framework. Finally, experiments were conducted to demonstrate that the transferred contents are wellprotected and cannot be reconstructed.1 © 2020 IEEE.</t>
  </si>
  <si>
    <t>R0221</t>
  </si>
  <si>
    <t>Perun: Confidential Multi-stakeholder Machine Learning Framework with Hardware Acceleration Support</t>
  </si>
  <si>
    <t>Ozga, W.; Quoc, D.L.; Fetzer, C.</t>
  </si>
  <si>
    <t>Found in: Scopus · DOI: 10.1007/978-3-030-81242-3_11</t>
  </si>
  <si>
    <t>Confidential multi-stakeholder machine learning (ML) allows multiple parties to perform collaborative data analytics while not revealing their intellectual property, such as ML source code, model, or datasets. State-of-the-art solutions based on homomorphic encryption incur a large performance overhead. Hardware-based solutions, such as trusted execution environments (TEEs), significantly improve the performance in inference computations but still suffer from low performance in training computations, e.g., deep neural networks model training, because of limited availability of protected memory and lack of GPU support. To address this problem, we designed and implemented Perun, a framework for confidential multi-stakeholder machine learning that allows users to make a trade-off between security and performance. Perun executes ML training on hardware accelerators (e.g., GPU) while providing security guarantees using trusted computing technologies, such as trusted platform module and integrity measurement architecture. Less compute-intensive workloads, such as inference, execute only inside TEE, thus at a lower trusted computing base. The evaluation shows that during the ML training on CIFAR-10 and real-world medical datasets, Perun achieved a 161 × to 1560 × speedup compared to a pure TEE-based approach. © 2021, IFIP International Federation for Information Processing.</t>
  </si>
  <si>
    <t>R0222</t>
  </si>
  <si>
    <t>Hybrid DeepXAI Fusion Network for Interpretable Big Data Analytics and Secure Cloud Decision-Making Systems</t>
  </si>
  <si>
    <t>Nancharaiah, B.; Kolikipogu, R.; Alikhan, J.S.; Maguluri, L.P.; Muniyandy, E.; Baburao, D.</t>
  </si>
  <si>
    <t>Found in: Scopus · DOI: 10.1142/S0218213026400154</t>
  </si>
  <si>
    <t>Big data analytics has become a cornerstone of modern intelligent systems, yet its complexity and opacity often limit interpretability, trust, and security in decision-making. To address these challenges, we present the Hybrid DeepXAI Fusion Network, a novel deep learning framework designed to fuse temporal, relational, and contextual features while embedding explainable artificial intelligence (XAI) modules for transparent inference. The system leverages 1D-CNNs for temporal feature extraction, Transformer encoders for long-term contextual modeling, and Graph Neural Networks (GNNs) for capturing inter-feature dependencies, integrated through an attention-based multimodal fusion mechanism. Additionally, Class Activation Mapping (CAM) and explanation loss are incorporated to ensure interpretability consistency, enhancing trustworthiness in sensitive applications. The model is deployed in a federated cloud architecture, ensuring data privacy through homomorphic encryption and blockchain auditing. Experimental evaluation across healthcare, finance, and energy datasets demonstrates superior performance, achieving 98.42% accuracy, 97.9% precision, 98.1% recall, and 98.0% (Formula presented)1-score, surpassing state-of-the-art baselines including CNN-LSTM, Transformer-only, and XGBoost. The robustness of the proposed system was validated under adversarial attacks, where it retained over 91.5% accuracy even against PGD perturbations, while scalability tests confirmed its ability to handle streaming loads of 80 000 messages per second with sub-200 ms latency. These results confirm that the Hybrid DeepXAI Fusion Network offers an efficient, interpretable, and secure solution for next-generation cloud-based decision-support systems. 2026 © World Scientific. All rights reserved.</t>
  </si>
  <si>
    <t>R0223</t>
  </si>
  <si>
    <t>Ensure Privacy-Preserving Using Deep Learning</t>
  </si>
  <si>
    <t>Salman, A.D.; Al-Dahhan, R.R.</t>
  </si>
  <si>
    <t>Found in: Scopus · DOI: 10.58496/MJCS/2025/042</t>
  </si>
  <si>
    <t>Deep learning has emerged as a powerful approach for treating complex real-world challenges. However, the performance of the deep learning models is heavily reliant on access to large volumes of high-quality training data—an aspect often constrained by privacy concerns. Ensuring data availability while preserving user confidentiality remains a pressing issue. In response, cryptographic techniques like homomorphic encryption (HE), which are grounded in strict mathematical principles, present hopeful solutions for securing data on digital platforms without compromising its usability for learning models. It performs computations on encrypted data without revealing the underlying plaintext. The main attractive feature of this technique is its ability to protect sensitive information in a variety of settings. Moreover, it guarantees the data’s trustworthiness and keeps data from being altered or tampered with. In this paper, sensitive data are encrypted via homomorphic algorithms and then input into deep learning to evaluate the feasibility of privacy-preserving deep learning. The aim is to examine the performance and security implications of fully homomorphic encryption (by the Learning With Errors (LWE) scheme) and partially homomorphic encryption (by the Rivest, Shamir, and Adleman (RSA) algorithms). Both methods were applied to three datasets for osteoporosis diagnosis. The experimental results show that LWE maintains high accuracy, reaching 88.01%, compared with unencrypted models. In contrast, RSA showed lower accuracy with minimum resource consumption. The findings showed that LWE is a more secure and reliable option for privacy-preserving deep learning in medical applications. © 2025, Mesopotamian Academic Press. All rights reserved.</t>
  </si>
  <si>
    <t>R0224</t>
  </si>
  <si>
    <t>Privacy-Enhanced Healthcare Monitoring Service Refreshment in Human Digital Twin-Assisted Fabric Metaverse</t>
  </si>
  <si>
    <t>Qiu, Y.; Chen, M.; Liang, W.; Ai, L.; Niyato, D.; Wei, G.</t>
  </si>
  <si>
    <t>Found in: Scopus; IEEE · DOI: 10.1109/TMC.2025.3582084</t>
  </si>
  <si>
    <t>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 © 2002-2012 IEEE.</t>
  </si>
  <si>
    <t>R0225</t>
  </si>
  <si>
    <t>SEMMI: Multi-party Security Decision-making Scheme Under the Internet of Medical Things</t>
  </si>
  <si>
    <t>Li, C.; Yang, L.; Yu, S.; Qin, W.; Ma, J.</t>
  </si>
  <si>
    <t>Found in: Scopus; IEEE · DOI: 10.1109/ICC45855.2022.9838957</t>
  </si>
  <si>
    <t>In the Internet of Medical Things, the intelligent auxiliary decision-making system uses machine learning algorithms to analyze medical data for disease diagnosis, auxiliary intervention, and analysis and early warning. However, in the process of medical data transmission, processing, and storage, a large amount of private information is also at risk of leakage. Therefore, this article proposes a smart classification and decision-making program in the Internet of Medical Things scenario-SEMMI, which can effectively deal with the risk of data leakage in the process of medical data processing. At the same time, it reduces the huge computing and storage pressure caused by encryption and decryption operations in medical institutions. In the scheme, data collection, processing, transmission, storage and calculation are completed by ciphertext. In addition, in view of the relatively weak computing and storage capabilities of sensor nodes, we use chaos theory to construct a stream cipher algorithm to ensure the security of transmission from sensor to user; the homomorphic encryption algorithm is used to ensure the computability of the ciphertext and the security of storage. Through security analysis, it can be concluded that this scheme can resist attacks from adversaries; at the same time, the experimental results show that the scheme has good performance in terms of calculation, storage overhead, accuracy, and so on. © 2022 IEEE.</t>
  </si>
  <si>
    <t>R0226</t>
  </si>
  <si>
    <t>Privacy-Preserving Transformers for Time-Series Forecasting: A Survey and Two-Axis Taxonomy of Cryptographic, Differential-Privacy, and Feature-Path Methods</t>
  </si>
  <si>
    <t>Kantheti, B.; Araujo, C.A.P.D.</t>
  </si>
  <si>
    <t>Found in: Scopus · DOI: 10.3390/ai7090340</t>
  </si>
  <si>
    <t>Transformer architectures, originally developed for language modeling, have been increasingly applied to time-series forecasting, but deploying them on sensitive data such as patient vital signs, financial records, or energy use raises privacy risks at two points: inference (the server sees raw inputs and outputs) and training (the model can memorize individual records). This survey organizes privacy-preserving methods for Transformer forecasting along a two-axis taxonomy: protection stage (inference, training, and data-level) and protection locus/mechanism (cryptographic wrapper, gradient, input, feature, output, or data path). For inference, we review secure multi-party computation (CrypTen through MPCFormer, SecFormer, Iron, BOLT, PUMA, BumbleBee, and CipherPrune) and homomorphic encryption (CKKS, THE-X, hybrid HE-MPC, and automated FHE compilation via Orion), focusing on how each handles the Transformer non-linearities (softmax, GELU, and LayerNorm). For training, we organize differential-privacy mechanisms by where noise enters the gradient path (DP-SGD, DP-FedAvg, DP-FTRL, PATE, and adaptive clipping), the input path, and the more recent feature path and analyze the privacy, utility, and dimensionality trade-offs. We further survey privacy in large language and foundation models, federated Transformers, time-series privacy attacks (membership inference, gradient inversion, and attribute inference), differentially private synthetic data, and applications in energy, health care, and finance, closing with open problems and future directions. Throughout, we show that the surveyed mechanisms provide non-comparable privacy guarantees and should be chosen by threat model instead of headline utility. © 2026 by the authors.</t>
  </si>
  <si>
    <t>R0227</t>
  </si>
  <si>
    <t>Quantum resilient security framework for privacy preserving AI in Apple MM1 on device architecture</t>
  </si>
  <si>
    <t>Umer, N.; Deng, M.; Zhang, Y.; Zhang, M.; Khan, S.</t>
  </si>
  <si>
    <t>Found in: Scopus · DOI: 10.1038/s41598-025-22056-5</t>
  </si>
  <si>
    <t>The emergence of multi-modal models such as Apple’s MM1 signifies a transition towards on-device artificial intelligence, diminishing dependence on cloud inference. However, quantum developments render classical cryptography vulnerable to data breach. We present QSAFE-MM1, a quantum-resilient security architecture that incorporates Federated Learning (FL), Fully Homomorphic Encryption (FHE), and lattice-based cryptography to enhance MM1’s security. Federated Learning (FL) facilitates decentralised training without the transmission of raw data, so safeguarding user privacy and attaining 94% processing efficiency, 1020 J energy consumption, 7% per hour battery depletion, and a thermal increase of + 4 °C. Fully Homomorphic Encryption (FHE) facilitates encrypted inference, preventing data breaches while processing; yet, it results in an 81% efficiency reduction, consumes 1600 J, causes a 13% per hour energy drain, and increases temperature by 7 °C. The complete QSAFE-MM1 stack (FL + FHE + DP) achieves 79% efficiency, with 1700 J, 14%/hr, and + 8 °C, indicating secure-performance trade-offs. Quantum resistance is attained by NIST-compliant lattice-based methods that are impervious to Shor’s algorithm, and asymmetric masking eliminates personally identifiable information during training. Empirical assessment verifies that QSAFE-MM1 maintains model accuracy (± 1.2% variance) and latency (&lt; 9% overhead) while ensuring post-quantum security. QSAFE-MM1 establishes a new standard for mobile AI security, harmonising quantum safety, user privacy, and performance under strict resource limitations, thereby presenting MM1 as a frontrunner in secure, on-device intelligence. © The Author(s) 2025.</t>
  </si>
  <si>
    <t>R0228</t>
  </si>
  <si>
    <t>GenoPPML - a framework for genomic privacy-preserving machine learning</t>
  </si>
  <si>
    <t>Carpov, S.; Gama, N.; Georgieva, M.; Jetchev, D.</t>
  </si>
  <si>
    <t>Found in: Scopus; IEEE · DOI: 10.1109/CLOUD55607.2022.00076</t>
  </si>
  <si>
    <t>We present a framework GenoPPML for privacy-preserving machine learning in the context of sensitive genomic data processing. The technology combines secure multiparty computation techniques based on the recently proposed Manticore framework for model training and fully homomorphic encryption based on TFHE for model inference. The framework was successfully used to solve breast cancer prediction problems on gene expression datasets coming from distinct private sources while preserving their privacy - the solution winning 1st place for both Tracks I and III of the genomic privacy competition iDASH'2020. Extensive benchmarks and comparisons to existing works are performed. Our 2-party logistic regression computation is 11× faster than the one in [1] on the same dataset and it uses only one CPU core.  © 2022 IEEE.</t>
  </si>
  <si>
    <t>R0229</t>
  </si>
  <si>
    <t>Dishonest Majority Multiparty Computation over Matrix Rings</t>
  </si>
  <si>
    <t>Liu, H.; Xing, C.; Yuan, C.; Zou, T.</t>
  </si>
  <si>
    <t>Found in: Scopus · DOI: 10.1007/978-981-96-0938-3_10</t>
  </si>
  <si>
    <t>The privacy-preserving machine learning (PPML) has gained growing importance over the last few years. One of the biggest challenges is to improve the efficiency of PPML so that the communication and computation costs of PPML are affordable for large machine learning models such as deep learning. As we know, linear algebra such as matrix multiplication occupies a significant part of the computation in deep learning such as deep convolutional neural networks (CNN). Thus, it is desirable to propose the MPC protocol specialized for the matrix operations. In this work, we propose a dishonest majority MPC protocol over matrix rings which supports matrix multiplication and addition. Our MPC protocol can be seen as a variant of SPDZ protocol, i.e., the MAC and global key of our protocol are vectors of length m and the secret of our protocol is an m×m matrix. Compared to the classic SPDZ protocol, our MPC protocol reduces the communication complexity by at least m times to securely compute a matrix multiplication. We also show that the communication complexity of our MPC protocol is asymptotically as good as [16] which also presented a dishonest majority MPC protocol specialized for matrix operations, i.e., the communication complexity of securely computing a multiplication gate is O(m2n2logq) in the preprocessing phase and O(m2nlogq) in the online phase. The share size and the number of multiplications of our protocol are reduced by around 50% and 40% of [16], respectively. However, we take a completely different approach. The protocol in [16] uses a variant of BFV scheme to embed a whole matrix into a single ciphertext and then treats the matrix operation as the entry-wise operation in the ciphertext while our approach resorts to a variant of vector linear oblivious evaluation (VOLE) called the subfield VOLE (In [33], there is a base VOLE which is also called subfield VOLE. The subfield VOLE in this paper is referred to the programmable VOLE ΠVOLEprog in [33] which silently generates correlated randomness from seeds) [33] which can securely compute the additive sharing of vx for v∈Fqb,x∈Fqa with sublinear communication complexity. Finally, we note that our MPC protocol can be easily extended to small fields. © International Association for Cryptologic Research 2025.</t>
  </si>
  <si>
    <t>R0230</t>
  </si>
  <si>
    <t>Breast Cancer Classification Aided by Homomorphic Encryption</t>
  </si>
  <si>
    <t>Kavitha, T.; Menon, I.; Priya, S.; Nair, G.; Preeti, M.</t>
  </si>
  <si>
    <t>Found in: Scopus; IEEE · DOI: 10.1109/ICEMCSI67638.2026.11603035</t>
  </si>
  <si>
    <t>In sensitive fields like healthcare, machine learning adoption is limited by privacy and security concerns. Federated Learning (FL) exposes vulnerabilities through inference attacks on model updates, whereas centralized approaches run the risk of data breaches. For detecting breast cancer, this paper presents a privacy-preserving framework that combines FL with CKKS homomorphic encryption. Hospitals can employ our strategy to locally train logistic regression models, encrypt weight updates with CKKS, and aggregate them without decryption. The system, which was implemented with PyTorch and OpenFHE, maintains data confidentiality throughout and achieves accuracy of 80% on the Wisconsin Breast Cancer Dataset. The framework ensures compliance with HIPAA and GDPR regulations while introducing only 22% less computational overhead than plain FL. Encryption efficiency will be the primary focus of future research, as will data distributions outside of IID.  © 2026 IEEE.</t>
  </si>
  <si>
    <t>R0231</t>
  </si>
  <si>
    <t>A comprehensive analysis of privacy-preserving techniques in deep learning based disease prediction systems</t>
  </si>
  <si>
    <t>Andrew, J.; Mathew, S.S.; Mohit, B.</t>
  </si>
  <si>
    <t>Found in: Scopus · DOI: 10.1088/1742-6596/1362/1/012070</t>
  </si>
  <si>
    <t>With the rise in demand for deep learning models due to its ability to learn features from data, and predict, it is widely used in disease prediction systems. However, as patient medical records are considered to be highly confidential due to them consisting of personal information, its privacy-preservation is of prime importance. Conventional privacy-preserving techniques often tend to hinder the utilitarian aspect of the system. In this paper we carry out a comprehensive analysis of privacy-preserving techniques for disease prediction systems that use deep learning along with a comparison of the different privacy-preserving techniques. This paper also discusses the existing privacy-preserving approaches in deep learning. They are cryptographic approaches, attribute-based encryptions, homomorphic encryptions and other hybrid approaches. © Published under licence by IOP Publishing Ltd.</t>
  </si>
  <si>
    <t>R0232</t>
  </si>
  <si>
    <t>Secure Outsourcing of Deep Active Learning in the IoT: From Both Sample Selection and Model Update Perspectives</t>
  </si>
  <si>
    <t>Medhi, J.K.; Chen, X.; Pan, M.; Li, P.</t>
  </si>
  <si>
    <t>Found in: Scopus; IEEE · DOI: 10.1109/TNSE.2025.3616896</t>
  </si>
  <si>
    <t>The Internet of Things (IoT) emerges as a ubiquitous information collection and processing paradigm that can potentially exploit massive data for various applications using machine learning technologies. However, these data are usually unlabeled, and the labeling process is usually both time and effort consuming. While active learning can reduce data labeling costs, the two computation-intensive operations, i.e., sample selection and learning model training, hinder the use of active learning on resource-limited IoT devices. Although cloud computing may relieve users from expensive computations, directly outsourcing data and computations to the cloud raises critical security and privacy concerns. In this paper, we develop a secure outsourcing framework for deep active learning (SEDAL) by considering a general active learning framework with a deep neural network (DNN) learning model. Instead of using computationally expensive encryption based methods, we utilize a lightweight linear algebra based secure matrix transformation scheme to protect the user's input data and the DNN model. Compared to traditional homomorphic encryption based secure outsourcing schemes, our scheme reduces the computational complexity at the user from O(n3) to O(n2). We evaluate the performance by implementing it on an arrhythmia diagnosis application. Experimental results show that the proposed scheme can obtain a well-trained classifier using fewer queried samples, the computation time outperforms the traditional homomorphic encryption and the state-of-the-art privacy-preserving outsourcing scheme (EVPP), and the computation time and communication overheads are acceptable and practical. © 2013 IEEE.</t>
  </si>
  <si>
    <t>R0233</t>
  </si>
  <si>
    <t>Transcriptomic analysis supports a role for the nervous system in regulating growth and development of Fasciola hepatica juveniles</t>
  </si>
  <si>
    <t>Robb, E.; McCammick, E.M.; Wells, D.; McVeigh, P.; Gardiner, E.; Armstrong, R.; McCusker, P.; Mousley, A.; Clarke, N.; Marks, N.J.; Maule, A.G.</t>
  </si>
  <si>
    <t>Found in: Scopus; PubMed · DOI: 10.1371/journal.pntd.0010854 · PMID: 36342907</t>
  </si>
  <si>
    <t>Fasciola spp. liver flukes have significant impacts in veterinary and human medicine. The absence of a vaccine and increasing anthelmintic resistance threaten sustainable control and underscore the need for novel flukicides. Functional genomic approaches underpinned by in vitro culture of juvenile Fasciola hepatica facilitate control target validation in the most pathogenic life stage. Comparative transcriptomics of in vitro and in vivo maintained 21 day old F. hepatica finds that 86% of genes are expressed at similar levels across maintenance treatments suggesting commonality in core biological functioning within these juveniles. Phenotypic comparisons revealed higher cell proliferation and growth rates in the in vivo juveniles compared to their in vitro counterparts. These phenotypic differences were consis-tent with the upregulation of neoblast-like stem cell and cell-cycle associated genes in in vivo maintained worms. The more rapid growth/development of in vivo juveniles was further evidenced by a switch in cathepsin protease expression profiles, dominated by cathepsin B in in vitro juveniles and by cathepsin L in in vivo juveniles. Coincident with more rapid growth/development was the marked downregulation of both classical and peptidergic neuronal signalling components in in vivo maintained juveniles, supporting a role for the nervous system in regulating liver fluke growth and development. Differences in the miRNA comple-ments of in vivo and in vitro juveniles identified 31 differentially expressed miRNAs, including fhe-let-7a-5p, fhe-mir-124-3p and miRNAs predicted to target Wnt-signalling, which supports a key role for miRNAs in driving the growth/developmental differences in the in vitro and in vivo maintained juvenile liver fluke. Widespread differences in the expression of neuronal genes in juvenile fluke grown in vitro and in vivo expose significant interplay between neuronal signalling and the rate of growth/development, encouraging consideration of neuronal targets in efforts to dysregulate growth/development for parasite control. © 2022 Robb et al.</t>
  </si>
  <si>
    <t>R0234</t>
  </si>
  <si>
    <t>AI-Driven Personalized Fall Prevention for Older Adults</t>
  </si>
  <si>
    <t>Xu, K.</t>
  </si>
  <si>
    <t>Found in: Scopus · DOI: 10.1609/aaai.v39i28.35342</t>
  </si>
  <si>
    <t>Falls among older adults pose a significant public health challenge, impacting quality of life and healthcare costs. This research proposal aims to develop an innovative AI-driven personalized fall prevention system for older adults, leveraging advanced machine learning techniques in computer vision, natural language processing, and reinforcement learning. The proposed system will encompass five key components: (1) Advanced pose estimation and activity recognition using HRNet with attention mechanisms and hybrid LSTM-GCN models; (2) Personalized risk assessment through multi-modal deep learning, combining CNNs, RNNs, and federated learning for privacy-preserving distributed training; (3) Adaptive intervention strategies employing Deep Q-Networks and model-based reinforcement learning with GAN-simulated environments; (4) Human-AI interaction utilizing SHAP values for explainable AI and fine-tuned GPT-3 for natural language communication; and (5) Privacy-preserving techniques including differential privacy and homomorphic encryption. The research will be conducted over a five-year period, involving data collection, model development, large-scale testing, and clinical trials. Expected outcomes include a scalable, privacy-preserving AI system capable of significantly reducing fall incidents among older adults, thereby improving quality of life and reducing healthcare costs. This interdisciplinary research contributes to advancing AI techniques in real-world healthcare applications while addressing critical ethical and privacy concerns, potentially transforming elderly care on a global scale. Copyright © 2025, Association for the Advancement of Artificial Intelligence (www.aaai.org). All rights reserved.</t>
  </si>
  <si>
    <t>R0235</t>
  </si>
  <si>
    <t>Accelerating Privacy-Preserving Machine Learning With GeniBatch</t>
  </si>
  <si>
    <t>Huang, X.; Zhang, J.; Cheng, X.; Zhang, H.; Jin, Y.; Hu, S.; Tian, H.; Chen, K.</t>
  </si>
  <si>
    <t>Found in: Scopus · DOI: 10.1145/3627703.3629563</t>
  </si>
  <si>
    <t>Cross-silo privacy-preserving machine learning (PPML) adopt; Partial Homomorphic Encryption (PHE) for secure data combination and high-quality model training across multiple organizations (e.g., medical and financial). However, PHE introduces significant computation and communication overheads due to data inflation. Batch optimization is an encouraging direction to mitigate the problem by compressing multiple data into a single ciphertext. While promising, it is impractical for a large number of cross-silo PPML applications due to the limited vector operations support and severe data corruption. In this paper, we present GeniBatch, a batch compiler that translates a PPML program with PHE into an efficient program with batch optimization. GeniBatch adopts a set of conversion rules to allow PHE programs involving all vector operations required in cross-silo PPML and ensures end-to-end result consistency before/after compiling. By proposing bit-reserving algorithms, GeniBatch avoids bit-overflow for the correctness of compiled programs and maximizes the compression ratio. We have integrated GeniBatch into FATE, a representative cross-silo PPML framework, and provided SIMD APIs to harness hardware acceleration. Experiments across six popular applications show that GeniBatch achieves up to 22.6× speedup and reduces network traffic by 5.4×-23.8× for generic cross-silo PPML applications.  © 2024 ACM.</t>
  </si>
  <si>
    <t>R0236</t>
  </si>
  <si>
    <t>AI-Driven Computational Frameworks: Advancing Edge Intelligence and Smart Systems</t>
  </si>
  <si>
    <t>Prabaharan, G.; Vidhya, S.; Chithrakumar, T.; Sika, K.; Balakrishnan, M.</t>
  </si>
  <si>
    <t>Found in: Scopus · DOI: 10.22399/ijcesen.1165</t>
  </si>
  <si>
    <t>The rapid advancements in Artificial Intelligence (AI) and Edge Computing are transforming modern computing paradigms by enabling real-time processing, low-latency decision-making, and enhanced intelligence in smart systems. This paper presents an AI-driven computational framework that integrates Edge Intelligence (EI) with adaptive deep learning models to optimize data processing and decision-making at the edge. The proposed framework employs federated learning, neuromorphic computing, and reinforcement learning-based optimization to improve efficiency, security, and scalability in distributed edge environments. Key components include lightweight AI models for energy-efficient edge inference, privacy-preserving techniques using homomorphic encryption and blockchain, and self-learning architectures for adaptive real-time analytics. The study evaluates the framework’s performance in diverse applications, including smart healthcare, autonomous vehicles, and industrial IoT, demonstrating significant improvements in computational efficiency, network resilience, and response time compared to traditional cloud-based architectures. Comprehensive simulations and real-world case studies validate the feasibility and effectiveness of the proposed approach, showing a 35% reduction in latency, a 30% increase in energy efficiency, and a 50% improvement in decision accuracy in edge-enabled smart systems. This research highlights the critical role of AI-driven computational frameworks in advancing next-generation intelligent computing, paving the way for autonomous, secure, and efficient edge-based smart environments. © IJCESEN.</t>
  </si>
  <si>
    <t>R0237</t>
  </si>
  <si>
    <t>AI-Driven predictive modelling for health insurance pricing with secure cloud deployment</t>
  </si>
  <si>
    <t>Mandala, R.R.; Jayaprakasam, B.S.; Garikipati, V.; Ubagaram, C.; Dyavani, N.R.; Ogunmola, G.A.</t>
  </si>
  <si>
    <t>Found in: Scopus · DOI: 10.1080/17509653.2026.2668574</t>
  </si>
  <si>
    <t>Various factors, such as demographic characteristics, medical history, and claims history influence health insurance pricing. Predicting pricing strategies and maintaining data security are important aspects of health insurance. This study proposes the factors influencing health insurance data and develops predictive models using Artificial Intelligence (AI) techniques to understand pricing strategies in the health insurance sector. This predicted AI model is encrypted and stored in a cloud database to ensure data security and management. Initially, the US Health Insurance Dataset is utilized, Hot Deck Imputation is applied for missing values, and Cook’s distance for outlier detection to increase the reliability of the data. The discrete cosine transform key features are extracted for prediction using the transform. Attention in an Echo State Network (ESN) increases the accuracy of pricing. Brakerski-Fan-Vercauteren encryption ensures sensitive insurance data is protected, and private cloud deployment is made possible by encryption, which secures the AI model. The experimental results proved the efficiency of the method for price predictions with a 0.07235 Mean Absolute Error and R2 score of 99.57%, while imposing security with an encryption time of 26.65 seconds for 1000MB of model data, thus providing a robust and scalable solution for health insurance pricing. © 2026 International Society of Management Science and Engineering Management.</t>
  </si>
  <si>
    <t>R0238</t>
  </si>
  <si>
    <t>PM-SRCANet: A Privacy-Preserving Multimodal Stress Recognition Convolutional Attention Network Model</t>
  </si>
  <si>
    <t>Xiong, J.; Wu, W.; Chen, J.; Su, C.; Zhao, W.; Lin, J.; Jiao, D.</t>
  </si>
  <si>
    <t>Found in: Scopus · DOI: 10.1007/978-981-96-8731-2_4</t>
  </si>
  <si>
    <t>This study introduces PM-SRCANet, a privacy-preserving framework for stress recognition using multimodal physiological signals. With chronic stress linked to cardiovascular diseases and immune dysfunction, accurate detection systems are essential for health monitoring. PM-SRCANet addresses existing model limitations by combining convolutional neural networks with attention mechanisms to capture complex relationships in physiological data. The framework implements TFHE fully homomorphic encryption to ensure secure inference on encrypted data without compromising performance. Evaluated on the WESAD 3-class emotional classification dataset, PM-SRCANet achieved 99.72% accuracy, surpassing state-of-the-art methods while maintaining reasonable computational overhead for encrypted inference. This integration of privacy-preserving computation with advanced multimodal learning offers a secure, efficient solution for reliable stress recognition in privacy-sensitive applications. © The Author(s), under exclusive license to Springer Nature Singapore Pte Ltd. 2025.</t>
  </si>
  <si>
    <t>R0239</t>
  </si>
  <si>
    <t>Towards Intelligent and Secure Healthcare: A Survey on the Role of Edge Computing, Federated Learning and Homomorphic Encryption</t>
  </si>
  <si>
    <t>Asha Kumari, A.; Kumar, E.S.; Prajwal, B.</t>
  </si>
  <si>
    <t>Found in: Scopus; IEEE · DOI: 10.23919/INDIACom66777.2025.11115574</t>
  </si>
  <si>
    <t>This research explores solely the integration of Homomorphic encryption with Federated Learning and Edge Computing within the healthcare domain. Edge Computing focuses on processing the data at the edge of the network, rather than sending the data to the centralized cloud to process the data and send the processed data back to the device, this approach will thereby offer reduced latency and enhanced real-time data handling, which is crucial for most healthcare devices which are IoT based devices. Federated Learning works based on Federation where data is shared between two parties. Here we focus on Machine Learning in a distributed approach, where the models can be trained across multiple decentralized devices while maintaining data privacy. One may argue that security is the major flaw in this approach, and this is where we can use an encryption technique called homomorphic encryption. It allows computation to be performed on the encrypted data itself, so there is no need for data decryption throughout the data processing lifecycle so the security and reliability on the central servers and the threat of data breaches are reduced. The synergy between these technologies is highlighted in various applications, including remote health monitoring, smart hospitals, and secure data management. Choosing the right framework is key to the implementation of federated learning in the healthcare domain. The research provides a detailed comparison of the most popular frameworks in terms of data privacy, scalability, performance, and computational complexity.  © 2025 Bharati Vidyapeeth, New Delhi.</t>
  </si>
  <si>
    <t>R0240</t>
  </si>
  <si>
    <t>Enhancing Medical Diagnostics with Federated Learning: Secure Model Aggregation Across Hospitals</t>
  </si>
  <si>
    <t>Ghanta, S.; Yarra, K.; Kancharla, L.; Kondapaneni, K.; Boreddy, D.; Boyapati, P.; Pradhan, A.K.</t>
  </si>
  <si>
    <t>Found in: Scopus · DOI: 10.1007/978-3-032-19981-2_26</t>
  </si>
  <si>
    <t>The integration of Artificial Intelligence (AI) into the medical field is revolutionizing healthcare by enabling efficient diagnostics and decision-making. A key challenge in medical AI is to ensure accurate predictions while maintaining data privacy and confidentiality. Several works have tried to address this challenge using Federated Learning (FL), but most of them are limited to simulated environments with no real-world implementation. We propose a real-time Websocket communication-based FL method for classifying medical images, which enables several hospitals to work together to train a deep learning (DL) model without disclosing private patient information. Each hospital, acting as a worker node, trains a local DL model on medical image datasets. Locally trained models generate weight parameters that are encrypted using homomorphic encryption (HE). These encrypted weights are then safely transmitted to a centralized master node, where they are aggregated to create an updated global DL model. The final model is then deployed back to the worker nodes, ensuring improved accuracy and generalization. Communications between the worker nodes and the master node are facilitated using WebSocket-based connections. Using FL and encryption techniques, this real-time implementation enhances model performance while preserving patient data confidentiality, demonstrating the practical feasibility of AI-driven secure healthcare solutions. © The Author(s), under exclusive license to Springer Nature Switzerland AG 2026.</t>
  </si>
  <si>
    <t>R0241</t>
  </si>
  <si>
    <t>Securing Federated Learning in Health IoT with Edge-Assisted Homomorphic Encryption</t>
  </si>
  <si>
    <t>Kavati, R.; Pulkaram, S.S.; Khan, H.; Jalooli, A.</t>
  </si>
  <si>
    <t>Found in: Scopus; IEEE · DOI: 10.1109/CCWC67433.2026.11393779</t>
  </si>
  <si>
    <t>The rapid expansion of wearable Internet of Things (IoT) devices in healthcare enables continuous monitoring of physiological signals but introduces critical privacy challenges, especially when training machine learning (ML) models on sensitive, distributed data. Federated learning (FL) addresses this by allowing collaborative model training without sharing raw patient data. However, most existing FL systems either transmit model updates in plaintext exposing them to inference attacks or adopt encryption schemes that are computationally prohibitive for resource-constrained devices. In this paper, we present a modular, privacy-preserving FL framework for health IoT that integrates Cheon-Kim-Kim-Song (CKKS) based Homomorphic Encryption (HE) at trusted edge nodes (e.g., home routers). This design offloads encryption from wearable devices, enabling secure model aggregation and update distribution while maintaining low energy and latency overheads. We evaluate our system on real-world datasets, measuring model utility (accuracy, F1), encryption latency, and end-to-end delay. Results demonstrate that our scheme preserves privacy with minimal performance degradation, supporting practical and secure deployment in realtime health monitoring scenarios. © 2026 IEEE.</t>
  </si>
  <si>
    <t>R0242</t>
  </si>
  <si>
    <t>Secure Integer Comparison Protocol For ML-based Disease Diagnosis In MHN With Energy Efficient Edge Computing</t>
  </si>
  <si>
    <t>Alex, S.; Dhanaraj, K.J.; Deepthi, P.P.</t>
  </si>
  <si>
    <t>Found in: Scopus · DOI: 10.1109/CISS53076.2022.9751179</t>
  </si>
  <si>
    <t>The benefits that MHN offers to healthcare services are not fully garnered due to concerns on privacy and security of sensitive medical data. Severe constraints on battery capacity and computing resources at the edge devices of MHN impose restrictions in deploying strong secure systems. Medical data need to be stored, communicated, and processed securely in real-time. Homomorphic encryption help to perform linear operations securely on the encrypted data. More complicated operations like ML-based disease diagnosis require nonlinear operations such as integer comparison. Hence a secure multiparty computation over homomorphically encrypted data is required for secure integer comparison. However, comparison protocols available in the literature use energy-hungry public-key cryptosystems. This article presents the design of an energy-efficient additively homomorphic modified Rivest scheme (AHMRS) to support secure integer comparison protocol (SICP-AHMRS), which facilitates fast and energy-efficient ML-based disease diagnosis. The proposed SICP-AHMRS guarantees the privacy of the data being compared. The experiments using the Raspberry Pi 3B+ board show that the energy consumption, processing delay, and bandwidth efficiency of the proposed SICP-AHMRS are much better than those of the existing schemes.  © 2022 IEEE.</t>
  </si>
  <si>
    <t>R0243</t>
  </si>
  <si>
    <t>Towards Efficient and Privacy Preserving ECG Classification: Federated Transfer Learning Enhanced by CKKS-Based Homomorphic Encryption</t>
  </si>
  <si>
    <t>Found in: Scopus · DOI: 10.21123/2411-7986.5066</t>
  </si>
  <si>
    <t>In healthcare, maintaining both the accuracy and privacy of medical diagnoses collaboratively is a significant challenge. To the best of our knowledge, this research proposes the first end-to-end Privacy-Preserving Federated Transfer Learning (PPFTL) framework for 2-D ECG arrhythmia classification. Incorporating Transfer Learning (TL) narrows the gap between the encrypted and non-encrypted framework versions in the training step. It involves the transformation of raw Electrocardiogram (ECG) signals into 2-D ECG grayscale images. The dataset is disseminated after transformation to images and then fed as input into the local models, where MobileNetV2 serves as a feature extractor. The training process for each client incorporates data balance and augmentation techniques to improve the model’s performance. Deep Learning (DL) models are subject to various privacy attacks to gain sensitive data. As a result, the Homomorphic Encryption Cheon-Kim-Kim-Song (HE-CKKS) scheme encrypts only model parameters to protect deep models from adversary attacks, preventing the sharing of sensitive raw data. Experimental results on the MIT-BIH Arrhythmia dataset achieved 88.12% accuracy. Incorporating HE-CKKS increased computation times by 1.08%, 1.27%, and 1.43% for 2, 3, and 4 clients, respectively. © 2025 The Author(s).</t>
  </si>
  <si>
    <t>R0244</t>
  </si>
  <si>
    <t>Overview of real-world applications of federated learning with NVIDIA FLARE</t>
  </si>
  <si>
    <t>Roth, H.R.; Xu, Z.; Chen, C.; Xu, D.; Dogra, P.; Flores, M.; Cheng, Y.; Feng, A.</t>
  </si>
  <si>
    <t>Found in: Scopus; PubMed · DOI: 10.1080/10543406.2025.2456174 · PMID: 39895208</t>
  </si>
  <si>
    <t>Today’s challenges around global healthcare emphasize the need for large-scale collaborations between the clinical and sciesntific communities. However, regulatory constraints around data sharing and patient privacy might hinder access to data genuinely representing clinically relevant patient populations. We have developed an open-source federated learning framework, NVIDIA FLARE, to work around such restrictions while maintaining patient privacy using modern cryptographic and information-theoretic methods such as homomorphic encryption and differential privacy. In this work, we show how NVIDIA FLARE addresses clinical questions, such as predicting clinical outcomes in patients with COVID-19 and other real-world applications, including federated statistics and parameter-efficient adaptation of large language models under a collaborative setting, while allowing participants to retain governance over their data. © 2025 Taylor &amp; Francis Group, LLC.</t>
  </si>
  <si>
    <t>R0245</t>
  </si>
  <si>
    <t>Privacy-Preserving Breast Cancer Prediction Based on Logistic Regression</t>
  </si>
  <si>
    <t>Chen, S.; Li, J.; Zhang, K.; Di, A.; Lu, M.</t>
  </si>
  <si>
    <t>Found in: Scopus · DOI: 10.1093/comjnl/bxae035</t>
  </si>
  <si>
    <t>With the increasing strain on today’s healthcare resources, there is a growing demand for pre-diagnosis testing. In response, researchers have suggested diverse machine learning models for disease prediction, among which logistic regression stands out as one of the most effective models. Its objective is to enhance the accuracy and efficiency of pre-diagnosis testing, thereby alleviating the burden on healthcare resources. However, when multiple medical institutions collaborate to train models, the untrusted cloud server may pose a risk of private data leakage, enabling participants to steal data from one another. Existing privacy-preserving methods often suffer from drawbacks such as high communication costs, long training times and lack of security proofs. Therefore, it is imperative to jointly train an excellent model collaboratively and uphold data privacy. In this paper, we develop a highly optimized two-party logistic regression algorithm based on CKKS scheme. The algorithm optimizes ciphertext operations by employing ciphertext segmentation and minimizing the multiplication depth, resulting in time savings. Furthermore, it utilizes least squares to approximate sigmoid functions within specific intervals that cannot be handled by homomorphic encryption. Finally, the proposed algorithm is evaluated on a breast cancer dataset, and simulation experiments demonstrate that the model’s prediction accuracy, after machine learning training, exceeds 96% for two-sided encrypted data. © The British Computer Society 2024. All rights reserved.</t>
  </si>
  <si>
    <t>R0246</t>
  </si>
  <si>
    <t>Health-FedNet: secure federated learning for chronic disease prediction on MIMIC-III with differential privacy and homomorphic encryption</t>
  </si>
  <si>
    <t>Shahid, M.I.; Badar, H.M.S.; Asghar, M.N.; Abdullah, A.</t>
  </si>
  <si>
    <t>Found in: Scopus; PubMed · DOI: 10.1038/s41598-026-36034-y · PMID: 41663498</t>
  </si>
  <si>
    <t>The growing trend of utilizing artificial intelligence in healthcare has put it under significant consideration as a means of enhancing early diagnosis and clinical decision-making, though the centralized storage of patient information persists in posing significant privacy, regulatory, and interoperability issues. This paper presents a new federated learning framework named Health-FedNet, which is a privacy-protective and secure predictive model of chronic diseases and is designed to allow training a model using multiple institutions without the transfer of raw clinical information. This framework integrates three main elements, including calibrated differential privacy, the Paillier homomorphic encryption, and secure aggregation, which guarantee that the updates of the models are kept secure during the training pipeline. A node-weighting program is integrated so as to stabilize convergence in the situation where the data distribution is heterogeneous by giving priority to high-quality institutional contributions. Health-FedNet was tested on the MIMIC-III clinical database to predict diabetes and hypertension in a simulated environment of multiple hospitals under realistic conditions. The results of the experiment obtained after five independent runs prove that the model has reached an accuracy of 92%, and AUC-ROC is equal to 0.94, with the confidence interval showing the relevance of these findings at 95 percent. Paired t-tests (p &lt; 0.01) have statistically validated that Health-FedNet is 12% more predictive than centralized and baseline federated (meaning less communication overhead produces a 41.6% decrease in communication overhead). Privacy tests show that the suggested approach will lower the membership inference risk by 20 to 5%. The framework is compliant with HIPAA and GDPR and proves to be robust in the presence of noisy or imbalanced clinical data. Health-FedNet gives a viable basis for safe federated healthcare analytics and has high potential to be implemented in distributed hospital information systems. © The Author(s) 2026.</t>
  </si>
  <si>
    <t>R0247</t>
  </si>
  <si>
    <t>Identification of the source of blood meals in mosquitoes collected from north-eastern Australia</t>
  </si>
  <si>
    <t>Gyawali, N.; Taylor-Robinson, A.W.; Bradbury, R.S.; Huggins, D.W.; Hugo, L.E.; Lowry, K.; Aaskov, J.G.</t>
  </si>
  <si>
    <t>Found in: Scopus · DOI: 10.1186/s13071-019-3455-2</t>
  </si>
  <si>
    <t>Background: More than 70 arboviruses have been identified in Australia and the transmission cycles of most are poorly understood. While there is an extensive list of arthropods from which these viruses have been recovered, far less is known about the non-human hosts that may be involved in the transmission cycles of these viruses and the relative roles of different mosquito species in cycles of transmission involving different hosts. Some of the highest rates of human infection with zoonotic arboviruses, such as Ross River (RRV) and Barmah Forest (BFV) viruses, occur in coastal regions of north-eastern Australia. Methods: Engorged mosquitoes collected as a part of routine surveillance using CO2-baited light traps in the Rockhampton Region and the adjoining Shire of Livingstone in central Queensland, north-eastern Australia, were analysed for the source of their blood meal. A 457 or 623 nucleotide region of the cytochrome b gene in the blood was amplified by PCR and the amplicons sequenced. The origin of the blood was identified by comparing the sequences obtained with those in GenBank®. Results: The most common hosts for the mosquitoes sampled were domestic cattle (26/54) and wild birds (14/54). Humans (2/54) were an infrequent host for this range of mosquitoes that are known to transmit arboviruses causing human disease, and in an area where infections with human pathogens like RRV and BFV are commonly recorded. The blood meals identified in the most abundant vector analysed, Culex annulirostris, were from 10 different vertebrate hosts. The notable detection of chimpanzee blood in two mosquitoes, presumably obtained from a nearby zoo, extends the known range of hosts for this species. Culex quinquefasciatus and Cx. sitiens fed almost exclusively on a variety of bird species. Conclusions: While human-mosquito-human transmission of arboviruses like RRV can occur, this study highlights the potential importance of zoonotic cycles of transmission, including avian species, of arboviruses that are indigenous to Australia. Further studies on larger samples of blood-engorged mosquitoes are required to validate the trends observed herein. Moreover, serological and virological evidence that the hosts on which the mosquitoes are feeding are being infected with arboviruses of interest are required. © 2019 The Author(s).</t>
  </si>
  <si>
    <t>R0248</t>
  </si>
  <si>
    <t>Explainable and Privacy-Preserving Machine Learning via Domain-Aware Symbolic Regression</t>
  </si>
  <si>
    <t>Fong, K.S.; Motani, M.</t>
  </si>
  <si>
    <t>Explainability and privacy are the top concerns in machine learning (ML) for medical applications. In this paper, we propose a novel method, Domain-Aware Symbolic Regression with Homomorphic Encryption (DASR-HE), that addresses both concerns simultaneously by: (i) producing domain-aware, intuitive and explainable models that do not require the end-user to possess ML expertise and (ii) training only on securely encrypted data without access to actual data values or model parameters. DASR-HE is based on Symbolic Regression (SR), which is a first-class ML approach that produces simple and concise equations for regression, requiring no ML expertise to interpret. In our work, we improve the performance of SR algorithms by using existing domain-specific medical equations to augment the search space of equations, decreasing the search complexity and producing equations that are similar in structure to those used in practice. To preserve the privacy of the medical data, we enable our algorithm to learn on data that is homomorphically encrypted (HE), meaning that arithmetic operations can be done in the encrypted space. This makes HE suitable for machine learning algorithms to learn models without access to the actual data values or model parameters. We evaluate DASR-HE on three medical tasks, namely predicting glomerular filtration rate, endotracheal tube (ETT) internal diameter and ETT depth and find that DASR-HE outperforms existing medical equations, other SR ML algorithms and other explainable ML algorithms. © 2024 K.S. Fong &amp; M. Motani.</t>
  </si>
  <si>
    <t>R0249</t>
  </si>
  <si>
    <t>FedGraphHE: A privacy-preserving federated graph neural network framework with dynamic homomorphic encryption and robust aggregation</t>
  </si>
  <si>
    <t>Zuo, A.; Feng, Z.; Ping, Y.; Tao, S.; Sun, H.; Chen, Y.</t>
  </si>
  <si>
    <t>Found in: Scopus; PubMed · DOI: 10.1371/journal.pone.0339881 · PMID: 41490270</t>
  </si>
  <si>
    <t>Federated learning (FL) enables collaborative model training across distributed intelligent devices while preserving data privacy. In smart healthcare networks, medical institutions can jointly learn from distributed patient data using graph neural networks (GNNs). This approach improves diagnostic accuracy without compromising patient confidentiality. However, federated GNNs face substantial challenges. These include gradient privacy vulnerabilities, computational overhead from homomorphic encryption, and susceptibility to Byzantine attacks. This paper presents FedGraphHE, a privacy-preserving federated GNN framework for secure collaborative intelligence. Our methodology integrates three synergistic modules. First, Dynamic Adaptive Partitioned Homomorphic Encryption (DAPHE) optimizes gradient transmission. Second, Hierarchical Multi-scale Adaptive Graph Transformer (HMAGT) enables encryption-aware graph processing. Third, Federated Robust Aggregation via Homomorphic Inner Product (FRAHIP) provides Byzantine-resilient aggregation. Experimental results demonstrate FedGraphHE’s effectiveness across multiple scenarios. The framework consistently outperforms existing privacy-preserving methods on citation network benchmarks (Cora, CiteSeer, PubMed). It achieves 98.18% classification accuracy on medical imaging datasets (ISIC 2020), and reduces communication costs by approximately 25% compared to existing homomorphic encryption baselines. The framework maintains over 95% accuracy under Byzantine attacks, establishing it as an effective solution for privacy-sensitive collaborative learning applications. © 2026 Zuo et al. This is an open access article distributed under the terms of the Creative Commons Attribution License, which permits unrestricted use, distribution, and reproduction in any medium, provided the original author and source are credited.</t>
  </si>
  <si>
    <t>R0250</t>
  </si>
  <si>
    <t>NeuroNimbus: Enabling Privacy-Preserving Real-Time Clinical Intelligence via Federated and Cloud-Orchestrated Deep Learning</t>
  </si>
  <si>
    <t>Govindarajan, V.; Patel, P.</t>
  </si>
  <si>
    <t>Found in: Scopus · DOI: 10.1109/ACCESS.2025.3628552</t>
  </si>
  <si>
    <t>This study presents NeuroNimbus (NN), a federated and cloud-orchestrated deep learning framework for privacy-preserving, real-time clinical decision support. NN kept data local at hospitals and used a lightweight cloud service to coordinate model updates with privacy guarantees. On MIMIC-III and eICU, NN sustained edge inference latency at 84 ms, cut aggregation rounds by 34% and cumulative transmitted bytes by 38% versus fixed scheduling, and achieved near-centralized AUC for mortality and sepsis prediction. In simulation, NN scaled to 50 heterogeneous clients without network congestion. An RL-driven scheduler (FCPO) adaptively selected clients and synchronization intervals under a byte budget while enforcing latency targets. These results indicate that NN can deliver low-latency clinical intelligence with formal privacy protections across distributed healthcare networks. © 2013 IEEE.</t>
  </si>
  <si>
    <t>R0251</t>
  </si>
  <si>
    <t>Secure Cloud Architecture for Privacy-Preserving Machine Learning on Electronic Health Records with Web-Based Analytics Tools</t>
  </si>
  <si>
    <t>Garapati, R.S.; Aitha, A.R.; Singireddy, S.</t>
  </si>
  <si>
    <t>Found in: Scopus · DOI: 10.1007/978-3-032-26349-0_33</t>
  </si>
  <si>
    <t>Electronic health records (EHRs) contain highly sensitive personal and medical information, making privacy preservation a critical concern when leveraging cloud computing for machine learning (ML) analytics. The widespread adoption of cloud-based healthcare systems has introduced significant challenges in maintaining data confidentiality during both training and inference phases of ML models. Traditional cloud architectures fail to provide adequate service level agreements regarding availability, integrity, and confidentiality of sensitive health- care data. This paper presents a novel secure cloud architecture that enables privacy-preserving machine learning on EHRs while seamlessly integrating web-based analytics tools for healthcare professionals. Our proposed system employs a multi-layered security approach incorporating homomorphic encryption, secure multi-party computation, differential privacy, and federated learning techniques. The architecture supports real-time inference through privacy-preserving artificial neural networks while maintaining HIPAA and GDPR compliance. Experimental results demonstrate that our system achieves 94.2% accuracy on cancer risk prediction tasks while introducing only 12% computational overhead compared to non-private baselines. The integrated web-based analytics platform provides intuitive visualization and interpretation capabilities, enabling healthcare professionals to make informed decisions based on privacy- preserved ML predictions. © The Author(s), under exclusive license to Springer Nature Switzerland AG 2026.</t>
  </si>
  <si>
    <t>R0252</t>
  </si>
  <si>
    <t>SEMMI: Multi-party security decision-making scheme for linear functions in the internet of medical things</t>
  </si>
  <si>
    <t>Found in: Scopus · DOI: 10.1016/j.ins.2022.08.102</t>
  </si>
  <si>
    <t>In the Internet of Medical Things(IoMT), developing models using machine learning algorithms can detect and assist users effectively in identifying health issues. Due to the risk of private user information being leaked during the machine learning application process, the widespread application and development of IoMT applications are hampered. Encrypting data is a good way to protect user privacy. However, given the participants’ limited resources, processing and analyzing ciphertext data presents a significant challenge. As a result, this paper proposes a secure and efficient assisted decision-making scheme (SEMMI) that is appropriate for the IoMT applications. SEMMI performs a thorough analysis of each participant's resource constraints, divides the data circulation process into four stages, and constructs a data circulation and ciphertext calculation protocol. Data transmission security is ensured through the use of stream encryption and homomorphic encryption. Each participant sends the ciphertext to the cloud, and the cloud calculates the ciphertext data, effectively relieving each participant's computational load. The security of the final result is guaranteed by matching the result with pre-decryption. The scheme's security and efficiency are demonstrated experimentally. The results indicate that the accuracy loss of each data set under the ciphertext is no more than 3% at most and that the cloud performs most of the calculations for each participant. Finally, SEMMI is applied to the FedAvg algorithm, demonstrating the scheme's universality. © 2022 Elsevier Inc.</t>
  </si>
  <si>
    <t>R0253</t>
  </si>
  <si>
    <t>Hemodynamic characteristics of sigmoid sinus wall dehiscence-pulsatile tinnitus patients with normal intracranial pressure</t>
  </si>
  <si>
    <t>Chen, L.; Ma, X.; Liu, X.; Wei, H.; Li, R.; Liu, Z.</t>
  </si>
  <si>
    <t>Found in: Scopus; PubMed · DOI: 10.21037/qims-2025-aw-2214 · PMID: 42147909</t>
  </si>
  <si>
    <t>Background: Sigmoid sinus wall dehiscence (SSWD) is the most common etiology of venous pulsatile tinnitus (PT). However, the exact blood flow mechanisms of SSWD-PT remain unclear, and intracranial pressure is closely associated with its development. This study aimed to assess the hemodynamic characteristics of the sigmoid sinus in SSWD-PT patients with normal intracranial pressure using fourdimensional (4D)-flow magnetic resonance imaging (MRI) and explore potential noninvasive markers for identifying SSWD as the true etiology of PT. Methods: This is a case-control study. We enrolled 23 SSWD-PT patients with normal intracranial pressure and 35 age-, sex-matched healthy controls. Hemodynamics of the sigmoid sinus were evaluated by 4D-flow MRI, including average velocity (Vavg), maximum velocity (Vmax), average and maximum through-plane velocity (Vtp_avg, Vtp_max), forward and backward flow volumes (FFV, BFV), average blood flow (Flowavg), regurgitant fraction (RF), and average wall shear stress (WSSavg). Blood flow patterns were visually evaluated for vortex or turbulence. Interobserver agreement was assessed using interclass correlation coefficient (ICC). Hemodynamic parameters in the bilateral sigmoid sinuses of controls were compared using paired samples t-test or Wilcoxon signed-rank test. Group differences between SSWD-PT patients and controls were assessed using independent samples t-tests or Mann-Whitney U tests for continuous variables and Chi-squared tests for categorical variables. Logistic regression analysis was performed to identify independent predictors and build a diagnostic model. Receiver operating characteristic (ROC) curves were used to assess the diagnostic efficacy of the hemodynamic parameters. Internal validation of the model was conducted using bootstrapping with 1,000 iterations to assess model stability and robustness. The P&lt;0.05 was considered statistically significant. Results: Compared with the corresponding side in controls, the symptomatic side of PT patients presented significantly higher Vavg (P&lt;0.001), Vmax (P&lt;0.001), BFV (P&lt;0.001), RF (P&lt;0.001), and WSSavg (P=0.002), and significantly lower Vtp_avg (P&lt;0.001), FFV (P=0.006), and Flowavg (P&lt;0.001). Vortex or turbulence were observed in 78.3% of symptomatic sigmoid sinuses (P&lt;0.001). Interobserver agreement was excellent for all hemodynamic parameters (ICC =0.88–0.94). Logistic regression identified Vavg and WSSavg as independent predictors (both P&lt;0.001). ROC analysis showed predictive value for Vavg [area under the curve (AUC) =0.880] and WSSavg (AUC =0.740), with the combination achieving superior performance (AUC =0.934; sensitivity 82.6%, specificity 94.3%, accuracy 87.9%, P&lt;0.001). Bootstrapping validation confirmed the combined model's stability (AUC =0.932, sensitivity 85.2%, specificity 89.8%, accuracy 88.0%). Conclusions: SSWD-PT patients with normal intracranial pressure demonstrated increased blood flow complexity and hemodynamic changes in the symptomatic sigmoid sinus. The combination of Vavg and WSSavg may serve as a noninvasive marker to identify SSWD as the true etiology of PT. © 2026 AME Publishing Company.</t>
  </si>
  <si>
    <t>R0254</t>
  </si>
  <si>
    <t>The ethics of data mining in healthcare: challenges, frameworks, and future directions</t>
  </si>
  <si>
    <t>Ahmed MM; Okesanya OJ; Oweidat M; Othman ZK; Musa SS; Lucero-Prisno Iii DE</t>
  </si>
  <si>
    <t>Found in: PubMed · DOI: 10.1186/s13040-025-00461-w · PMID: 40646553</t>
  </si>
  <si>
    <t>Data mining in healthcare offers transformative insights yet surfaces multilayered ethical and governance challenges that extend beyond privacy alone. Privacy and consent concerns remain paramount when handling sensitive medical data, particularly as healthcare organizations increasingly share patient information with large digital platforms. The risks of data breaches and unauthorized access are stark: 725 reportable incidents in 2023 alone exposed more than 133 million patient records, and hacking-related breaches surged by 239% since 2018. Algorithmic bias further threatens equity; models trained on historically prejudiced data can reinforce health disparities across protected groups. Therefore, transparency must span three levels-dataset documentation, model interpretability, and post-deployment audit logging-to make algorithmic reasoning and failures traceable. Security vulnerabilities in the Internet of Medical Things (IoMT) and cloud-based health platforms amplify these risks, while corporate data-sharing deals complicate questions of data ownership and patient autonomy. A comprehensive response requires (i) dataset-level artifacts such as "datasheets," (ii) model-cards that disclose fairness metrics, and (iii) continuous logging of predictions and LIME/SHAP explanations for independent audits. Technical safeguards must blend differential privacy (with empirically validated noise budgets), homomorphic encryption for high-value queries, and federated learning to maintain the locality of raw data. Governance frameworks must also mandate routine bias and robust audits and harmonized penalties for non-compliance. Regular reassessments, thorough documentation, and active engagement with clinicians, patients, and regulators are critical to accountability. 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 rights and sustaining public trust.</t>
  </si>
  <si>
    <t>R0255</t>
  </si>
  <si>
    <t>Towards Trustworthy and Scalable IoT: A Blockchain-Federated Learning Approach Based on GSR-C2N</t>
  </si>
  <si>
    <t>Ahmad, S.; Arif, M.; Ansari, M.A.; Mewada, A.</t>
  </si>
  <si>
    <t>Found in: Scopus; IEEE · DOI: 10.1109/MPCON66082.2025.11256738</t>
  </si>
  <si>
    <t>The flood of smart gadgets connected to the Internet-of-Things (IoT) has led organizations to look for secure machine-learning tools that respect user privacy and can scale on demand. To some extent, Federated learning meets this need because it lets devices train a shared model without sending their raw data to a central server, while blockchain adds a tamper-proof record that everyone can trust. The work presented here combines those ideas into a new framework based on Graph Feature Extracted Sparse-Raven Optimized CNN (GSR-C2N), which was originally created to detect crypto-mining malware. Using GSR-C2N's graph-centric feature grab and fine-tuning engine, the system gains the power to filter IoT traffic and flag threats. Blockchain connects devices together, secures privacy, lets them reach consensus, and keeps a clear audit log. Tests on smart city sensors and healthcare nodes show that this setup achieves 96.85% accuracy and 97.51% specificity using K-fold cross-validation. Finally, scalability runs smoothly, homomorphic encryption keeps sensitive data secure, and everything complies with today's regulations, creating a perfect security blanket for the expanding world of connected things.  © 2025 IEEE.</t>
  </si>
  <si>
    <t>R0256</t>
  </si>
  <si>
    <t>Blockchain-based node authentication algorithm for securing electronic health record data transmission</t>
  </si>
  <si>
    <t>Malik, R.; Dua, S.; Shoran, P.</t>
  </si>
  <si>
    <t>Found in: Scopus · DOI: 10.1007/s10586-025-05214-2</t>
  </si>
  <si>
    <t>The advent of Internet of Things (IoT) technologies in healthcare has heightened risks to Electronic Health Records (EHRs), including authentication vulnerabilities and data privacy concerns. This study proposes a novel blockchain-based node authentication algorithm for IoT healthcare, integrating Hyperledger Fabric, Homomorphic Encryption, and Recurrent Neural Networks (RNN). Employing a dual-layer security approach, the methodology utilizes a challenge-response mechanism and dynamic key exchange to ensure tamper-proof data transmission. Encrypted processing preserves confidentiality, while machine learning enhances anomaly detection accuracy to 99.01%, achieving a security rate of 99%. Comprehensive evaluations demonstrate significant improvements in efficiency, scalability, and robustness, addressing latency and computational overhead challenges. By fusing blockchain’s immutability with intelligent encryption and authentication, this solution revolutionizes EHR protection in IoT environments and scalable healthcare data management. © The Author(s), under exclusive licence to Springer Science+Business Media, LLC, part of Springer Nature 2025.</t>
  </si>
  <si>
    <t>R0257</t>
  </si>
  <si>
    <t>Research on Privacy-Preserving Federated Learning in Healthcare Based on Paillier-LE</t>
  </si>
  <si>
    <t>Liu, Q.; Ling, L.</t>
  </si>
  <si>
    <t>Found in: Scopus; IEEE · DOI: 10.1109/EIECC67963.2025.11409649</t>
  </si>
  <si>
    <t>With the deep penetration of artificial intelligence technology into the medical field, model training based on multisource medical data has become a core path to improve the accuracy of disease diagnosis and optimize the efficiency of treatment decisions. However, medical data is both highly sensitive and geographically dispersed across institutions. Sharing raw data can easily lead to privacy leaks. Traditional centralized machine learning struggles to balance the core contradiction between 'data value mining' and 'privacy protection,' a pain point that has driven the rapid development of privacy computing technology. Federated learning, as a typical privacy-preserving computation method, protects medical data privacy to a certain extent by sharing model parameters instead of raw data. However, local model parameters in federated learning pose a risk of sensitive information leakage. To address this issue, this paper proposes a lightweight Paillier-LE homomorphic encryption algorithm to resolve the contradiction between local model parameter privacy leakage and excessive homomorphic encryption time. Based on the Paillier algorithm and the Chinese Remainder Theorem, the algorithm is optimized to shorten encryption time while ensuring security and homomorphic properties. Furthermore, gradient pruning techniques are used to further reduce communication overhead. Comparative experiments with two datasets and three other encryption algorithms verify the algorithm's comprehensive advantages in encryption/decryption efficiency and model accuracy. © 2025 IEEE.</t>
  </si>
  <si>
    <t>R0258</t>
  </si>
  <si>
    <t>Benchmarking Homomorphic Encryption Libraries with a Focus on Multithreading</t>
  </si>
  <si>
    <t>Ozilgili, E.; Kanpak, H.I.; Kupcu, A.; Sav, S.</t>
  </si>
  <si>
    <t>Found in: Scopus; IEEE · DOI: 10.1109/ISCTrkiye68593.2025.11224823</t>
  </si>
  <si>
    <t>Homomorphic encryption (HE) enables computations on encrypted data without requiring decryption, offering strong privacy guarantees for sensitive applications such as healthcare, finance, and machine learning. Among the various HE schemes, Cheon-Kim-Kim-Song (CKKS) stands out as one of the most widely used and well-suited for performing approximate arithmetic on real or complex numbers. This study presents a comparative benchmark of three state-of-the-art HE libraries supporting the CKKS scheme, i.e., Microsoft SEAL, OpenFHE, and Lattigo, with a particular emphasis, for the first time, on multi-threaded performance. In addition to fundamental operations such as encryption, key generation, additions, and rotations, crucial operations such as inner product and matrixvector multiplication were evaluated under various parameter settings and thread configurations. Results reveal distinct tradeoffs among the libraries in terms of latency and multithreading capabilities, offering valuable insights for selecting the most appropriate HE library for real-world, performance-sensitive, privacy-preserving applications. Our implementation is available at https://github.com/ErenOzilgili/FHE_libs.  © 2025 IEEE.</t>
  </si>
  <si>
    <t>R0259</t>
  </si>
  <si>
    <t>Encrypted Training Using Logistic Regression with Different Polynomial Approximations of the Sigmoid Function</t>
  </si>
  <si>
    <t>Seth, A.; Gawali, S.; Corman, A.; Goveas, N.; Rao, A.</t>
  </si>
  <si>
    <t>Found in: Scopus · DOI: 10.1007/978-3-032-12834-8_14</t>
  </si>
  <si>
    <t>Due to digitization, handling big data safely is a big concern nowadays. Cryptography plays a crucial role in protecting sensitive data. Encrypting the data before sending it to the cloud server is a better practice to secure data and perform analysis on encrypted data without revealing raw data. Machine learning is used to make inferences from this encrypted data. The fully homomorphic encryption (FHE) scheme CKKS enables us to perform operations like training, testing, and inference on encrypted data. We have used the TenSEAL library in Python to encrypt our datasets using the CKKS fully homomorphic encryption scheme. As the traditional sigmoid activation function (σ(x)) used in logistic regression is not FHE-friendly, we have designed the logistic regression model to train this encrypted data using various polynomial approximations of the sigmoid. This model is secure, as it has been trained on encrypted data. We have experimented on binary classification datasets and observed diabetes, statlog, titanic, and heart datasets for polynomial approximation (0.500781+0.14670403x+0.001198x2-0.001006x3), which gives better accuracy than the traditional sigmoid activation function. © The Author(s), under exclusive license to Springer Nature Switzerland AG 2026.</t>
  </si>
  <si>
    <t>R0260</t>
  </si>
  <si>
    <t>Optimal multiple key-based homomorphic encryption with deep neural networks to secure medical data transmission and diagnosis</t>
  </si>
  <si>
    <t>Alzubi, J.A.; Alzubi, O.A.; Beseiso, M.; Budati, A.K.; Shankar, K.</t>
  </si>
  <si>
    <t>Found in: Scopus · DOI: 10.1111/exsy.12879</t>
  </si>
  <si>
    <t>Medical database classification problems can be considered as complex optimization problems to assure the diagnosis support precisely. In healthcare, several computer researchers have employed different deep learning (DL) approaches to enhance the classification performance. Besides, encryption is an effective way to offer secure transmission of medical data over public network. With this motivation, this paper presents new privacy-preserving encryption with DL based medical data transmission and classification (PPEDL-MDTC) model. The presented model derives multiple key-based homomorphic encryption (MHE) technique with sailfish optimization (SFO), called MHE-SFO algorithm-based encryption process. In addition, the cross-entropy based artificial butterfly optimization-based feature selection technique and optimal deep neural network (ODNN) based classification is carried out. In ODNN model, the hyperparameter optimization of the DNN model is carried out utilizing the use of chemical reaction optimization (CRO) algorithm. The proposed method has been simulated utilizing Python 3.6.5 tool, which is tested using activity recognition and sleep stage dataset. A detailed comparative outcomes analysis makes sure the higher efficiency of the PPEDL-MDTC on the state of art techniques with the detection accuracy of 0.9813 and 0.9650 on the applied activity recognition and University College Dublin Sleep Stage dataset. © 2021 John Wiley &amp; Sons Ltd.</t>
  </si>
  <si>
    <t>R0261</t>
  </si>
  <si>
    <t>Applying Deep Learning for Decoding of EEG and BFV about Ischemic Stroke Patients and Visualization</t>
  </si>
  <si>
    <t>Zhang, C.; Wu, D.</t>
  </si>
  <si>
    <t>Found in: Scopus · DOI: 10.1145/3383972.3384035</t>
  </si>
  <si>
    <t>In the Intensive Care Unit (ICU) environment, the electroencephalogram (EEG) and cerebral artery blood flow velocity (BFV) could help detect ischemia stroke. In our experiments, the three neural network models - - - LSTM, CNN and CNN-LSTM were designed which could help to evaluate the situation of the patient. It was found that CNN-LSTM showed the best performance in predicting the MRS with the accuracy 99.68%. In exploring the EEG, we found that the envelope of beta and gamma bands show higher correlation with the unit output of the neural network (p &lt;0.01, Analysis of Variance). For BFV, the correlation of BFV is strongly related to the responsible arteries of ischemic stroke, with a correct rate of 75%. In conclusion, the CNN-LSTM can predict the state of ischemic stroke patients, and the envelope of EEG and PSD features of BFV are important features learned by the network model for classification. © 2020 ACM.</t>
  </si>
  <si>
    <t>R0262</t>
  </si>
  <si>
    <t>B-CNN: Betadeep Convolutional Neural Network over encrypted data</t>
  </si>
  <si>
    <t>Issaoui, H.; ElAdel, A.; Zaied, M.</t>
  </si>
  <si>
    <t>Found in: Scopus · DOI: 10.1117/12.2679393</t>
  </si>
  <si>
    <t>The results of automatic learning algorithms based on deep neural networks are impressive, and they are extensively used in a variety of fields. However, access to private information, frequently sensitive to confidentiality (financial, medical, etc.), is required in order to use them. This calls for good precision as well as special attention to the privacy and security of the data. In this paper, we propose a novel approach to solve this issue by using Convolutional Neural Network (CNN) model over encrypted data. In order to achieve our contribution, we focus on approximating the often used activation functions that seem to be the key functions in CNN networks which are: ReLu, Sigmoid and Tanh. We start by creating a low-degree polynomial, which is essential for a successful homomorphic encryption (HE). This polynomial which is based on Beta function and its primitive will be used as an activation function. The next step is to build a CNN model using batch normalization to ensure that the data are contained inside a limited interval. Finally, MNIST is used in order to evaluate our methodology and assess the effectiveness of the proposed approach. The experimental results support the efficacy of the proposed approach. © 2023 SPIE.</t>
  </si>
  <si>
    <t>R0263</t>
  </si>
  <si>
    <t>Secure and Privacy-Preserving Federated Learning for Healthcare Time Series Data: A Comprehensive Review</t>
  </si>
  <si>
    <t>Das, B.; Dutta, P.; Mandal, A.</t>
  </si>
  <si>
    <t>Found in: Scopus; IEEE · DOI: 10.1109/IMED68921.2026.11484225</t>
  </si>
  <si>
    <t>A revolutionary method for collaborative health-care analytics, particularly about time series data, is federated learning (FL). Recent studies show that FL can provide strong privacy safeguards while maintaining high model usefulness in healthcare applications, especially when paired with privacy-enhancing technologies like homomorphic encryption, differential privacy, and secure multi-party computation (SMPC). Based on a large collection of foundation research, technologies, and applications, this study incorporates the most recent developments, real-world applications, and current issues in safe and privacy-centered federated learning (FL) for healthcare time-series data. A comprehensive literature search was conducted across over 170 million research papers in Consensus, encompassing databases such as Semantic Scholar, PubMed, and others. A total of 982 papers met the search strategy. Eight unique search groups were executed, focusing on privacy-preserving FL systems for healthcare. The surveyed literature shows that FL systems remain vulnerable to state-of-the-art attacks, including membership inference and model inversion, when the adversaries possess auxiliary information or when model upgrades are not adequately obfuscated. Despite significant progress, areas left uncovered by research are fairness, personalization, and communication efficiency. Understanding these trade-offs is essential for practical, scalable, and sustainable adoption in resource-constrained healthcare settings. © 2026 IEEE.</t>
  </si>
  <si>
    <t>R0264</t>
  </si>
  <si>
    <t>Securing the medical data using enhanced privacy preserving based blockchain technology in Internet of Things</t>
  </si>
  <si>
    <t>Vatambeti, R.; Krishna, E.S.P.; Karthik, M.G.; Damera, V.K.</t>
  </si>
  <si>
    <t>Found in: Scopus · DOI: 10.1007/s10586-023-04056-0</t>
  </si>
  <si>
    <t>Now that we live in the digital age, the proliferation of Internet of Things (IoT) strategies raises various design concerns related to privacy for businesses. Patients’ medical data poses an ethical and legal quandary for healthcare organisations, making security a difficult problem to solve. Early studies suggest that blockchain technology could be a substantial answer to the IoT’s data security issues. It is therefore critical to ensure data security when designing a blockchain approach for healthcare applications. A blockchain-based data broadcast strategy with a categorization model in the healthcare industry is proposed in this study. Data from multiple IoT data providers, like blockchain, is used to make secure training algorithms. To ensure a safe and secure learning environment, Homomorphic Encryption (HE) technology is used. The oppositional-based harmony search (OHS) algorithm was used to make the best key for the HE algorithm. For the group of multiple shares of acquired images, a multiple-share creation (MSC) ideal is used. This gives privacy and security to the model. In addition, the blockchain technology is used to transmit data securely to the cloud server, which performs the classification model based on the convolutional neural network to determine the presence of disease. To summarise, the proposed model is known as the OHE-MSC based network, and it employs blockchain technology to create a secure and trustworthy platform for the exchange of data between many data providers using IoT and logging it in a shared ledger. Two benchmark datasets, such as the Breast Cancer Wisconsin Dataset (BCWD) and the Heart Disease Data Set (HDD), are used to evaluate the projected method's performance. Several parts of the simulation showed that the OHE-MSC-based network model achieved better performance than all other approaches. © The Author(s), under exclusive licence to Springer Science+Business Media, LLC, part of Springer Nature 2023.</t>
  </si>
  <si>
    <t>R0265</t>
  </si>
  <si>
    <t>A new data clustering strategy for enhancing mutual privacy in healthcare IoT systems</t>
  </si>
  <si>
    <t>Guo, X.; Lin, H.; Wu, Y.; Peng, M.</t>
  </si>
  <si>
    <t>Found in: Scopus · DOI: 10.1016/j.future.2020.07.023</t>
  </si>
  <si>
    <t>In the rapidly growing era of Internet-of-Things (IoT), healthcare systems have enabled a sea of connections of physical sensors. Data analysis methods (e.g., k-means) are often used to process data collected from wireless sensor networks to provide treatment advices for physicians and patients. However, many methods pose a threat of privacy leakage during the process of data handling. To address privacy issues, we propose a mutual privacy-preserving k-means strategy (M-PPKS) based on homomorphic encryption that neither discloses the participant's privacy nor leaks the cluster center's private data. The proposed M-PPKS divides each iteration of a k-means algorithm into two stages: finding the nearest cluster center for each participant, followed by computing a new center for each cluster. In both phases, the cluster center is confidential to participants, and the private information of each participant is not accessible by an analyst. Besides, M-PPKS introduces a third-party cloud platform to reduce the communication complexity of homomorphic encryption. Extensive privacy analysis and performance evaluation results manifest that the proposed M-PPKS strategy can achieve high performance. In addition, it can obtain approximate clustering results efficiently while preserving mutual private data. © 2020</t>
  </si>
  <si>
    <t>R0266</t>
  </si>
  <si>
    <t>Securing Digital Health through Big Data Analytics and Blockchain Driven Cybersecurity in Healthcare Systems</t>
  </si>
  <si>
    <t>Shah, R.; Tandon, R.; Arora, N.</t>
  </si>
  <si>
    <t>Found in: Scopus; IEEE · DOI: 10.1109/ICIDCA66325.2025.11280450</t>
  </si>
  <si>
    <t>Healthcare is becoming an increasingly data-driven field, relying on elements like electronic medical records, sensor-based measurements, and genetic data to influence diagnostics, treatment, operational decisions, and more. This proliferation of health big data has led to the increasing cybersecurity threats that threaten patient privacy and data integrity and system stability. This paper studies the convergence of big data, cyber security and blockchain technology within the healthcare infrastructure by focusing on two major methodologies, homomorphic encryption for secure big data processing and blockchain-based smart contracts for decentralized access control. Homomorphic encryption allows to compute on encrypted patient data without decrypting to preserve privacy for predictive analytics and clinical research. At the same time, blockchain systems are used to control permissioned data access, as to prevent unauthorized updates and provide auditable records. The proposed solutions are evaluated for scalability, latency and interoperability using real healthcare datasets as well as simulated model. It has also been found that the fusion of cryptography with technologies such as distributed ledger has the potential to enhance trust, transparency, and resilience of digital healthcare solutions.  © 2025 IEEE.</t>
  </si>
  <si>
    <t>R0267</t>
  </si>
  <si>
    <t>SECURE BIOMETRIC AUTHENTICATION SYSTEM FOR EMBEDDED SYSTEMS WITH LIMITED COMPUTING RESOURCES</t>
  </si>
  <si>
    <t>Harina, N.; Dolzhenkova, M.; Iminova, Z.</t>
  </si>
  <si>
    <t>Found in: Scopus · DOI: 10.15622/ia.25.3.10</t>
  </si>
  <si>
    <t>Biometric authentication technologies such as face, fingerprint, iris, and palm vein recognition are currently widely used in banking applications, medical systems, access control systems, and government information resources. The use of such technologies must be accompanied by measures to protect biometric information during processing and storage, especially in the face of the growing number of targeted attacks on personal data. One promising approach to ensuring the security of biometric information is the use of homomorphic encryption. The paper presents an autonomous secure biometric authentication system based on the user's palm vein patterns in the near infrared spectrum for embedded solutions implemented using privacy-preserving technology to protect biometric data. Studies have shown the practical feasibility of a biometric authentication system using a lightweight Siamese neural network to extract a feature vector and homomorphic encryption to ensure confidentiality on processors with limited computing resources based on single-board computers such as Raspberry Pi. Resistance to distortion, including rotations, noise, displacements, and varying encryption parameters, has been confirmed. The performance of the developed system was evaluated on a combined dataset consisting of images from the CASIA-MS-PalmprintV1 and Tongji Contactless Palmvein datasets, yielding the following results: classification accuracy 98.2, EER 0.73, AUC 0.96, and processing time 1.2 seconds, which meet the requirements for such systems. Analysis of the results shows that the developed system is inferior in accuracy to client-server solutions based on heavyweight convolutional neural networks due to limited computing resources and the consequent need for a lightweight neural network, but at the same time it provides secure biometric data processing while maintaining an acceptable response time. Reducing the processing time when implemented on single-board computers can be achieved by using both specialized computing accelerators and by employing other libraries that support homomorphic computations and are less demanding on computing resources. © 2026, St. Petersburg Federal Research Center of the Russian Academy of Sciences. All rights reserved.</t>
  </si>
  <si>
    <t>R0268</t>
  </si>
  <si>
    <t>SeizAI: A Secure AI-Based Seizure Detection via Homomorphic EEG Encryption</t>
  </si>
  <si>
    <t>Gupta, S.; Sayeed, M.A.</t>
  </si>
  <si>
    <t>Found in: Scopus; IEEE · DOI: 10.1109/AIBThings66987.2025.11296212</t>
  </si>
  <si>
    <t>Epileptic seizures, triggered by irregular electrical activity in the brain, pose serious health challenges for millions worldwide. Accurate, secure and timely detection of seizures is vital to improve patient outcomes and quality of life. This work presents a secure, real-time seizure detection framework driven by artificial intelligence (AI) utilizing machine learning algorithms and homomorphic encryption (HE). This framework ensures data privacy and compliance with healthcare regulatory requirements while enabling computational analysis directly on encrypted data. To address class imbalance and improve model performance, methods including fixed-length signal segmentation and sliding window approaches were applied. The widely used CHB-MIT and Bonn EEG datasets were used for validation. Among the models tested, XGBoost achieved the best results, with an average accuracy of 90%, a precision of 87%, and a sensitivity of 92%. The proposed approach underscores the potential of integrating machine learning with encryption technologies to develop secure and accurate seizure detection systems, paving the way for innovative and privacy-preserving solutions in healthcare.  © 2025 IEEE.</t>
  </si>
  <si>
    <t>R0269</t>
  </si>
  <si>
    <t>Integrated Privacy Preserving Healthcare System Using Posture-Based Classifier in Cloud</t>
  </si>
  <si>
    <t>Kumar, C.S.; Kumar, K.V.</t>
  </si>
  <si>
    <t>Found in: Scopus · DOI: 10.32604/iasc.2023.029669</t>
  </si>
  <si>
    <t>Privacy-preserving online disease prediction and diagnosis are critical issues in the emerging edge-cloud-based healthcare system. Online patient data processing from remote places may lead to severe privacy problems. Moreover, the existing cloud-based healthcare system takes more latency and energy consumption during diagnosis due to offloading of live patient data to remote cloud servers. Solve the privacy problem. The proposed research introduces the edgecloud enabled privacy-preserving healthcare system by exploiting additive homomorphic encryption schemes. It can help maintain the privacy preservation and confidentiality of patients’ medical data during diagnosis of Parkinson’s disease. In addition, the energy and delay aware computational offloading scheme is proposed to minimize the uncertainty and energy consumption of end-user devices. The proposed research maintains the better privacy and robustness of live video data processing during prediction and diagnosis compared to existing healthcare systems. © 2023, Tech Science Press. All rights reserved.</t>
  </si>
  <si>
    <t>R0270</t>
  </si>
  <si>
    <t>Performance Analysis of Machine Learning on Homomorphically Encrypted Data</t>
  </si>
  <si>
    <t>Mahatho, M.F.; Chen, Y.; Zhang, S.</t>
  </si>
  <si>
    <t>Found in: Scopus; IEEE · DOI: 10.1109/WCSP62071.2024.10826872</t>
  </si>
  <si>
    <t>The need for encrypted machine learning arises from the growing concern over data privacy and security in the era of big data and artificial intelligence. This study examines the performance of machine learning (ML) models on homomorphic encrypted data using the CKKS encryption scheme. We evaluated various models, including k-nearest neighbors (KNN), logistic regression (LR), and convolutional neural networks (CNN) on diverse datasets, including the Titanic, Pima Indians Diabetes, MNIST, and Fraud Detection datasets. Our experiments compare the performance of these models on encrypted and unencrypted data to assess the impact of encryption. The results demonstrate that while encryption introduces a slight performance degradation, the accuracy loss remains within acceptable limits. For instance, the logistic regression model's accuracy on the Titanic dataset was 82.72% for plain data, 81.36% for encrypted data with a polynomial degree of 4096, and 82.00% for a polynomial degree of 8192. The MNIST CNN model achieved 99.4% accuracy on plain data, 98.0% with 4096, and 99.0% with 8192. Our findings highlight the practical applicability of encrypted machine learning in preserving data privacy without significantly compromising performance, offering valuable insights for future research and development in secure machine learning systems.  © 2024 IEEE.</t>
  </si>
  <si>
    <t>R0271</t>
  </si>
  <si>
    <t>Secure Medical Image Transmission using Deep Learning and Chaotic Map-Enhanced Homomorphic Encryption for Privacy Preservation</t>
  </si>
  <si>
    <t>Suvitha, B.; Santhiya, K.; Selvi, S.M.; Jeyasri, S.V.</t>
  </si>
  <si>
    <t>Found in: Scopus; IEEE · DOI: 10.1109/ICOEI68323.2026.11541415</t>
  </si>
  <si>
    <t>Secure transmission of medical images is critical in telemedicine and healthcare applications, where privacy and data integrity are paramount. This paper presents a hybrid approach that combines Convolutional Neural Networks (CNNs) with chaotic-map-based feature scrambling and homomorphic encryption to enhance the security of medical image transmission. In the proposed system, CNN is employed to extract robust image features, which are then secured using a chaotic map before encryption, providing dual-layer protection against unauthorized access. The effectiveness of the method is evaluated using Peak Signal-to-Noise Ratio (PSNR) to assess image quality preservation, Structural Similarity Index Measure (SSIM) to assess structural fidelity, and Encryption Speed to assess computational efficiency. Experimental results demonstrate that the hybrid approach achieves high security, preserves image quality, and maintains efficient encryption performance, enabling efficient deployment in healthcare systems. By integrating deep learning-based feature extraction, chaotic scrambling, and Homomorphic Encryption, this work presents a robust and privacy-preserving framework for secure medical image transmission. © 2026 IEEE.</t>
  </si>
  <si>
    <t>R0272</t>
  </si>
  <si>
    <t>An Efficient and Privacy preserving Computation Framework for Tibetan medicine</t>
  </si>
  <si>
    <t>Zhao, R.; Xie, Y.; Zhang, L.; Cao, H.; Liu, P.</t>
  </si>
  <si>
    <t>Found in: Scopus; IEEE · DOI: 10.1109/CSCloud-EdgeCom58631.2023.00018</t>
  </si>
  <si>
    <t>With the continuous development of Tibetan medicine, using machine learning technology to enhance the value of Tibetan medical data has become very important. However, the concerns of Tibetan medical institutions about data leakage have hindered the sharing of Tibetan medical data. Therefore, in this paper, we propose a privacy preserving computation framework based on dual servers. Our framework can securely store Tibetan medical data on cloud servers. The secure computation (such as machine learning training or machine learning prediction) is performed by cloud servers without compromising data. On the premise of ensuring data security, we combine the multi-key homomorphic encryption and secret sharing to design some secure building blocks. Through the security analysis and performance evaluation, our proposed scheme is efficient and practical. © 2023 IEEE.</t>
  </si>
  <si>
    <t>R0273</t>
  </si>
  <si>
    <t>HideMIA: Hidden Wavelet Mining for Privacy-Enhancing Medical Image Analysis</t>
  </si>
  <si>
    <t>Lin, X.; Yu, Y.; Yu, Z.; Meng, R.; Zhou, J.; Liu, A.; Liu, Y.; Wang, S.; Tang, W.; Lei, Z.; Kot, A.</t>
  </si>
  <si>
    <t>Found in: Scopus · DOI: 10.1145/3664647.3680806</t>
  </si>
  <si>
    <t>Despite the advancements that deep learning has brought to medical image analysis (MIA), protecting the privacy of images remains a challenge. In a client-server MIA framework, especially after deployment, patients' private medical images can be easily captured by attackers from the transmission channel or malicious third-party servers. Previous MIA privacy-enhancing methods, whether based on distortion or homomorphic encryption, expose the fact that the transmitted images are medical images or transform the images into semantic-lacking noise. This tends to alert attackers, thereby falling into a cat-and-mouse game of theft and protection. To address this issue, we propose a covert MIA framework based on deep image hiding, namely HideMIA, which secures medical images by embedding them within natural cover images that are unlikely to raise suspicion. By directly analyzing the hidden medical images in the steganographic domain, HideMIA makes it difficult for attackers to notice the presence of medical images. Specifically, we propose the Mixture-of-Difference-Convolutions (MoDC) and Asymmetric Wavelet Attention (AsyWA) to enable HideMIA to conduct fine-grained analysis on each wavelet sub-band within the steganographic domain, mining features that are specific to medical images. Moreover, to reduce resource consumption on client devices, we design function-aligned knowledge distillation to obtain a lightweight hiding network, namely LightIH. Extensive experiments on six medical datasets demonstrate that our HideMIA achieves superior MIA performance and protective imperceptibility on medical image segmentation and classification. © 2024 ACM.</t>
  </si>
  <si>
    <t>R0274</t>
  </si>
  <si>
    <t>EPSLP: Efficient and privacy-preserving single-layer perceptron learning in cloud computing</t>
  </si>
  <si>
    <t>Wang, J.; Zhang, X.; Tao, X.; Wang, J.</t>
  </si>
  <si>
    <t>Found in: Scopus · DOI: 10.3233/JHS-180594</t>
  </si>
  <si>
    <t>With the synchronous development of both cloud computing and machine learning techniques, the resource constrained clients are preferring to outsource the tasks of data storage and computation to the cloud server. However, in this outsourcing paradigm, since the data owners lose the control of their data, it is of vital significance to address the privacy concern of data stored on the cloud server. Hence, many researchers have been focusing on preserving the privacy of training data in learning model. Recently, Wang et al. presented a privacy protection single-layer perceptron learning for e-healthcare (PSLP) by using Paillier cryptosystem. In this paper, we present that the cloud server can obtain the sensitive training data and weight vector in the PSLP scheme. Besides, based on a symmetric homomorphic encryption algorithm, we propose an efficient and privacy-preserving single-layer perceptron learning scheme in cloud computing, named EPSLP. Security analysis shows that the proposed EPSLP can protect the privacy of training data, intermediate results and the optimal single-layer perceptron predictive models. Finally, we implement the EPSLP scheme and PSLP scheme, and extensive experiments indicate that the EPSLP is efficient in data encryption phase and the training phase of predictive model. © 2018 IOS Press and the authors. All rights reserved</t>
  </si>
  <si>
    <t>R0275</t>
  </si>
  <si>
    <t>PCFormer: Accelerating Privacy-preserving Transformer Inference by Partition and Combination</t>
  </si>
  <si>
    <t>Zeng, B.; Pang, Z.; Zhang, Y.; Zhao, K.; Wu, T.; Yang, G.; Wang, L.; Wang, R.</t>
  </si>
  <si>
    <t>Found in: Scopus · DOI: 10.1609/aaai.v40i33.40033</t>
  </si>
  <si>
    <t>In recent years, transformer-based models have achieved remarkable success in sensitive domains, including healthcare, finance and personalized services, but their deployment raises significant privacy concerns. Existing secure inference studies have introduced cryptographic techniques such as Homomorphic Encryption (HE) and Secure Multi-Party Computation (MPC). However, these approaches either target isolated model components or incur prohibitive computational and communication overheads, failing to support latencysensitive or resource-limited environments. In our investigation, we identify substantial redundancy in the nonlinear operations and their alternation with linear layers in deep learning. Motivated by this observation, we propose PCFormer, a universal optimization methodology tailored for sequences of linear and nonlinear computations in the Transformer. PCFormer introduces structure-aware partition and combination techniques specially designed for Multi-Head Attention (MHA) and Feed-Forward Network (FFN). Specifically, we reveal the discrete sources of redundancy in the Softmax and GeLU functions during inference, implementing partitions at the token and channel levels, respectively. Subsequently, these reductions are then combined with the preceding and succeeding linear operations, thereby enhancing both computational and communication efficiency. Experimental results on GLUE benchmarks demonstrate that PCFormer achieves a 1.9× speedup in both computation and communication without compromising accuracy, compared to existing privacy-preserving Transformer frameworks. Furthermore, we demonstrate that PCFormer generalizes effectively to other deep learning architectures involving structured linear-nonlinear compositions under cryptographic constraints. © 2026, Association for the Advancement of Artificial Intelligence (www.aaai.org). All rights reserved.</t>
  </si>
  <si>
    <t>R0276</t>
  </si>
  <si>
    <t>Encrypted KNN Implementation on Distributed Edge Device Network</t>
  </si>
  <si>
    <t>Pradeep Kumar Reddy, B.; Meel, R.; Chatterjee, A.</t>
  </si>
  <si>
    <t>Found in: Scopus · DOI: 10.5220/0012761100003767</t>
  </si>
  <si>
    <t>Machine learning (ML) as a service has emerged as a rapidly expanding field across various industries like healthcare, finance, marketing, retail and e-commerce, Industry 4.0, etc where a huge amount of data is generated. To handle this amount of data, huge computational power is required for which cloud computing used to be the first choice. However, there are several challenges in cloud computing like limitations of bandwidth, network connectivity, higher latency, etc. To address these issues, edge computing is prominent nowadays, where the data from sensor nodes is collected and processed on low-cost edge devices. As simple sensor nodes are not capable of handling complex computations of ML models, data from sensor nodes need to be transferred to some nearest edge devices for further processing. If this sensor data is related to some securitycritical application, the privacy of such sensitive data needs to be preserved both during communication from sensor node to edge device and computation in edge nodes. This increased need to perform edge-based ML on privacy-preserved data has led to a surge in interest in homomorphic encryption (HE) due to its ability to perform computations on encrypted form of data. The highest form of HE, Fully Homomorphic Encryption (FHE), is capable of theoretically handling arbitrary encrypted algorithms but comes with huge computational overhead. Hence, the implementation of such a complex encrypted ML model on a single edge node is not very practical in terms of latency requirements. Our paper introduces a low-cost encrypted ML framework on a distributed edge cluster, where multiple low-cost edge devices (Raspberry Pi boards) are clustered to perform encrypted distributed K-Nearest Neighbours (KNN) algorithm computations. Our experimental result shows, KNN prediction on standard Wisconsin breast cancer dataset takes approximately 1.2 hours, implemented on a cluster of six pi boards, maintaining end-to-end data confidentiality of critical medical data without any requirement of costly cloud-based computation resource support. © 2024 by SCITEPRESS – Science and Technology Publications, Lda.</t>
  </si>
  <si>
    <t>R0277</t>
  </si>
  <si>
    <t>Privacy-Preserving Multi-Modal Learning for CKD Progression Prediction Using Federated Clinical Data</t>
  </si>
  <si>
    <t>Kaur, C.; Bansal, S.; Singh, C.</t>
  </si>
  <si>
    <t>Found in: Scopus; IEEE · DOI: 10.1109/EVST69093.2026.11660540</t>
  </si>
  <si>
    <t>Chronic Kidney Disease (CKD) are affecting more than 850 million people within the world. Early prediction remains difficult because clinical records, laboratory biomarkers, retinal imaging, and clinical notes are often fragmented across institutions and cannot be centrally pooled because of privacy regulations. This research presents a privacy-preserving federated learning framework for CKD progression prediction that is designed to integrate longitudinal clinical biomarkers, retinal imaging, and clinical text without raw data sharing. The framework uses attentionbased multimodal fusion, quality-aware client selection, pseudo-modality generation for missing inputs, differential privacy, and homomorphic encryption. To avoid overclaiming from unpaired public datasets, the evaluation is reported as a federated simulation and comparative benchmark using MIMIC-III/MIMIC-IV clinical data, OCTA-500/RFMiD retinal data, and performance values from related studies. The proposed benchmark configuration reports an internal AUC of 0.91 and external AUC of 0.86, while the fully attention-fused model achieves precision of the 0.94, recall of 0.95, F1-score of 0.945, and AUC of 0.97 in the ablation comparison. Under non-IID federated settings, FedMRI-style aggregation improves convergence compared with FedAvg, reaching 70.1% accuracy in the simplified 4-class setting. Adaptive differential privacy preserves most model utility, with 91.7% Dice score compared with a 92.9% non-private baseline. The study should therefore be interpreted as a privacy-preserving framework and benchmark analysis rather than a fully paired clinical-imaging validation study. © 2026 IEEE.</t>
  </si>
  <si>
    <t>R0278</t>
  </si>
  <si>
    <t>Blockchain Enabled Secure Medical Data Transmission and Diagnosis Using Golden Jackal Optimization Algorithm with Deep Learning</t>
  </si>
  <si>
    <t>Kulandaivelu, K.; Murugasamy, V.</t>
  </si>
  <si>
    <t>Found in: Scopus · DOI: 10.1590/1678-4324-2024240214</t>
  </si>
  <si>
    <t>The incorporation of deep learning (DL) and blockchain (BC) technologies in healthcare revolutionizes disease diagnoses and improves data security. The tamper-resistant and decentralized nature of BC safeguards the integrity and confidentiality of medical records, alleviating the risk of any unauthorized access. At the same time, DL techniques leverage intricate patterns within healthcare information to enhance the accuracy and speed of disease diagnoses. With this motivation, this article proposes a new BC with a golden jackal optimization algorithm enabled DL assisted secure medical data transmission and diagnoses (BGJOA-DLSMTD). The objective of the BGJOA-DLSMTD algorithm is to analyze the disease with a high detection rate and securely transfer the medical images. The BGJOA-DLSMTD algorithm integrates various levels of operations namely encryption, image acquisition, BC, and diagnostic process. Initially, GJOA with a homomorphism encryption system is employed for the process of image encryption wherein the optimum keys could be produced by the GJOA technique. Also, BC is implemented to store the encrypted imageries. Next, the diagnostic method includes Bayesian optimization algorithm (BOA) based hyper parameter tuning, deep belief network (DBN)-based classification, and CapsNet-based feature extraction. The empirical analysis of the proposed BGJOA-DLSMTD algorithm has been demonstrated by means of standard medical images and the outcomes underlined the superior achievement of the BGJOA-DLSMTD algorithm. © 2024 by the authors</t>
  </si>
  <si>
    <t>R0279</t>
  </si>
  <si>
    <t>Design of Secure IoMT Networks Using a Federated Learning Approach</t>
  </si>
  <si>
    <t>Sahu, H.; Joshi, N.K.; Chande, S.V.</t>
  </si>
  <si>
    <t>Found in: Scopus · DOI: 10.1007/978-981-97-6106-7_41</t>
  </si>
  <si>
    <t>The Internet of Multimedia Things (IoMT) is gaining speed due to the increase in multimedia data and the interconnectedness of real-world physical devices with the advent of the Internet of Things (IoT) and real-time multimedia data transmission services. The paper focuses on the IoMT's unique challenges and potential, particularly in the domains of security, privacy, and network efficiency. Our research pivots around two core areas: addressing network vulnerabilities in IoMT and enhancing data privacy, specifically in healthcare contexts. This includes an exploration of federated learning combined with homomorphic encryption, underlining their importance in maintaining data security and integrity. We investigate the balance between model performance and execution time, with a detailed analysis of classification metrics in both encrypted and plain data scenarios. This approach highlights the effectiveness of federated learning as a privacy-preserving method in healthcare IoMT applications. The synthesis of these findings illuminates the intricate balance required between security, privacy, and performance in IoMT. It underscores the potential of advanced ML models and privacy-preserving techniques in building a secure, resilient, and ethical digital ecosystem. Our study not only contributes to the advancements in network security and data privacy but also establishes a foundational framework for the responsible and innovative evolution of IoMT. This research fills a critical gap by focusing on the specific requirements and challenges of multimedia content in IoMT, advancing beyond the traditional IoT paradigms that predominantly consider scalar data. The IoMT model introduced here serves as a novel paradigm, envisioning smart, heterogeneous multimedia things interacting and cooperating to facilitate globally available multimedia-based services and applications. © The Author(s), under exclusive license to Springer Nature Singapore Pte Ltd. 2025.</t>
  </si>
  <si>
    <t>R0280</t>
  </si>
  <si>
    <t>Privacy-preserving patient similarity learning in a federated environment: Development and analysis</t>
  </si>
  <si>
    <t>Lee, J.; Sun, J.; Wang, F.; Wang, S.; Jun, C.-H.; Jiang, X.</t>
  </si>
  <si>
    <t>Found in: Scopus; PubMed · DOI: 10.2196/medinform.7744 · PMID: 29653917</t>
  </si>
  <si>
    <t>Background: There is an urgent need for the development of global analytic frameworks that can perform analyses in a privacy-preserving federated environment across multiple institutions without privacy leakage. A few studies on the topic of federated medical analysis have been conducted recently with the focus on several algorithms. However, none of them have solved similar patient matching, which is useful for applications such as cohort construction for cross-institution observational studies, disease surveillance, and clinical trials recruitment. Objective: The aim of this study was to present a privacy-preserving platform in a federated setting for patient similarity learning across institutions. Without sharing patient-level information, our model can find similar patients from one hospital to another. Methods: We proposed a federated patient hashing framework and developed a novel algorithm to learn context-specific hash codes to represent patients across institutions. The similarities between patients can be efficiently computed using the resulting hash codes of corresponding patients. To avoid security attack from reverse engineering on the model, we applied homomorphic encryption to patient similarity search in a federated setting. Results: We used sequential medical events extracted from the Multiparameter Intelligent Monitoring in Intensive Care-III database to evaluate the proposed algorithm in predicting the incidence of five diseases independently. Our algorithm achieved averaged area under the curves of 0.9154 and 0.8012 with balanced and imbalanced data, respectively, in ?-nearest neighbor with ?=3. We also confirmed privacy preservation in similarity search by using homomorphic encryption. Conclusions: The proposed algorithm can help search similar patients across institutions effectively to support federated data analysis in a privacy-preserving manner. © Junghye Lee, Jimeng Sun, Fei Wang, Shuang Wang, Chi-Hyuck Jun, Xiaoqian Jiang.</t>
  </si>
  <si>
    <t>R0281</t>
  </si>
  <si>
    <t>FedViTBloc: Secure and privacy-enhanced medical image analysis with federated vision transformer and blockchain</t>
  </si>
  <si>
    <t>Amaizu, G.C.; Sai, A.M.V.V.; Bhardwaj, S.; Kim, D.-S.; Siddula, M.; Li, Y.</t>
  </si>
  <si>
    <t>Found in: Scopus · DOI: 10.1016/j.hcc.2025.100302</t>
  </si>
  <si>
    <t>The increasing prevalence of cancer necessitates advanced methodologies for early detection and diagnosis. Early intervention is crucial for improving patient outcomes and reducing the overall burden on healthcare systems. Traditional centralized methods of medical image analysis pose significant risks to patient privacy and data security, as they require the aggregation of sensitive information in a single location. Furthermore, these methods often suffer from limitations related to data diversity and scalability, hindering the development of universally robust diagnostic models. Recent advancements in machine learning, particularly deep learning, have shown promise in enhancing medical image analysis. However, the need to access large and diverse datasets for training these models introduces challenges in maintaining patient confidentiality and adhering to strict data protection regulations. This paper introduces FedViTBloc, a secure and privacy-enhanced framework for medical image analysis utilizing Federated Learning (FL) combined with Vision Transformers (ViT) and blockchain technology. The proposed system ensures patient data privacy and security through fully homomorphic encryption and differential privacy techniques. By employing a decentralized FL approach, multiple medical institutions can collaboratively train a robust deep-learning model without sharing raw data. Blockchain integration further enhances the security and trustworthiness of the FL process by managing client registration and ensuring secure onboarding of participants. Experimental results demonstrate the effectiveness of FedViTBloc in medical image analysis while maintaining stringent privacy standards, achieving 67% accuracy and reducing loss below 2 across 10 clients, ensuring scalability and robustness. © 2025 The Author(s)</t>
  </si>
  <si>
    <t>R0282</t>
  </si>
  <si>
    <t>Assessment of Blood Flow Velocity in Retinal Vasculitis Using the Retinal Function Imager—A Pilot Study</t>
  </si>
  <si>
    <t>Stuebiger, N.; Lee, W.-H.; Birtel, J.; Druchkiv, V.; Davis, J.L.; DeBuc, D.C.</t>
  </si>
  <si>
    <t>Found in: Scopus; PubMed · DOI: 10.3390/jcm13133975 · PMID: 38999540</t>
  </si>
  <si>
    <t>Background: This pilot study aimed to evaluate the Retinal Function Imager (RFI) for visualizing retinal vasculature and assessment of blood flow characteristics in patients with retinal vasculitis. The RFI is a non-invasive imaging device measuring the blood flow velocity (BFV) in secondary and tertiary retinal vessels using hemoglobin as an intrinsic motion-contrast agent. Methods: To test the feasibility of the RFI for patients with retinal vasculitis, capillary perfusion maps (nCPMs) were generated from 15 eyes of eight patients (five females; mean age: 49 ± 12 years) with a mean uveitis duration of 74 ± 85 months. Five of these patients had birdshot chorioretinopathy, and three had primarily non-occlusive venous retinal vasculitis of unknown origin. To reflect that the BFV may be more reduced in patients with prolonged disease, patients were classified into a short-term (uveitis duration: 8–15 months) and a long-term uveitis group (uveitis duration: 60–264 months). Data were compared with healthy controls (16 eyes of 11 patients; mean age 45 ± 12 years; 8 females). Results: The mean BFV in the controls was 3.79 ± 0.50 mm/s in the retinal arteries and 2.35 ± 0.44 mm/s in the retinal veins, which was significantly higher compared to the retinal vasculitis group. Patients revealed an arterial BFV of 2.75 ± 0.74 mm/s (p &lt; 0.001) and a venous BFV of 1.75 ± 0.51 mm/s (p = 0.016). In the short-term group, a trend towards a decreased venular and arteriolar BFV was seen, while a significant reduction was observed in the long-term group. The patients’ microvasculature anatomy revealed by the nCPMs appeared unevenly distributed and a lower number of blood vessels were seen, along with a lower degree of complexity of their branching patterns, when compared with controls. Conclusions: This study demonstrated a reduction in venular and arteriolar BFVs in patients with retinal vasculitis. BFV alterations were already observed in early disease stages and became more pronounced in progressed disease. Additionally, we showed that retinal microvasculature changes may be observed by nCPMs. Retinal imaging with the RFI may serve as a diagnostic and quantifying tool in retinal vasculitis. © 2024 by the authors.</t>
  </si>
  <si>
    <t>R0283</t>
  </si>
  <si>
    <t>A K-nearest neighbor algorithm based on homomorphic encryption</t>
  </si>
  <si>
    <t>Guo, Z.; Wang, S.; Jin, W.; Gong, C.; Lin, N.</t>
  </si>
  <si>
    <t>Found in: Scopus; IEEE · DOI: 10.1109/IUCC/DSCI/SmartCNS.2019.00032</t>
  </si>
  <si>
    <t>Protection of privacy has become an essential problem in cloud platform security. In many cases, data is shared with the third party for the analysis purpose. However, the sharing of data for analysis is not safe. Fully homomorphic encryption (FHE) is very promising to deal with ciphertext without decryption, FHE has become one of the key technologies to improve the security of user sensitive information. In this paper, we solve the problem of privacy preserving k-Nearest neighbor classification (K-NN), which forms the basis of many data analysis applications. We propose a scheme FK-NN, which is based on homomorphic encryption and numerical comparator. In our scheme, the homomorphic subtraction operation is designed and implemented firstly. Then, the cloud calculates the nearest neighbors of a given data point while the data point as well as the data points in the training set are in encrypted form. We can obtain classification results which are in encrypted form. The correctness of the scheme has been shown over cardiac disease dataset. The results show the efficiency of the proposed scheme satisfy the requirements of the system and accurately classify data which is in encrypted form. © 2019 IEEE.</t>
  </si>
  <si>
    <t>R0284</t>
  </si>
  <si>
    <t>Invited Paper: A Practical Framework for Encrypted Medical Prediction using Blockchain-Anchored Key Management System</t>
  </si>
  <si>
    <t>Hamza, R.; Dao, M.-S.</t>
  </si>
  <si>
    <t>Found in: Scopus · DOI: 10.1145/3709020.3735357</t>
  </si>
  <si>
    <t>The growing abundance of digital health records offers remarkable pathways for AI-driven medical advancements, yet this precious resource calls for strong safeguards to protect sensitive patient data - a trust we are bound to honor. In this study, we present and meticulously evaluate a complete framework. This system is crafted to enable accurate medical predictions directly on encrypted data, in concert with a novel and secure approach for managing cryptographic keys (KMS). Our proposed solution integrates batched Cheon-Kim-Kim-Song (CKKS) homomorphic encryption (HE) for predictive modeling - specifically logistic regression - with a hybrid KMS. The proposed work employs HashiCorp Vault for the secure off-chain keeping of cryptographic keys. Access is ensured by a Hyperledger Fabric distributed ledger (DLT), which enforces Zero Trust and Four-Eye access control principles. We rigorously tested this integrated system using a medical dataset, carefully considering the intricate balance of trade-offs across different security levels (192-bit and 256-bit), various polynomial approximations for sigmoid functions, diverse batch sizes, prediction accuracy, and overall performance. The outcomes reveal that predictions made using homomorphic encryption achieved accuracy comparable to those from unencrypted (plaintext) data. This affirms its potential utility in clinical settings without undue compromise on privacy - a vital consideration. Our study reaffirms that effective batching is essential for good computational efficiency and that the DLT-guided KMS provides robust, transparent security with a manageable impact on performance. This investigation underscores that uniting homomorphic encryption with distributed ledger technology offers a truly viable path for creating trustworthy, privacy-respecting AI systems in healthcare. © 2025 Copyright held by the owner/author(s). Publication rights licensed to ACM.</t>
  </si>
  <si>
    <t>R0285</t>
  </si>
  <si>
    <t>Estimating pulmonary arterial pressure from 4D flow images</t>
  </si>
  <si>
    <t>Zhang, C.; Dong, Y.; Liu, T.; She, J.; Yang, J.; Li, D.; Xie, S.</t>
  </si>
  <si>
    <t>Found in: Scopus · DOI: 10.1016/j.medntd.2025.100354</t>
  </si>
  <si>
    <t>The non-invasive method for estimating the pulmonary arterial pressure (PAP) plays an important role in the screening and diagnosis of pulmonary arterial hypertension (PAH). We aimed to establish a phase-contrast magnetic resonance imaging (PC-MRI) based method to estimate PAP. Through analyzing a patient's morphologic and hemodynamic features, this method could be used to identify PAH, and provide diagnostic and grading information for PAH. We selected 39 study participants, comprising 18 healthy volunteers and 21 patients with PAH. Morphologic and hemodynamic parameters of each participant's pulmonary arteries were obtained from 4D Flow images. Hemodynamic features were performed selected by principal component analysis (PCA). PAH identification model was built with binary logistic regression. Furthermore, A multiple linear regression (MLR) model was developed to estimate PAP, the accuracy of which was evaluated by comparing it with the value measured by right heart catheterization (RHC). PAH identification was achieved with high accuracy, using the features of pulmonary arterial morphology or blood flow velocity (BFV). Compared with RHC, MLR results showed that using pulmonary arterial morphology and BFV features in combination can greatly improve the accuracy of PAP estimation. Our results showed that the mean relative error of PAP estimation in PAH patients could reach &lt;10 ​%. A highly accurate PC-MRI based method for PAH identification and PAP estimation was successfully established. Using hemodynamic features of the pulmonary artery could improve PAP estimation accuracy, which highlights the importance of hemodynamic evaluation of pulmonary arteries in the screening and diagnosis of PAH. © 2025 The Authors</t>
  </si>
  <si>
    <t>R0286</t>
  </si>
  <si>
    <t>Clinical Informatics Approaches to Facilitate Cancer Data Sharing</t>
  </si>
  <si>
    <t>Aneja, S.; Avesta, A.; Xu, H.; Machado, L.O.</t>
  </si>
  <si>
    <t>Found in: Scopus; PubMed · DOI: 10.1055/s-0043-1768721 · PMID: 37414028</t>
  </si>
  <si>
    <t>Objectives: Despite growing enthusiasm surrounding the utility of clinical informatics to improve cancer outcomes, data availability remains a persistent bottleneck to progress. Difficulty combining data with protected health information often limits our ability to aggregate larger more representative datasets for analysis. With the rise of machine learning techniques that require increasing amounts of clinical data, these barriers have magnified. Here, we review recent efforts within clinical informatics to address issues related to safely sharing cancer data. Methods: We carried out a narrative review of clinical informatics studies related to sharing protected health data within cancer studies published from 2018-2022, with a focus on domains such as decentralized analytics, homomorphic encryption, and common data models. Results: Clinical informatics studies that investigated cancer data sharing were identified. A particular focus of the search yielded studies on decentralized analytics, homomorphic encryption, and common data models. Decentralized analytics has been prototyped across genomic, imaging, and clinical data with the most advances in diagnostic image analysis. Homomorphic encryption was most often employed on genomic data and less on imaging and clinical data. Common data models primarily involve clinical data from the electronic health record. Although all methods have robust research, there are limited studies showing wide scale implementation. Conclusions: Decentralized analytics, homomorphic encryption, and common data models represent promising solutions to improve cancer data sharing. Promising results thus far have been limited to smaller settings. Future studies should be focused on evaluating the scalability and efficacy of these methods across clinical settings of varying resources and expertise. ©2023 IMIAand GeorgThiemeVerlagKG.</t>
  </si>
  <si>
    <t>R0287</t>
  </si>
  <si>
    <t>Data Analytics over Encrypted Data from Fully Homomorphic Encryption</t>
  </si>
  <si>
    <t>Mittal, S.; Singh, S.</t>
  </si>
  <si>
    <t>Found in: Scopus; IEEE · DOI: 10.1109/INDISCON58499.2023.10269997</t>
  </si>
  <si>
    <t>Recently, in machine learning research over private data becomes a need. Over the cloud, open data can be easily stolen and misused. However, dealing with data in every aspect of security and privacy of data as well as secure computation, analysis and prediction with the machine learning and deep learning models is a bit challenging due to several security-threatening issues. This paper helps to incorporate secure computation and analysis using a fully homomorphic encryption model without exposing data. Further, by deploying the Logistic regression, the ML model is used to predict the values over encrypted datasets. The logistic regression helps to predict whether a person is suffering from diabetes or not, securely over an encrypted dataset using the proposed FHE model while maintain the privacy of data without exposing data to any third party. Additionally, the proposed FHE-based ML model is compared with the standard ML model based on different performance measures. The results show that the ML model performs comparably and shows promising results while keeping data private and secure throughout computation and processing of dataset.  © 2023 IEEE.</t>
  </si>
  <si>
    <t>R0288</t>
  </si>
  <si>
    <t>Achieving Secure and Differentially Private Computations in Multiparty Settings</t>
  </si>
  <si>
    <t>Acar, A.; Celik, Z.B.; Aksu, H.; Uluagac, A.S.; McDaniel, P.</t>
  </si>
  <si>
    <t>Found in: Scopus · DOI: 10.1109/PAC.2017.12</t>
  </si>
  <si>
    <t>Sharing and working on sensitive data in distributed settings from healthcare to finance is a major challenge due to security and privacy concerns. Secure multiparty computation (SMC) is a viable panacea for this, allowing distributed parties to make computations while the parties learn nothing about their data, but the final result. Although SMC is instrumental in such distributed settings, it does not provide any guarantees not to leak any information about individuals to adversaries. Differential privacy (DP) can be utilized to address this; however, achieving SMC with DP is not a trivial task, either. In this paper, we propose a novel Secure Multiparty Distributed Differentially Private (SM-DDP) protocol to achieve secure and private computations in a multiparty environment. Specifically, with our protocol, we simultaneously achieve SMC and DP in distributed settings focusing on linear regression on horizontally distributed data. That is, parties do not see each others' data and further, can not infer information about individuals from the final constructed statistical model. Any statistical model function that allows independent calculation of local statistics can be computed through our protocol. The protocol implements homomorphic encryption for SMC and functional mechanism for DP to achieve the desired security and privacy guarantees. In this work, we first introduce the theoretical foundation for the SM-DDP protocol and then evaluate its efficacy and performance on two different datasets. Our results show that one can achieve individual-level privacy through the proposed protocol with distributed DP, which is independently applied by each party in a distributed fashion. Moreover, our results also show that the SM-DDP protocol incurs minimal computational overhead, is scalable, and provides security and privacy guarantees. © 2017 IEEE.</t>
  </si>
  <si>
    <t>R0289</t>
  </si>
  <si>
    <t>Edge Neuro-Symbolic AI Framework for Privacy-Preserving Real-Time Health Analytics in Consumer Wearable Devices</t>
  </si>
  <si>
    <t>Kim, S.-Y.; Saravanan, D.; Anbazhagan, G.</t>
  </si>
  <si>
    <t>Found in: Scopus · DOI: 10.1109/TCE.2025.3646489</t>
  </si>
  <si>
    <t>Wearable health devices are a breakthrough consumer electronic that enable long-term collection of physiological data and enable early warning of abnormalities in health. Nevertheless, the existing AI-based applications portray significant weakness in privacy safeguarding, interpretability, and instantaneous performance, which are further exacerbated when it comes to sensitive health information. The present work proposes a privacy-preserving, consumer wearable-specific neuro-symbolic AI model designed to mitigate these deficiencies through the integration of federated learning with symbolic reasoning. The framework also inserts a privacy saving layer of computation relying on the latest homomorphic encryption methods customized to resource-limited wearables. The methodology thus involves building hybrid neural-symbolic models that can work with data coming out of multi-modal sensors in a real-time fashion, that is, electrocardiogram (ECG) photoplethysmography (PPG), accelerometer and temperature sensors and provide clear explanations of the health assessment made. The deployment will be done through the usage of Logical Neural Networks, which will fuse external medical knowledge with the patterns achieved in the physiological data, thus, providing a foundation not only of the reliable health monitoring but also a suggestion incorporation. The empirical analysis has shown that the system is more effective than the current methods in detecting anomalies, accuracy translating to 94.8%, and that it covers privacy levels 70% less than cloud-based systems, and within a range that is latency of encryption values 35 ms, which is an optimum parameter to be used in real-time health-based monitoring. © 1975-2011 IEEE.</t>
  </si>
  <si>
    <t>R0290</t>
  </si>
  <si>
    <t>Medical data analytics for secure multi-party-primarily based cloud computing utilizing homomorphic encryption</t>
  </si>
  <si>
    <t>Sammeta, N.; Parthiban, L.</t>
  </si>
  <si>
    <t>Cloud computing has emerged as a vibrant part of today's modern world, providing computer services such as data storage, managing and processing via the internet. For the most part, cloud applications emphasize a multi-tenant structure to provide support for several customers in a single instance. A multi-tenancy situation involving the allocation of resources in cloud storage and the risks associated with it, in which confidentiality or integrity may be compromised. Homomorphic encryption is one such technique which guarantees to franchise in safeguarding information under cryptographic domain. The proposed modified Algebra Homomorphic Encryption scheme based on updated ElGamal (AHEE) encryption scheme is designed in such a way that the cloud administrators do not obtain any information about the medical data. This scheme is quantitatively evaluated using metrics such as encryption time and decryption time. The experimental results using UCI Machine Learning Repository ECG data set show that the proposed scheme achieved shorter encryption time of 6.61 ms and decryption time of 5.94 ms and also analyze this secured datum using big data analytics. © 2021 Scientific Publishers. All rights reserved.</t>
  </si>
  <si>
    <t>R0291</t>
  </si>
  <si>
    <t>Secure genotype imputation using homomorphic encryption</t>
  </si>
  <si>
    <t>Zhou, J.; Lei, B.; Lang, H.; Panaousis, E.; Liang, K.; Xiang, J.</t>
  </si>
  <si>
    <t>Found in: Scopus · DOI: 10.1016/j.jisa.2022.103386</t>
  </si>
  <si>
    <t>Genotype imputation estimates missing genotypes from the haplotype or genotype reference panel in individual genetic sequences, which boosts the potential of genome-wide association and is essential in genetic data analysis. However, the genetic sequences involve people's privacy, confirming an individual's identification and even disease information. This work proposes a secure genotype imputation model, which uses a linear regression model and the homomorphic encryption scheme over ciphertext to impute missing genotypes. The inference model is trained with float plaintext parameters, which are round into integers to avoid high complexity homomorphic evaluation on float number operations without bootstrapping operations. Even though the rounding parameters in the inference model are not the same as those in the trained model, We find that it will no effect on the outcome of the homomorphic prediction. Thus, a high-efficiency genotype imputation inference model over the ciphertext is obtained while keeping the high-security level. The simulation results indicate that the accuracy of the secure inference model is almost the same as the original model trained on float parameters. The secure inference model's accuracy is 98.6% for a single genotype. © 2022 Elsevier Ltd</t>
  </si>
  <si>
    <t>R0292</t>
  </si>
  <si>
    <t>Secure and provenance enhanced internet of health things framework: A blockchain managed federated learning approach</t>
  </si>
  <si>
    <t>Rahman, M.A.; Shamim Hossain, M.; Islam, M.S.; Alrajeh, N.A.; Muhammad, G.</t>
  </si>
  <si>
    <t>Found in: Scopus; PubMed · DOI: 10.1109/ACCESS.2020.3037474 · PMID: 34192116</t>
  </si>
  <si>
    <t>Recent advancements in the Internet of Health Things (IoHT) have ushered in the wide adoption of IoT devices in our daily health management. For IoHT data to be acceptable by stakeholders, applications that incorporate the IoHT must have a provision for data provenance, in addition to the accuracy, security, integrity, and quality of data. To protect the privacy and security of IoHT data, federated learning (FL) and differential privacy (DP) have been proposed, where private IoHT data can be trained at the owner's premises. Recent advancements in hardware GPUs even allow the FL process within smartphone or edge devices having the IoHT attached to their edge nodes. Although some of the privacy concerns of IoHT data are addressed by FL, fully decentralized FL is still a challenge due to the lack of training capability at all federated nodes, the scarcity of high-quality training datasets, the provenance of training data, and the authentication required for each FL node. In this paper, we present a lightweight hybrid FL framework in which blockchain smart contracts manage the edge training plan, trust management, and authentication of participating federated nodes, the distribution of global or locally trained models, the reputation of edge nodes and their uploaded datasets or models. The framework also supports the full encryption of a dataset, the model training, and the inferencing process. Each federated edge node performs additive encryption, while the blockchain uses multiplicative encryption to aggregate the updated model parameters. To support the full privacy and anonymization of the IoHT data, the framework supports lightweight DP. This framework was tested with several deep learning applications designed for clinical trials with COVID-19 patients. We present here the detailed design, implementation, and test results, which demonstrate strong potential for wider adoption of IoHT-based health management in a secure way.  © 2020 IEEE.</t>
  </si>
  <si>
    <t>R0293</t>
  </si>
  <si>
    <t>Fast homomorphic SVM inference on encrypted data</t>
  </si>
  <si>
    <t>Al Badawi, A.; Chen, L.; Vig, S.</t>
  </si>
  <si>
    <t>Found in: Scopus · DOI: 10.1007/s00521-022-07202-8</t>
  </si>
  <si>
    <t>Kernel methods are popular machine learning methods that provide automated pattern analysis of raw datasets. Of particular interest is Support Vector Machines that are used to solve supervised machine learning problems in many areas such as business, finance and healthcare. Nowadays, complex computations and data analytic tasks can be outsourced to specialized third parties. However, data owners might be reluctant to share their data especially when it includes sensitive information. Therefore, a need for privacy-preserving machine learning applications cannot be overstated. We present FHSVM: a Fast Homomorphic evaluation of non-linear SVM prediction on encrypted data using Fully Homomorphic Encryption. We provide design, implementation and several algorithmic and architectural optimizations such as novel packing strategies and parallel implementation to achieve real-time private prediction. We employed the CKKS FHE scheme to implement FHSVM under 128-bit security level. We evaluated FHSVM on a contemporary real-world large dataset compiled for anti-money laundering tasks in Bitcoin transactions. Empirical analysis demonstrates that homomorphic SVM prediction can be performed in 1.25 s on multi-core CPU platforms. In addition, FHSVM shows zero accuracy loss when compared to the non-privacy-preserving implementation. This shows that FHSVM is both computationally secure and fully utilizes the data. © 2022, The Author(s), under exclusive licence to Springer-Verlag London Ltd., part of Springer Nature.</t>
  </si>
  <si>
    <t>R0294</t>
  </si>
  <si>
    <t>Private Facial Prediagnosis as an Edge Service for Parkinson's DBS Treatment Valuation</t>
  </si>
  <si>
    <t>Jiang, R.; Chazot, P.; Pavese, N.; Crookes, D.; Bouridane, A.; Celebi, M.E.</t>
  </si>
  <si>
    <t>Found in: Scopus · DOI: 10.1109/JBHI.2022.3146369</t>
  </si>
  <si>
    <t>Facial phenotyping for medical prediagnosis has recently been successfully exploited as a novel way for the preclinical assessment of a range of rare genetic diseases, where facial biometrics is revealed to have rich links to underlying genetic or medical causes. In this paper, we aim to extend this facial prediagnosis technology for a more general disease, Parkinson's Diseases (PD), and proposed an Artificial-Intelligence-of-Things (AIoT) edge-oriented privacy-preserving facial prediagnosis framework to analyze the treatment of Deep Brain Stimulation (DBS) on PD patients. In the proposed framework, a novel edge-based privacy-preserving framework is proposed to implement private deep facial diagnosis as a service over an AIoT-oriented information theoretically secure multi-party communication scheme, while data privacy has been a primary concern toward a wider exploitation of Electronic Health and Medical Records (EHR/EMR) over cloud-based medical services. In our experiments with a collected facial dataset from PD patients, for the first time, we proved that facial patterns could be used to evaluate the facial difference of PD patients undergoing DBS treatment. We further implemented a privacy-preserving information theoretical secure deep facial prediagnosis framework that can achieve the same accuracy as the non-encrypted one, showing the potential of our facial prediagnosis as a trustworthy edge service for grading the severity of PD in patients.  © 2013 IEEE.</t>
  </si>
  <si>
    <t>R0295</t>
  </si>
  <si>
    <t>Privacy-preserving machine learning with homomorphic encryption for diabetes mellitus detection</t>
  </si>
  <si>
    <t>Ng, J.C.; Wu, X.; Yeoh, P.S.Q.; Teng, N.S.; Lim, L.-L.; Kiew, L.V.; Kamalden, T.A.; Lai, K.W.</t>
  </si>
  <si>
    <t>Found in: Scopus · DOI: 10.7717/peerj-cs.4031</t>
  </si>
  <si>
    <t>Diabetes mellitus (DM) is a chronic metabolic disorder with severe complications, including blindness, lower limb amputation, and cardiovascular diseases, and its global prevalence continues to rise. While machine learning (ML) has shown strong potential for improving disease prediction, the use of sensitive medical data raises significant privacy concerns. The core problem is that modern cryptographic or decentralized privacy solutions often introduce prohibitive computational overhead, hindering routine clinical deployment. To address this, the objective of this study is to propose a privacy-preserving ML framework for Type 2 diabetes risk prediction by integrating multiple ML models with homomorphic encryption (HE). Using the PIMA Indian Diabetes (PID) dataset, nine ML models and a stacking ensemble were developed and optimized under a unified evaluation framework. The stacking ensemble achieved the best performance (accuracy: 0.84, F1-score: 0.87, recall: 0.96, and precision: 0.79). HE was incorporated to protect data during transmission and storage without modifying the model training process. The results demonstrate that the encryption-decryption workflow does not affect predictive performance while ensuring data confidentiality. Overall, this study highlights the feasibility of combining ML with cryptographic techniques for privacy-aware medical prediction. Copyright 2026 Ng et al. Distributed under Creative Commons CC-BY 4.0. http://www.creativecommons.org/licenses/by/4.0/</t>
  </si>
  <si>
    <t>R0296</t>
  </si>
  <si>
    <t>Enhancing Security for Smart Ehealthcare System based on Federated Learning and Homomorphic Encryption</t>
  </si>
  <si>
    <t>Nguyen-Khanh, D.; Huynh-Phu, L.; Phan-Trung, K.; Nguyen-Khanh, T.; Le-Trung, Q.</t>
  </si>
  <si>
    <t>Found in: Scopus; IEEE · DOI: 10.1109/ACOMPA64883.2024.00026</t>
  </si>
  <si>
    <t>Medical records are one of the most sensitive types of data, so when applying machine learning models, it is necessary to ensure data privacy. In recent years, machine learning and pre-trained models have been developing rapidly, and medical data security when using those models is gaining strong appeal with researchers. This study proposes a federated learning model integrated with homomorphic encryption to enhance security and privacy while training machine learning models on medical datasets. Additionally, we conducted experiments with federated learning models using different data distribution ratios to evaluate the robustness of this approach. The results show that the CNN, ResNet50, ResNet152, and DenseNet169 models integrated with federated learning on the LIDC-IDRI dataset have comparable accuracy to centralized machine learning. Moreover, the federated learning model integrated with Homomorphic Encryption on the ResNet50 model showed a 4% increase in training time and a 36% increase in model size compared to federated learning without encryption.  © 2024 IEEE.</t>
  </si>
  <si>
    <t>R0297</t>
  </si>
  <si>
    <t>Descriptor: Benchmarking Secure Neural Network Evaluation Methods for Protein Sequence Classification (iDASH24)</t>
  </si>
  <si>
    <t>Harmanci A; Chen L; Kim M; Jiang X</t>
  </si>
  <si>
    <t>Found in: PubMed; IEEE · DOI: 10.1109/ieeedata.2024.3482283 · PMID: 39712862</t>
  </si>
  <si>
    <t>To uniformly test and benchmark the secure evaluation of transformer-based models, we designed the iDASH24 homomorphic encryption track dataset. The dataset comprises a protein family classification model with a transformer architecture and an example dataset that is used to build and test the secure evaluation strategies. This dataset was used in the challenge period of iDASH24 Genomic Privacy Competition, where the teams designed secure evaluation of the classification model using a homomorphic encryption scheme. Combined with the benchmarking results and companion methods, iDASH24 dataset is a unique resource that can be used to benchmark secure evaluation of neural network models.</t>
  </si>
  <si>
    <t>R0298</t>
  </si>
  <si>
    <t>Federated Representation Adaptation for Harmonizing Cross-Border Healthcare Records Under Privacy Constraints</t>
  </si>
  <si>
    <t>Priya, T.S.B.; Venkataraman, N.L.; Karuppasamy, P.; Menaka, S.; Mahesh, P.C.S.; Alagarsamy, M.</t>
  </si>
  <si>
    <t>Found in: Scopus; IEEE · DOI: 10.1109/ICEEI68459.2025.11330996</t>
  </si>
  <si>
    <t>The high demand for healthcare analytics that maintains patient confidentiality will necessitate a solution that satisfies the requirements of the GDPR and HIPAA. FL substantially lessens the risks associated with centralized data aggregation and facilitates collaborative model training across multiple institutions while protecting local data. Attacks that utilize local updates alongside gradient inversion to unveil sensitive data from shared gradients are directed at traditional FL ecosystems. To combat these challenges, this paper proposes a new framework, FedSplit-Adpt framework that develops cross-border healthcare data harmonization within privacy constraints using split learning with vertical data partitioning. The framework answers the issue of merging heterogeneous health data from multiple institutions spread across various nations so that the data features are vertically partitioned, with each institution having a different, smaller subset of patient information. Split learning is leveraged to partition the neural network between client-side and server-side, preserving the privacy of patient information at the point of use, while transmitting intermediate activations for further computing, thus assuring compliance with privacy regulations. Vertical data partitioning allows the model to learn from entire patient profiles and amalgamate characteristics from many institutions, knowing that sensitive data is still protected. Institutions only share encrypted intermediate outputs, since encryption is done using homomorphic encryption for added security. During collaborative training, the feasible optimized intermediate representations are implemented to build a global model that can unify data from many healthcare settings, using disparate terminologies, feature distributions, and medical standards. The results demonstrate that the FedSplit-Adapt framework standardizes healthcare data from external settings with 96.4% success and 20% data interoperability, compared to regular federated learning approaches. © 2025 IEEE.</t>
  </si>
  <si>
    <t>R0299</t>
  </si>
  <si>
    <t>Impact of Homomorphic Encryption on the Performance of Machine Learning Algorithms</t>
  </si>
  <si>
    <t>Matias, C.; Ivaki, N.; Moraes, R.</t>
  </si>
  <si>
    <t>Found in: Scopus · DOI: 10.1145/3615366.3615376</t>
  </si>
  <si>
    <t>The evolution of the internet and the popularization of access to high-speed connections increased the need for data sharing, especially between business partners. For this reason, the importance of secure data communication, storage, and processing grows. New encryption techniques, such as homomorphic encryption, have been studied in this context, allowing companies to share and analyze data without violating data privacy laws. Nonetheless, it is important to consider potential impacts or overhead associated with these techniques. In this study, we aim to examine the use of machine learning (ML) algorithms on homomorphically-encrypted data. We compare four ML algorithms and analyze the impact of encryption on performance (i.e., in terms of accuracy, precision, recall, and F1-Score) and processing time using a health dataset available on the Kaggle platform. Our analysis demonstrates that it is possible to use ML on data encrypted with homomorphic techniques without significant performance loss. However, it is important to consider the trade-off of longer processing times associated with ML-based solutions working with encrypted data. © 2023 Copyright held by the owner/author(s). Publication rights licensed to ACM.</t>
  </si>
  <si>
    <t>R0300</t>
  </si>
  <si>
    <t>A new crypto-classifier service for energy efficiency in smart cities</t>
  </si>
  <si>
    <t>Stan, O.; Zayani, M.-H.; Sirdey, R.; Hamida, A.B.; Leite, A.F.; Mziou-Sallami, M.</t>
  </si>
  <si>
    <t>Found in: Scopus · DOI: 10.5220/0006697500780088</t>
  </si>
  <si>
    <t>Smart Cities draw a nice picture of a connected city where useful services and data are ubiquitous, energy is properly used and urban infrastructures are well orchestrated. Fulfilling this vision in our cities implies unveiling citizens data and assets. Thus, security and data privacy appear as crucial issues to consider. In this paper, we study a way of offering a secured energy management service for diagnosis and classification of buildings in a district upon their energy consumption. Our remote service can be beneficial both for local authorities and householders without revealing private data. Our framework is designed such that the private data is permanently encrypted and that the server performing the classification algorithm has no information about the sensitive data and no capability to decrypt it. The underlying cryptographic technology used is homomorphic encryption, allowing to perform calculations directly on encrypted data. We present here the prototype of a crypto-classification service for energy consumption profiles involving different actors of a smart city community, as well as the associated performances results. We assess our proposal atop of real data taken from an Irish residential district and we show that our service can achieve acceptable performances in terms of security, execution times and memory requirements. Copyright © 2018 by SCITEPRESS – Science and Technology Publications, Lda. All rights reserved</t>
  </si>
  <si>
    <t>R0301</t>
  </si>
  <si>
    <t>KNN-BASED SENSITIVITY CLASSIFICATION AND HOMOMORPHIC ENCRYPTION FOR CLOUD SECURITY AND PRIVACY</t>
  </si>
  <si>
    <t>Sukeerthi, K.; Kesavan, R.; Kalaiselvan, S.A.</t>
  </si>
  <si>
    <t>Data security is becoming more important as the number of people using Cloud-based services and programs grows. Data stored in the cloud may be protected in a variety of ways, with even more techniques under active investigation. In this article, we outline how we have used encryption and categorisation to keep sensitive information safe. To avoid security risks, we employ the K-NN classification algorithm to sort the data into categories based on their requirements, and then encrypt the categories that include sensitive information. We put the framework through its paces using the Java emulator. The framework has several purposes, but one of them is to facilitate high-performance computing through cloud services. Infrastructure-as-a-service, to provide a service is the primary application. However, we think the suggested architecture will be useful in three downstream use cases: genomics, exploration for oil and gas, and ray tracing. © 2024, Scibulcom Ltd.. All rights reserved.</t>
  </si>
  <si>
    <t>R0302</t>
  </si>
  <si>
    <t>Homomorphic Encryption on Deep Learning in accurate prediction of Brain Tumour</t>
  </si>
  <si>
    <t>Sarwar, A.; Hossain, M.D.S.; Bhuiyan, R.A.; Mahmud, T.; Zaman, S.; Hossin, M.I.</t>
  </si>
  <si>
    <t>Found in: Scopus; IEEE · DOI: 10.1109/NCIM59001.2023.10212646</t>
  </si>
  <si>
    <t>Data breach and data theft has become a repulsive problem in the digital world and medical data is the most vulnerable in this case as it contains numerous information of patients which can hinder a patient's personal life. Moreover, due to patients' rights and confidentiality, hospital's are unwilling to share the medical data to third parties. Also, Brain tumour is one of the most occurring disease as everyday, around the globe vast amount of MRI image are taken. Many existing models have been introduced throughout the decades to detect brain tumors, mostly based on Neural Network models. To secure the MRI images and protect patient rights, we have worked on a technique based on Partial Homomorphic Encryption (PHE) which produces encrypted images while keeping most of the features intact. As a result, existing NN models can produce a higher accuracy by extracting features from the encrypted images and also reduces the time complexity of established Paillier cryptosystem. We were able to achieve max 82% accuracy using a VGG-19 model. Using our proposed model we can safely and securely read encrypted medical image data via our PHE method while being efficient enough to be used on a mass scale in the medical industry. © 2023 IEEE.</t>
  </si>
  <si>
    <t>R0303</t>
  </si>
  <si>
    <t>Blockchain with improved deep residual shrinking network for ensuring cybersecurity in IoT-driven healthcare systems</t>
  </si>
  <si>
    <t>Alshehri, M.</t>
  </si>
  <si>
    <t>Found in: Scopus · DOI: 10.1186/s40537-026-01391-y</t>
  </si>
  <si>
    <t>For automated services, a wide range of Internet of Things (IOT) related technologies are currently in use. The deployment of IoT services in real-time environments has been limited by a number of concerns, including security, dependability, and fault tolerance. Additionally, the sent data is vulnerable to a variety of assaults. As a result, secure data transfer is required, and various attack types need to be categorized. In this manuscript, Blockchain with Improved Deep Residual Shrinking Network for Ensuring Cybersecurity in Iot-Driven Healthcare Systems (BC-IDRSN-IOT-HS) is proposed. The input data is first hashed using the Composite Logistic Sine Map approach, then encrypted using Martino homomorphic encryption (MHE), and finally assembled in a blockchain framework called the FileDAG. Decryption is then performed to retrieve the original data, and the cyber security attacks are categorized using Improved Deep Residual Shrinking Network (IDRSN). To improve the accuracy of IDRSN, boosted sooty tern optimization algorithm (BSTOA) is proposed. Here, Python is used for the experimentation, and two public dataset (CICIDS-2017 and ToN-IoT) are evaluated to determine the effectiveness of the proposed model. Performance parameters such as accuracy, precision, recall, F-measure, encryption time and decryption time are examined. The BC-IDRSN-IOT-HS technique reaches in the range of 5.31%, 2.75% and 4.37% higher accuracy, 3.24%, 5.39% and 2.57% higher precision when compared with existing techniques such as secret elliptic curve based bidirectional gated unit assisted residual network for enabling secure IoT data transmission and categorization using blockchain (SEC-BGARN-IOT-BC), a blockchain-orchestrated deep learning approach for secure data transmission in IoT-enabled healthcare system (BC-DL-IOT-HS) and a blockchain based federated deep learning model for secured transmission in healthcare IoT networks (BC-FDL-IOT-HS) respectively. © The Author(s) 2026.</t>
  </si>
  <si>
    <t>R0304</t>
  </si>
  <si>
    <t>Fortifying healthcare data security with precision blockchain access</t>
  </si>
  <si>
    <t>Arvind, K.S.; Sivaneasan, B.; Siva Shankar, S.; Chakrabarti, P.; Chakrabarti, T.</t>
  </si>
  <si>
    <t>Found in: Scopus · DOI: 10.1080/19393555.2025.2500505</t>
  </si>
  <si>
    <t>In the swiftly evolving realm of healthcare technology, safeguarding the privacy and security of delicate medical data is of utmost importance. Conventional methods often prove inadequate in preserving patients’ confidentiality, compelling the need for innovative solutions. This research introduces a pioneering methodology called Selective Data Access through Privacy-Enhanced Blockchain. This approach integrates blockchain technology with advanced data analytics techniques, revolutionizing medical data management. By harnessing blockchain, the system restricts access to essential data, enhances privacy, and expedites predictive modeling. The attained outcomes are substantial: a potential 85% enhancement in data privacy, ensuring limited access to sensitive medical information, coupled with an estimated 80% reduction in processing time and resources for streamlined predictive modeling. Moreover, there is a prospective 70% cost saving in data storage and management. These results collectively underscore the transformative potential of the Selective Data Access through Privacy-Enhanced Blockchain methodology, promising optimized security, efficiency, and cost-effectiveness in healthcare data management. © 2025 Taylor &amp; Francis Group, LLC.</t>
  </si>
  <si>
    <t>R0305</t>
  </si>
  <si>
    <t>Private naive bayes classification of personal biomedical data: Application in cancer data analysis</t>
  </si>
  <si>
    <t>Wood, A.; Shpilrain, V.; Najarian, K.; Kahrobaei, D.</t>
  </si>
  <si>
    <t>Found in: Scopus; PubMed · DOI: 10.1016/j.compbiomed.2018.11.018 · PMID: 30641309</t>
  </si>
  <si>
    <t>Clinicians would benefit from access to predictive models for diagnosis, such as classification of tumors as malignant or benign, without compromising patients’ privacy. In addition, the medical institutions and companies who own these medical information systems wish to keep their models private when in use by outside parties. Fully homomorphic encryption (FHE) enables computation over encrypted medical data while ensuring data privacy. In this paper we use private-key fully homomorphic encryption to design a cryptographic protocol for private Naive Bayes classification. This protocol allows a data owner to privately classify his or her information without direct access to the learned model. We apply this protocol to the task of privacy-preserving classification of breast cancer data as benign or malignant. Our results show that private-key fully homomorphic encryption is able to provide fast and accurate results for privacy-preserving medical classification. © 2019 Elsevier Ltd</t>
  </si>
  <si>
    <t>R0306</t>
  </si>
  <si>
    <t>Transcranial doppler-based surrogates for cerebral blood flow: A statistical study</t>
  </si>
  <si>
    <t>Hart, J.; Novak, V.; Saunders, C.; Gremaud, P.A.</t>
  </si>
  <si>
    <t>Found in: Scopus; PubMed · DOI: 10.1371/journal.pone.0165536 · PMID: 27880813</t>
  </si>
  <si>
    <t>It is commonly assumed that perfusion in a given cerebral territory can be inferred from Blood Flow Velocity (BFV) measurements in the corresponding stem artery. In order to test this hypothesis, we construct a cerebral blood flow (CBF) estimator based on transcranial Doppler (TCD) blood flow velocity and ten other easily available patient characteristics and clinical parameters. A total of 261 measurements were collected from 88 older patients. The estimator is based on local regression (Random Forest). Its performance is analyzed against baseline CBF from 3-D pseudocontinuous arterial spin labeling (pCASL) magnetic resonance imaging (MRI). Patient specific CBF predictions are of poor quality (r= 0.41 and p-value = 4.5 × 10-12); the hypothesis is thus not clearly supported by evidence. © 2016 Hart et al. This is an open access article distributed under the terms of the Creative Commons Attribution License, which permits unrestricted use, distribution, and reproduction in any medium, provided the original author and source are credited.</t>
  </si>
  <si>
    <t>R0307</t>
  </si>
  <si>
    <t>Privacy-preserving Time-series Medical Images Analysis Using a Hybrid Deep Learning Framework</t>
  </si>
  <si>
    <t>Yue, Z.; DIng, S.; Zhao, L.; Zhang, Y.; Cao, Z.; Tanveer, M.; Jolfaei, A.; Zheng, X.</t>
  </si>
  <si>
    <t>Found in: Scopus · DOI: 10.1145/3383779</t>
  </si>
  <si>
    <t>Time-series medical images are an important type of medical data that contain rich temporal and spatial information. As a state-of-the-art, computer-aided diagnosis (CAD) algorithms are usually used on these image sequences to improve analysis accuracy. However, such CAD algorithms are often required to upload medical images to honest-but-curious servers, which introduces severe privacy concerns. To preserve privacy, the existing CAD algorithms support analysis on each encrypted image but not on the whole encrypted image sequences, which leads to the loss of important temporal information among frames. To meet this challenge, a convolutional-LSTM network, named HE-CLSTM, is proposed for analyzing time-series medical images encrypted by a fully homomorphic encryption mechanism. Specifically, several convolutional blocks are constructed to extract discriminative spatial features, and LSTM-based sequence analysis layers (HE-LSTM) are leveraged to encode temporal information from the encrypted image sequences. Moreover, a weighted unit and a sequence voting layer are designed to incorporate both spatial and temporal features with different weights to improve performance while reducing the missed diagnosis rate. The experimental results on two challenging benchmarks (a Cervigram dataset and the BreaKHis public dataset) provide strong evidence that our framework can encode visual representations and sequential dynamics from encrypted medical image sequences; our method achieved AUCs above 0.94 both on the Cervigram and BreaKHis datasets, constituting a significant margin of statistical improvement compared with several competing methods. © 2021 Association for Computing Machinery.</t>
  </si>
  <si>
    <t>R0308</t>
  </si>
  <si>
    <t>Homomorphic Encryption and Federated Learning based Privacy-Preserving CNN Training: COVID-19 Detection Use-Case</t>
  </si>
  <si>
    <t>Wibawa, F.; Catak, F.O.; Kuzlu, M.; Sarp, S.; Cali, U.</t>
  </si>
  <si>
    <t>Found in: Scopus · DOI: 10.1145/3528580.3532845</t>
  </si>
  <si>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  © 2022 ACM.</t>
  </si>
  <si>
    <t>R0309</t>
  </si>
  <si>
    <t>Transformer Based Personalized Medicine from Gene Expression Patterns with Privacy Considerations</t>
  </si>
  <si>
    <t>Limdi, N.H.; Vairavasundaram, S.</t>
  </si>
  <si>
    <t>Found in: Scopus; IEEE · DOI: 10.1109/AISP68263.2025.11396296</t>
  </si>
  <si>
    <t>The usage of generative deep learning models with personalized medicine offers very promising opportunities for tailoring medical drugs to individual genetic profiles. In this study, we propose a transformer-based model GeneTransMol that synthesizes target drug molecules from genetic expression profile, enhancing molecular validity and diversity. Our approach builds on the Gx2Mol framework by replacing its LSTM-based SMILES generator with a multi-layer transformers architecture capable of capturing long-range dependencies. We use variational autoencoders (VAE) to extract compact gene embeddings from which the transformer generates hit like therapeutic molecules. The transformer model shows faster convergence than LSTM-based methods, its performance plateaus in later stages, indicating potential areas for architectural refinement. Additionally, we discuss privacy-preserving approaches such as data anonymization, homomorphic encryption, and federated learning to protect sensitive genomic data in personalized drug discovery pipelines. This work highlights the viability of transformer-based architectures for precision therapeutics and outlines pathways for secure, privacy-aware model deployment.  © 2025 IEEE.</t>
  </si>
  <si>
    <t>R0310</t>
  </si>
  <si>
    <t>Mosquito-borne viruses in Australia: An emerging trend of increasing prevalence in Northern Queensland</t>
  </si>
  <si>
    <t>Hosen ME; Dunsdon S; Sarker S</t>
  </si>
  <si>
    <t>Found in: PubMed · DOI: 10.1016/j.virol.2026.110825 · PMID: 41650846</t>
  </si>
  <si>
    <t>Mosquito-borne viruses (MBVs) remain a significant public health concern in Northern Queensland, Australia, with dengue virus (DENV), Ross River virus (RRV), and Barmah Forest virus (BFV) representing the most common pathogens. Wolbachia-based biological control programs have made notable contributions to reducing dengue transmission by suppressing Aedes aegypti vector competence. Recent surveillance data indicates increased MBV activity, with national case numbers nearly doubling between 2023 and 2024 and early 2025 data suggesting sustained transmission during seasonal peak. Traditional surveillance approaches, while highly valuable for disease monitoring, have limitations in detecting novel or divergent viral strains in real time. Over the past decades, more than 919 unclassified flaviviruses have been reported nationwide, including 117 in Queensland. The advent of metagenomic and metatranscriptomic approaches now enable enhanced, field-based detection of both known and emerging arboviruses. Strengthening mosquito control programs through continued Wolbachia releases, alongside integrated genomic surveillance, predictive modelling, and community engagement will enhance early detection, guide targeted interventions, and reduce the MBV burden in Northern Queensland. This integrated framework provides a strategic pathway to sustains and expand vector control effectiveness while safeguarding public health in high-risk regions.</t>
  </si>
  <si>
    <t>R0311</t>
  </si>
  <si>
    <t>Encrypted Linear Contextual Bandit</t>
  </si>
  <si>
    <t>Garcelon, E.; Perchet, V.; Pirotta, M.</t>
  </si>
  <si>
    <t>Contextual bandit is a general framework for online learning in sequential decision-making problems that has found application in a wide range of domains, including recommendation systems, online advertising, and clinical trials. A critical aspect of bandit methods is that they require to observe the contexts -i.e., individual or group-level data- and rewards in order to solve the sequential problem. The large deployment in industrial applications has increased interest in methods that preserve the users' privacy. In this paper, we introduce a privacy-preserving bandit framework based on homomorphic encryptionwhich allows computations using encrypted data. The algorithm only observes encrypted information (contexts and rewards) and has no ability to decrypt it. Leveraging the properties of homomorphic encryption, we show that despite the complexity of the setting, it is possible to solve linear contextual bandits over encrypted data with a Õ(d√T) regret bound in any linear contextual bandit problem, while keeping data encrypted. Copyright © 2022 by the author(s)</t>
  </si>
  <si>
    <t>R0312</t>
  </si>
  <si>
    <t>Sustainable and Trustworthy Digital Health: Privacy-Preserving, Verifiable IoT Monitoring Aligned with SDGs</t>
  </si>
  <si>
    <t>Yang, L.; Wang, X.; Jiao, Y.</t>
  </si>
  <si>
    <t>Found in: Scopus · DOI: 10.3390/su17209020</t>
  </si>
  <si>
    <t>The integration of Internet of Things (IoT) technologies into public healthcare enables continuous monitoring and sustainable health management. However, conventional frameworks often depend on transmitting and storing raw personal data on centralized servers, posing challenges related to privacy, security, ethical compliance, and long-term sustainability. This study proposes a privacy-preserving framework that avoids the exposure of true health-related data. Sensor nodes encrypt collected measurements and collaborate with a secure computation core to evaluate health indicators under homomorphic encryption, maintaining confidentiality. For example, the system can determine whether a patient’s heart rate within a monitoring window falls inside clinically recommended thresholds, while the framework remains general enough to support a wide range of encrypted computations. A compliance verification client generates zero-knowledge range proofs, allowing external parties to verify whether health indicators meet predefined conditions without accessing actual values. Simulation results confirm the correctness of encrypted computation, controllability of threshold-based compliance judgments, and resistance to inference attacks. The proposed framework provides a practical solution for secure, auditable, and sustainable real-time health assessment in IoT-enabled public healthcare systems. © 2025 by the authors.</t>
  </si>
  <si>
    <t>R0313</t>
  </si>
  <si>
    <t>THE-X: Privacy-Preserving Transformer Inference with Homomorphic Encryption</t>
  </si>
  <si>
    <t>Chen, T.; Bao, H.; Huang, S.; Dong, L.; Jiao, B.; Jiang, D.; Zhou, H.; Li, J.; Wei, F.</t>
  </si>
  <si>
    <t>Found in: Scopus · DOI: 10.18653/v1/2022.findings-acl.277</t>
  </si>
  <si>
    <t>As more and more pre-trained language models adopt on-cloud deployment, the privacy issues grow quickly, mainly for the exposure of plain-text user data (e.g., search history, medical record, bank account). Privacy-preserving inference of transformer models is on the demand of cloud service users. To protect privacy, it is an attractive choice to compute only with ciphertext in homomorphic encryption (HE). However, enabling pre-trained models inference on ciphertext data is difficult due to the complex computations in transformer blocks, which are not supported by current HE tools yet. In this work, we introduce THE-X, an approximation approach for transformers, which enables privacy-preserving inference of pre-trained models developed by popular frameworks. THE-X proposes a workflow to deal with complex computation in transformer networks, including all the non-polynomial functions like GELU, softmax, and LayerNorm. Experiments reveal our proposed THE-X can enable transformer inference on encrypted data for different downstream tasks, all with negligible performance drop but enjoying the theory-guaranteed privacy-preserving advantage. © 2022 Association for Computational Linguistics.</t>
  </si>
  <si>
    <t>R0314</t>
  </si>
  <si>
    <t>Data Mining and Machine Learning-Based Healthcare Monitoring in Cloud-IoT</t>
  </si>
  <si>
    <t>Amer, S.; Hazim, R.; Kader, W.</t>
  </si>
  <si>
    <t>Found in: Scopus · DOI: 10.58496/MJCS/2025/004</t>
  </si>
  <si>
    <t>Healthcare monitoring Cloud-IoT systems use data mining and machine learning methods to analyse patient data in real-time from linked devices. By offering insights for the early diagnosis of anomalies and individualized treatment suggestions, this strategy improves healthcare management. In this research first the Collect and Load the Clevant Heart Disease Dataset for Data Collection Process. Next, preprocess the loaded data using the Synthetic Minority Oversampling Technique (SMOTE), and then the feature extraction process is done using the Principal Component Analysis (PCA) Method. In this case, the characteristic must be extracted by feeding a specific column. The classification procedure is then carried out using Generative Adversarial Networks (GAN) and an optimization approach called Adaptive Moment Estimation. This is where the model executes GAN operations, and the output will be produced. The data is then transferred to an edge-cloud environment to minimize storage problems and provide instant access to critical data. This process starts with the encryption and decryption of data using Homomorphic encryption with the Laplacian technique. In addition, have taken the generated values from the GAN network as original values and encrypt them using Homomorphic encryption with the Laplacian technique. Next, the routing process is done using the leach protocol to optimize energy consumption and communication efficiency. The leach protocol is used to route among the data to divide the data into clusters and perform energy consumption. Finally, the simulation of this research is conducted by Python – 3.9.6 network simulator, and the performance of the proposed model is estimated based on various performance metrics such as accuracy at 90%, precision at 94%, authentication time, throughput at 90%, and packet delivery ratio with 94% this demonstrated that the suggested effort produced better results both in terms of quantitative and qualitative aspects. © 2025, Mesopotamian Academic Press. All rights reserved.</t>
  </si>
  <si>
    <t>R0315</t>
  </si>
  <si>
    <t>Privacy-Preserving Emotion Detection in Audio Data: Leveraging CNNs and Spectrograms in Encrypted Domains</t>
  </si>
  <si>
    <t>Jambunathan, A.; Gopalakrishnan, K.; Veeramani, K.</t>
  </si>
  <si>
    <t>Found in: Scopus · DOI: 10.1007/978-981-96-8283-6_2</t>
  </si>
  <si>
    <t>The emerging field of audio classification within encrypted domains responds to the growing need for data analysis techniques that protect privacy in industries handling sensitive audio information, like secure communications and healthcare. While image classification has benefited from CNNs’ strong pattern recognition capabilities, traditional audio classification has mainly relied on time-domain signal processing techniques. However, the development of this novel approach was motivated because the existing methods frequently fail to preserve data privacy during analysis. This paper presents a novel approach for audio classification which uses spectrograms and CNNs. Image-based CNNs can be applied to audio data using this technique, which turns audio signals into MEL spectrogram images. Sensitive data privacy is maintained throughout the process by performing neural network operations using the CryptoDL framework. The Python library TenSEAL implements homomorphic encryption, a crucial element of this methodology that enables secure computations on encrypted MEL spectrograms. This approach shows promise in maintaining the privacy of audio data. The results show high accuracy, especially for datasets such as TESS and RAVDESS. The benefit of handling encrypted data shows its potential for applications with severe data privacy policies. © The Author(s), under exclusive license to Springer Nature Singapore Pte Ltd. 2026.</t>
  </si>
  <si>
    <t>R0316</t>
  </si>
  <si>
    <t>PrivChain-AI leveraging blockchain and federated learning for private financial reporting and access control</t>
  </si>
  <si>
    <t>Alaklabi, S.</t>
  </si>
  <si>
    <t>Found in: Scopus · DOI: 10.1038/s41598-025-32606-6</t>
  </si>
  <si>
    <t>Financial institutions are currently faced with suffering never experienced before as they strive to guarantee the privacy of data and address the demands of regulation to report and cooperate in machine learning. This paper proposes PrivChain-AI, a novel blockchain-based federated learning system designed to facilitate secure and privacy-preserving financial reporting and access control. The proposed framework will integrate three key components: differential privacy, homomorphic encryption, and smart contract-based governance, enabling cooperative model training across financial institutions while preventing the leakage of sensitive information. PrivChain-AI is a hierarchical design that incorporates permissioned consensus protocols and utilises zero-knowledge proof verification to authenticate transactions. It has been demonstrated that the performance is higher than that of the actual financial data, with an outcome of 94.7% accuracy in fraud recognition at the cost of e-differentiation privacy, where ϵ = 1.0. It is 40% faster in terms of communication overhead and ensures regulatory compliance, as it features immutable audit trails. The analysis of performances reveals that a privacy preservation metric improves by 78%, and access control granularity is improved by 62% compared to the current state-of-the-art approaches. The PrivChain-AI paradigm introduced provides a new analytical model for safe, collaborative finance, meeting the highest standards and ensuring compliance with relevant regulatory jurisdictions. © The Author(s) 2025.</t>
  </si>
  <si>
    <t>R0317</t>
  </si>
  <si>
    <t>Blockchain-enhanced federated learning for IoT security and privacy using the GSR-C2N model</t>
  </si>
  <si>
    <t>Ahmad, S.; Ansari, M.A.; Mewada, A.; Ahmed, G.</t>
  </si>
  <si>
    <t>Found in: Scopus; PubMed · DOI: 10.1038/s41598-026-52361-6 · PMID: 42270736</t>
  </si>
  <si>
    <t>The rapid proliferation of Internet of Things devices has intensified the demand for security, privacy-preserving, and scalable machine learning solutions. Federated Learning (FL) supports the decentralized training of models across distributed devices without transporting raw data, whereas blockchain provides a trusted, transparent mechanism for integrity and reaching consensus. The paper explains an FL framework that incorporates blockchain technology, based on the GSR-C2N model for identifying crypto-mining malware. It is demonstrated that the system’s feature extraction and optimization processes are optimized to address security problems in IoT by utilizing blockchain to verify model updates and build trust and privacy. The given structure has demonstrated superiority to the current practices. This model was 96.85% accurate and 97.51% specific on the crypto-mining malware data set using 10-fold cross-validation, making it applicable to smart healthcare and smart city applications with IoT-based systems. In addition, when combined with regulatory compliance, homomorphic encryption can strengthen data and privacy management, underscoring the model’s effectiveness in advanced IoT systems. © The Author(s) 2026.</t>
  </si>
  <si>
    <t>R0318</t>
  </si>
  <si>
    <t>PpAIsec: Privacy-Preserving AI Models in Healthcare Security - AI Frameworks Synthesis</t>
  </si>
  <si>
    <t>Sultana, T.; Sunna, A.A.; Uddin, M.M.; Kshetri, N.</t>
  </si>
  <si>
    <t>Found in: Scopus; IEEE · DOI: 10.1109/ISDFS69419.2026.11458956</t>
  </si>
  <si>
    <t>As artificial intelligence (AI) technologies, particularly generative and collaborative learning models - are increasingly integrated into healthcare and other sensitive domains, data privacy, security, and fairness concerns have grown significantly. This paper focuses on a thorough examination of current privacy-preserving AI models, including federated learning (FL), differential privacy (DP), homomorphic encryption, and generative adversarial networks (GANs). Key contributions are reviewed across recent works that explore privacy-preserving mechanisms within domains such as clinical diagnostics, drug discovery, Internet of Medical Things (IoMT), and virtual health systems. Dynamic federated models (e.g., DynamicFL) that adjust model architecture based on computational heterogeneity and encryption-augmented FL architectures are presented to maintain data locality while ensuring equitable performance. GAN-based synthetic data generators (e.g., medGAN, CorGAN) offer alternative solutions to share healthcare data without compromising patient identity and introducing new threats if misused. Across these models, a multi-phase life cycle of threats is identified - spanning data collection, model training, inference, and system integration - highlighting the importance of proactive governance. Information compliance frameworks such as the EU AI Act and the U.S. AI Bill of Rights are counting for standardizing technological implementation in healthcare data management. In this paper, the Privacy-Preserving AI (PPAI) framework is proposed, and existing AI models are examined. Several privacy-preserving layers are included in the PPAI framework, starting with a generative adversarial network for data synthesis, followed by homomorphic encryption for computation on encrypted data, differential privacy for data anonymization, and federated learning for collaborative model training without sharing raw data. Through the coordination of these multi-layered protections to tackle technical, legal, and practical concerns, PPAI improves clinical explainability and exhibits strong privacy protection. © 2026 IEEE.</t>
  </si>
  <si>
    <t>R0319</t>
  </si>
  <si>
    <t>Deep Learning Based Homomorphic Secure Search-Able Encryption for Keyword Search in Blockchain Healthcare System: A Novel Approach to Cryptography</t>
  </si>
  <si>
    <t>Ali, A.; Pasha, M.F.; Ali, J.; Fang, O.H.; Masud, M.; Jurcut, A.D.; Alzain, M.A.</t>
  </si>
  <si>
    <t>Found in: Scopus; PubMed · DOI: 10.3390/s22020528 · PMID: 35062491</t>
  </si>
  <si>
    <t>Due to the value and importance of patient health records (PHR), security is the most critical feature of encryption over the Internet. Users that perform keyword searches to gain access to the PHR stored in the database are more susceptible to security risks. Although a blockchain-based healthcare system can guarantee security, present schemes have several flaws. Existing techniques have concentrated exclusively on data storage and have utilized blockchain as a storage database. In this research, we developed a unique deep-learning-based secure search-able blockchain as a distributed database using homomorphic encryption to enable users to securely access data via search. Our suggested study will increasingly include secure key revocation and update policies. An IoT dataset was used in this research to evaluate our suggested access control strategies and compare them to benchmark models. The proposed algorithms are implemented using smart contracts in the hyperledger tool. The suggested strategy is evaluated in comparison to existing ones. Our suggested approach significantly improves security, anonymity, and monitoring of user behavior, resulting in a more efficient blockchain-based IoT system as compared to benchmark models. © 2022 by the authors. Licensee MDPI, Basel, Switzerland.</t>
  </si>
  <si>
    <t>R0320</t>
  </si>
  <si>
    <t>CPP-ELM: Cryptographically privacy-preserving extreme learning machine for cloud systems</t>
  </si>
  <si>
    <t>Çatak, F.Ö.; Mustacoglu, A.F.</t>
  </si>
  <si>
    <t>Found in: Scopus · DOI: 10.2991/ijcis.11.1.3</t>
  </si>
  <si>
    <t>The training techniques of the distributed machine learning approach replace the traditional methods with a cloud computing infrastructure and provide flexible computing services to clients. Moreover, machine learning-based classification methods are used in many diverse applications such as medical predictions, speech/face recognition, and financial applications. Most of the application areas require security and confidentiality for both the data and the classifier model. In order to prevent the risk of confidential data disclosure while outsourcing the data analysis, we propose a privacy-preserving protocol approach for the extreme learning machine algorithm and give private classification protocols. The proposed protocols compute the hidden layer output matrix H in an encrypted form by using a distributed multi-party computation (or cloud computing model) approach. This paper shows how to build a privacy-preserving classification model from encrypted data. © 2018, the Authors.</t>
  </si>
  <si>
    <t>R0321</t>
  </si>
  <si>
    <t>Federated Learning for Secure and Privacy-Preserving Medical Image Analysis in Decentralized Healthcare Systems</t>
  </si>
  <si>
    <t>Muthalakshmi, M.; Jeyapal, K.; Vinoth, M.; Dinesh, P.S.; Murugan, N.S.; Sheela, K.S.</t>
  </si>
  <si>
    <t>Found in: Scopus; IEEE · DOI: 10.1109/ICESC60852.2024.10690003</t>
  </si>
  <si>
    <t>The need for safe and effective ways to manage private patient information has grown in tandem with deep learning algorithms in medical image analysis. Preserving patient privacy while utilizing collective intelligence for accurate diagnostic models is difficult in decentralized healthcare systems when medical data is disseminated across many organizations and locations. This study suggests a federated learning architecture to analyze medical images in decentralized healthcare systems safely and privately. The suggested method uses federated learning concepts to enable several healthcare organizations to work together in training a deep learning model, all while keeping patient data private. Regarding data privacy and security, each institution handles things on its own. Medical image analysis can benefit from developing strong and precise deep learning models through federated learning's decentralized model training approach. The federated learning framework uses differential privacy measures, secure communication protocols, and advanced encryption techniques to guarantee privacy and security. During the training of the model, these safeguards protect sensitive medical data. The study also investigates how the privacy-preserving features of the suggested system might be improved by using federated averaging and homomorphic encryption. Various healthcare institutions' real-world medical imaging datasets are used to evaluate the federated learning system experimentally. The results show that the method can achieve centralized model performance levels while keeping data private and secure with 98.6% accuracy. Model convergence, communication overhead, and computational efficiency are other consequences of federated learning examined in the paper.  © 2024 IEEE.</t>
  </si>
  <si>
    <t>R0322</t>
  </si>
  <si>
    <t>MediChain-FSL: A Blockchain-Integrated Federated Semi-Supervised Learning System for Secure Breast Cancer Diagnosis in Smart Home Healthcare Devices</t>
  </si>
  <si>
    <t>Yang, J.; Dai, J.; Prajapat, S.; Govindarajan, V.; Shaikh, Z.A.; Alabdulkreem, E.; Alsisi, R.H.; Por, L.Y.; Hong, T.</t>
  </si>
  <si>
    <t>Found in: Scopus · DOI: 10.1109/TCE.2026.3707898</t>
  </si>
  <si>
    <t>Breast cancer remains the most commonly diagnosed cancer among women worldwide, with early-stage detection improving five-year survival rates to over 90%. Despite advances in artificial intelligence and consumer electronics for home-based healthcare monitoring, security and privacy concerns remain barriers to widespread adoption for sensitive medical applications like breast cancer diagnosis. Given that access to regular screening remains limited in many communities due to infrastructure and cost constraints, this paper introduces MediChain-FSL, a blockchain-integrated federated semi-supervised learning system for secure breast cancer assessment using smart home healthcare devices and wearable sensors. MediChain-FSL addresses data scarcity and privacy preservation through decentralized learning, where blockchain ensures immutable audit trails and secure multi-party computation while federated semi-supervised learning exploits limited expert-labeled data and abundant unlabeled sensor data from consumer electronics. Our framework employs a blockchain-validated quality-aware aggregation protocol combined with homomorphic encryption and differential privacy mechanisms for consensus-based model aggregation, preventing poisoning attacks and ensuring data integrity across distributed IoT devices, including smart mirrors, thermal imaging systems, and biometric wearables. The semi-supervised component combines consistency regularization under stochastic augmentations with confidence-based pseudo-labeling to exploit abundant unlabeled sensor data. Experimental evaluation using a combined multi-modal dataset of 3,800 samples derived from three distinct data sources spanning clinical, thermal, and biosignal modalities demonstrates 93.4% classification accuracy with 54% communication reduction and sub-180ms latency on resource-constrained devices. The system achieves 98.7% of maximum performance using only 5% labeled data, maintains over 90% accuracy under 20% Byzantine attacks with formal differential privacy guarantees, and successfully detected seven early-stage cancer cases during field deployment across 45 smart home environments. © 1975-2011 IEEE.</t>
  </si>
  <si>
    <t>R0323</t>
  </si>
  <si>
    <t>Privacy-preserving medical diagnosis system with Gaussian kernel-based support vector machine</t>
  </si>
  <si>
    <t>Wu, R.; Wang, B.; Zhao, Z.</t>
  </si>
  <si>
    <t>Found in: Scopus · DOI: 10.1007/s12083-024-01743-6</t>
  </si>
  <si>
    <t>The progress of machine learning has revealed its immense potential in emerging medical diagnosis application. This application enables medical users to access diagnosis service that utilizes machine learning models held by service providers. However, the protection of user data and models has emerged as a significant concern, leading to the proposal of numerous privacy-preserving medical diagnosis schemes. Unfortunately, many of these schemes rely on heavy cryptographic primitives like homomorphic encryption, resulting in lengthy diagnosis processes. To address this issue, we present a novel privacy-preserving medical diagnosis scheme that leverages Gaussian kernel-based support vector machine and employs the use of a lightweight primitive known as additive secret sharing. We design protocols for secure decision function computation and secure sign function computation, solving both two-class and multi-class medical diagnosis problems. Furthermore, our solution is generic and applicable to various scenarios that involve the Gaussian kernel-based support vector machine. To validate our scheme, we conduct evaluations on six real medical datasets. And the results demonstrate that our privacy-preserving medical diagnosis approach yields more accurate and efficient outcomes. Specifically, it achieves an accuracy of 99.09% on the dermatology dataset, surpassing the existing schemes using linear support vector machine. In addition, it takes 133ms on the breast cancer dataset, which is significantly faster than the schemes based on homomorphic encryption. © The Author(s), under exclusive licence to Springer Science+Business Media, LLC, part of Springer Nature 2024.</t>
  </si>
  <si>
    <t>R0324</t>
  </si>
  <si>
    <t>A Level-Aware Multi-Key Relinearization Method for MKHE</t>
  </si>
  <si>
    <t>Gao, L.; Zhao, W.; Wang, F.; Xie, Q.</t>
  </si>
  <si>
    <t>Found in: Scopus · DOI: 10.1109/ACCESS.2026.3673452</t>
  </si>
  <si>
    <t>Multi-Key Homomorphic Encryption (MKHE) has been applied across diverse scenarios, including convolutional neural networks, federated learning, finance and healthcare, yet its efficiency remains less than satisfactory. Notably, the relinearization process, particularly its non-linear operations, has become a critical performance bottleneck. At present, existing MKHE schemes all apply a fixed decomposition function across all levels. In this paper, we present a level-aware multi-key relinearization method customized for the improved CDKS MKHE scheme (ACNS 2024). Moreover, we rigorously prove its correctness and analyze noise variations. Theoretical analysis shows that, compared with the improved CDKS relinearization algorithm using a fixed digit length r=1 , our proposed method reduces the number of Number Theoretic Transform (NTT) operations by 38.90%, 42.56%, and 45.23% respectively when the number of participants k is 2, 4, and 8. © 2013 IEEE.</t>
  </si>
  <si>
    <t>R0325</t>
  </si>
  <si>
    <t>An Optimization-Linked Intelligent Security Algorithm for Smart Healthcare Organizations</t>
  </si>
  <si>
    <t>Irshad, R.R.; Alattab, A.A.; Alsaiari, O.A.S.; Sohail, S.S.; Aziz, A.; Madsen, D.Ø.; Alalayah, K.M.</t>
  </si>
  <si>
    <t>Found in: Scopus; PubMed · DOI: 10.3390/healthcare11040580 · PMID: 36833114</t>
  </si>
  <si>
    <t>IoT-enabled healthcare apps are providing significant value to society by offering cost-effective patient monitoring solutions in IoT-enabled buildings. However, with a large number of users and sensitive personal information readily available in today’s fast-paced, internet, and cloud-based environment, the security of these healthcare systems must be a top priority. The idea of safely storing a patient’s health data in an electronic format raises issues regarding patient data privacy and security. Furthermore, with traditional classifiers, processing large amounts of data is a difficult challenge. Several computational intelligence approaches are useful for effectively categorizing massive quantities of data for this goal. For many of these reasons, a novel healthcare monitoring system that tracks disease processes and forecasts diseases based on the available data obtained from patients in distant communities is proposed in this study. The proposed framework consists of three major stages, namely data collection, secured storage, and disease detection. The data are collected using IoT sensor devices. After that, the homomorphic encryption (HE) model is used for secured data storage. Finally, the disease detection framework is designed with the help of Centered Convolutional Restricted Boltzmann Machines-based whale optimization (CCRBM-WO) algorithm. The experiment is conducted on a Python-based cloud tool. The proposed system outperforms current e-healthcare solutions, according to the findings of the experiments. The accuracy, precision, F1-measure, and recall of our suggested technique are 96.87%, 97.45%, 97.78%, and 98.57%, respectively, according to the proposed method. © 2023 by the authors.</t>
  </si>
  <si>
    <t>R0326</t>
  </si>
  <si>
    <t>Privacy preserving classification of eeg data using machine learning and homomorphic encryption</t>
  </si>
  <si>
    <t>Popescu, A.B.; Taca, I.A.; Nita, C.I.; Vizitiu, A.; Demeter, R.; Suciu, C.; Itu, L.M.</t>
  </si>
  <si>
    <t>Found in: Scopus · DOI: 10.3390/app11167360</t>
  </si>
  <si>
    <t>Data privacy is a major concern when accessing and processing sensitive medical data. A promising approach among privacy-preserving techniques is homomorphic encryption (HE), which allows for computations to be performed on encrypted data. Currently, HE still faces practical limitations related to high computational complexity, noise accumulation, and sole applicability the at bit or small integer values level. We propose herein an encoding method that enables typical HE schemes to operate on real-valued numbers of arbitrary precision and size. The approach is evaluated on two real-world scenarios relying on EEG signals: seizure detection and prediction of predisposition to alcoholism. A supervised machine learning-based approach is formulated, and training is performed using a direct (non-iterative) fitting method that requires a fixed and deterministic number of steps. Experiments on synthetic data of varying size and complexity are performed to determine the impact on runtime and error accumulation. The computational time for training the models increases but remains manageable, while the inference time remains in the order of milliseconds. The prediction performance of the models operating on encoded and encrypted data is comparable to that of standard models operating on plaintext data. © 2021 by the authors. Licensee MDPI, Basel, Switzerland.</t>
  </si>
  <si>
    <t>R0327</t>
  </si>
  <si>
    <t>Integrity-Aware Privacy-Preserving Heartbeat Anomaly Detection</t>
  </si>
  <si>
    <t>Bana, H.R.; Heidarpur, M.; Mirhassani, M.</t>
  </si>
  <si>
    <t>Found in: Scopus; IEEE · DOI: 10.1109/MWSCAS67364.2026.11680812</t>
  </si>
  <si>
    <t>Recent advances in neural networks have improved medical diagnosis efficiency but raised privacy and security concerns for sensitive data such as ECG signals used in biometric identification. Homomorphic encryption enables secure processing of encrypted data but remains computationally intensive and vulnerable to fault-injection attacks. We propose an autoencoderbased framework for encrypted medical data, where the latent space is used for classification and the decoder reconstructs inputs. Reconstruction errors are used to estimate HE-induced noise and detect potential fault injection attacks. To improve efficiency, we employ parallel processing with rotation-saving techniques to mitigate CKKS rotation overhead, together with batch processing for acceleration. Experimental results show a 1.9× speedup over prior approaches, with improved security. Fault analysis is formulated as a numerical integritystress evaluation based on reconstruction residuals. The results indicate that the reconstruction branch provides a useful clientside integrity signal under numerical perturbations. © 2026 IEEE.</t>
  </si>
  <si>
    <t>R0328</t>
  </si>
  <si>
    <t>Privacy Preservation of EHR Datasets Using Deep Learning Techniques</t>
  </si>
  <si>
    <t>Manwal, M.; Purohit, K.C.</t>
  </si>
  <si>
    <t>Found in: Scopus; IEEE · DOI: 10.1109/CYBERCOM63683.2024.10803128</t>
  </si>
  <si>
    <t>The privacy and security of Electronic Health Records are major concerns in the area of medicine. The focus of this paper is on applying deep learning techniques involving Variational Autoencoders (VAE), Long Short-Term Memory (LSTM) networks, and Support Vector Machines (SVM) to improve privacy preservation of EHR datasets. We are applying homomorphic encryption and federated learning over the design of these models, ensuring that sensitive information about the patients is perfectly secured without affecting the efficacy of data analysis and the results of the predictions. In this work, we present a comparison of the performance metrics for these privacy-preserving techniques with traditional methods in terms of accuracy, precision, recall, and Fl-score. LSTM has the highest accuracy of 0.88 followed by SVM with an accuracy of 0.86 and then comes V AE with an accuracy of 0.85. Results demonstrate that a combination of Deep Learning with state-of-the-art privacy techniques is likely to strengthen the security of data without necessarily sacrificing either high accuracy or robustness while analyzing EHR data. These findings may further create real opportunities for the construction of much more secure and reliable healthcare information management systems that ensure the confidentiality of patients and compliance with the various laws enacted for the protection of data. This will, therefore, contribute to the future of advanced methodologies safeguarding sensitive medical information while using the analytical power of deep learning.  © 2024 IEEE.</t>
  </si>
  <si>
    <t>R0329</t>
  </si>
  <si>
    <t>Federated deep learning model for epilepsy seizure detection using electroencephalogram (EEG) signal</t>
  </si>
  <si>
    <t>Abijith, G.R.; Jothi, S.; Chandrasekar, A.</t>
  </si>
  <si>
    <t>Found in: Scopus; PubMed · DOI: 10.1080/01616412.2025.2555516 · PMID: 40985643</t>
  </si>
  <si>
    <t>Objectives: Epilepsy is a chronic neurological disorder characterized by recurrent seizures due to abnormal brain activity, which affects individuals’ health and quality of life. Traditional seizure detection methods face challenges related to data privacy and security as well as difficulty in fully capturing both temporal and spatial relationships within the Electroencephalography signal. To address these limitations, a Federated Learning Enabled Unified Transformer model is proposed. Methods: The Federated Learning with Paillier Homomorphic Encryption is deployed for preserving data privacy and enabling collaborative model training. Adaptive noise filtering and Independent Component Analysis are deployed to remove the noise and artifacts. The Multi-Scale Wavelet Coefficient is applied for signal decomposition that effectively extracts seizure-related features by decomposing Electroencephalography signals into multiple sub-bands. The Hybrid Graph-Based Attention Framework integrated Edge-Enhanced Graph Convolutional Networks for spatial feature extraction and Spectral Graph Attention for frequency-based feature selection, and refining feature representation for improving the classification accuracy. Further, the proposed technique utilizes a Unified Transformer model for seizure classification that efficiently captures temporal and spatial dependencies in Electroencephalography signals. Results: The proposed model is validated on three datasets and attains 98.91% accuracy, 98.93% security, and 98.82% precision. The simulation outcomes indicate that the Federated Learning Enabled Unified Transformer model achieved outstanding performance when compared to existing models. Discussion: The Federated Learning Enabled Unified Transformer model provided a superior performance by integrating Federated learning and hybrid Deep Learning models. It ensures that the model is more suitable for healthcare users. © 2025 Informa UK Limited, trading as Taylor &amp; Francis Group.</t>
  </si>
  <si>
    <t>R0330</t>
  </si>
  <si>
    <t>Deep Learning for Cardiovascular Disease Detection: Comprehensive study on CNN and Random Forest based Hybrid Approach</t>
  </si>
  <si>
    <t>Shruthi, K.; Naidu, R.C.A.</t>
  </si>
  <si>
    <t>Found in: Scopus · DOI: 10.1109/ICKECS65700.2025.11035234</t>
  </si>
  <si>
    <t>heart diseases are one of the leading causes of morbidity and mortality worldwide. The danger the disease induces and set of complexity and dependency on various factors thereby it requires some advanced approach for early detection and prediction. This literature review provides an in-depth analysis of the various machine learning techniques that can be used for heart rate prediction and prevention. The article focuses on training the model based on both clinical and non-clinical parameters as the machine learning models built and trained using these parameters can offer personalized health recommendations and risk assessments. By integrating the clinical parameters, machine learning algorithms can significantly improve the accuracy of prediction and thereby help in early intervention strategies. The article focuses on usage of Deep Neural Network more specifically the usage of CNN in the prediction of heart diseases based on data collected rather than the most widely used random forest algorithm in predicting cardio-vascular diseases due to higher accuracy and also real time monitoring and processing capabilities. The integration of CNNs in IoT devices for continuous monitoring and data processing is also discussed in the article, thereby highlighting the potential of using CNN in personalized health recommendations and also in early intervention and treatment strategies.  © 2025 IEEE.</t>
  </si>
  <si>
    <t>R0331</t>
  </si>
  <si>
    <t>A Blockchain-Enabled Federated Learning Framework for Privacy-Preserving Healthcare Data Management</t>
  </si>
  <si>
    <t>Halip, M.H.M.; Rahayu, S.B.; Kamarudin, N.D.; Venkatesan, K.</t>
  </si>
  <si>
    <t>Found in: Scopus; IEEE · DOI: 10.1109/IICC69623.2026.11582737</t>
  </si>
  <si>
    <t>Although digital technologies make key contributions to healthcare, concerns over their breaches have been raised, particularly in health-related data such as patient records. Cyber-attacks, data leakage, and unauthorised access could jeopardise medical records in centralised networks by undermining patient confidentiality, healthcare delivery systems, and public trust in digital tools. This study presents an integrated healthcare data management framework comprising federated learning (FL), blockchain infrastructure, homomorphic encryption (HE), and privacy-preserving smart contracts. On the other hand, the blockchain represents a secure but immutable ledger system; FL enables healthcare institutions to collaborate to develop machine learning (ML) models without exchanging raw patient data. The HE secures data privacy throughout the process of data encryption as it allows computations to be made using encrypted data inputs. The healthcare institutions use smart contracts that enforce the access control and data sharing. In this vein, privacy preservation is demonstrated through the federated averaging (FedAvg) algorithm to predict heart arrhythmia with the Random Forest model in an FL setup to describe the impact of healthcare data on healthcare information security. The proposed framework is designed to operate in the presence of potential untrusted participants with a focus on privacy assurance, data governance and auditability in collaborative healthcare learning. © 2026 IEEE.</t>
  </si>
  <si>
    <t>R0332</t>
  </si>
  <si>
    <t>Adaptive Multi-Layered Authentication Framework for Secure and Individualized Access to Health Data Sets</t>
  </si>
  <si>
    <t>Singh, R.; Khan, A.; Purohit, N.; Lokulwar, P.</t>
  </si>
  <si>
    <t>Found in: Scopus; IEEE · DOI: 10.1109/ICSCDS65426.2025.11166873</t>
  </si>
  <si>
    <t>Because the magnitude of health data is increasing exponentially, it mandates a comprehensive mechanism to authenticate, secure, and trace accesses to sensitive patient data samples. Current authentication systems for data in the healthcare sector are bound by the static nature of their cryptographic protocols, centralized access control processes, and the very limited provenance analyses associated with access. The aforementioned gaps in patient-specific authentication, behavioral validation, and future-proofing against quantum threats leave such systems exposed to threats for data tampering, replay attacks, and unauthorized access, thereby affecting data integrity and non-repudiation guarantees. This document contains a detailed and original multi-layered framework for patient-specific data authentication, using five analytically grounded mechanisms to accompany it in process. The PHT-AEE enhances the integrity of and resistance to replay commands for dynamic hash trees tagged with entropy for the securing of the data chunks through a patient-centric hash tree with adaptive entropy encoding. Identity-bound homomorphic encryption includes patient biometric identity with a session timestamp to eliminate impersonation and ensure temporal validity within the process. The federated zero-trust proof with behavioural access drift uses federated learning integrated with an LSTM-based model of behavioural drift to enable zero-trust, behaviourally aware access control. The graph neural network for provenance integrity tracing builds and analyses data transformation paths that may have been tainted through contextual graph reasoning. Finally, the Quantum-Ledger Integrated Access Resolver consolidates future-resilient access authorization in post-quantum keys integrated with immutable blockchain records. Such integrated approach leads to tremendous advancements in access security, provenance accuracy, and cryptographic resilience. Collectively, the proposed methods enhance the integration of data integrity, non-repudiation, session trust, and legal auditability, establishing a future-ready authentication model tailored for scalable, secure, and personalized healthcare systems.  © 2025 IEEE.</t>
  </si>
  <si>
    <t>R0333</t>
  </si>
  <si>
    <t>Machine Learning with Partially Homomorphic Encrypted Data</t>
  </si>
  <si>
    <t>Muhammad, K.; Sugeng, K.A.; Murfi, H.</t>
  </si>
  <si>
    <t>Found in: Scopus · DOI: 10.1088/1742-6596/1108/1/012112</t>
  </si>
  <si>
    <t>Machine learning had been widely used to analyze various kinds of data, including sensitive data such as medical and financial data. A trained machine learning model can be wrapped in a web application so that people can access it easily via internet. However, if the data to be analyzed is private or confidential, this will cause a problem; the application administrator may read the input. As shown by Dowlin et al. in their remarkable paper, this kind of problem can be solved with homomorphic encryption scheme. Paillier encryption scheme is one kind of encryption scheme that has homomorphic property. In this research, we will show that one type of machine learning model can take an input encrypted by Paillier encryption scheme and produce an encrypted output that shares the same key. A machine learning model will be trained with the MNIST database of hand-written digits. This model will be tested with the test data encrypted with Paillier encryption scheme. The experiment shows that the model achieved 92.92% accuracy on the test set. © Published under licence by IOP Publishing Ltd.</t>
  </si>
  <si>
    <t>R0334</t>
  </si>
  <si>
    <t>NeuroShield-Diabetes: A Hybrid Nature-Inspired Neural Cryptography and Machine Learning framework for Privacy-Preserving Diabetes Data Sharing in Consumer Health</t>
  </si>
  <si>
    <t>Yang, J.; Dai, J.; Khan, M.A.; Chen, W.; Shaikh, Z.A.; Govindarajan, V.; Alabdullah, B.; Por, L.Y.; Xie, W.</t>
  </si>
  <si>
    <t>Found in: Scopus · DOI: 10.1109/TCE.2026.3702497</t>
  </si>
  <si>
    <t>Consumer health applications for diabetes management create critical privacy vulnerabilities when sharing sensitive patient data across healthcare ecosystems, demanding lightweight cryptographic solutions for resource-constrained mobile environments. This paper presents NeuroShield-Diabetes, a hybrid framework integrating neural cryptography with machine learning for privacy-preserving diabetes data sharing on smartphones and wearables. The framework employs tree parity machines for neural key exchange, achieving cryptographic strength comparable to 2048-bit RSA with 91% reduced computational complexity measured as CPU cycles per key generation operation. Adaptive differential privacy with calibrated noise injection maintains formal guarantees (ε ≤ 0.8 for high-risk queries) while preserving 94.7% data utility for glycemic prediction. Evaluation across 5,600 diabetes patients using MIMIC-III and UCI Diabetes datasets demonstrates 73% reduction in data sharing latency versus conventional cryptographic solutions. The neural intrusion detection system achieves 92.6% accuracy in identifying malicious access attempts with sub-120ms overhead. Field deployment confirms HIPAA compliance and GDPR conformance while maintaining interoperability with existing healthcare infrastructures, establishing NeuroShield-Diabetes as a practical privacy-preserving solution for consumer diabetes applications. © 1975-2011 IEEE.</t>
  </si>
  <si>
    <t>R0335</t>
  </si>
  <si>
    <t>Encrypted system identification as-a-service via reliable encrypted matrix inversion</t>
  </si>
  <si>
    <t>Adamek, J.; Binfet, P.; Schluter, N.; Darup, M.S.</t>
  </si>
  <si>
    <t>Found in: Scopus; IEEE · DOI: 10.1109/CDC56724.2024.10886076</t>
  </si>
  <si>
    <t>Encrypted computation opens up promising avenues across a plethora of application domains, including machine learning, health-care, finance, and control. Arithmetic homomorphic encryption, in particular, is a natural fit for cloud-based computational services. However, computations are essentially limited to polynomial circuits, while comparisons, transcendental functions, and iterative algorithms are notoriously hard to realize. Against this background, the paper presents an encrypted system identification service enabled by a reliable encrypted solution to least squares problems. More precisely, we devise an iterative algorithm for matrix inversion and present reliable initializations as well as certificates for the achieved accuracy without compromising the privacy of provided I/O-data. The effectiveness of the approach is illustrated with three popular identification tasks. © 2024 IEEE.</t>
  </si>
  <si>
    <t>R0336</t>
  </si>
  <si>
    <t>Federated Learning for Privacy-Preserving Collaborative Data Mining in Healthcare</t>
  </si>
  <si>
    <t>Satav, S.D.; Sadhana, R.; Vaitheeswari, A.; Chokkalingam, A.; Sultanuddin, S.J.; Indra, G.</t>
  </si>
  <si>
    <t>Found in: Scopus; IEEE · DOI: 10.1109/ICESC70182.2026.11687605</t>
  </si>
  <si>
    <t>Federated learning has proven to be a viable approach that can be used to perform collaborative data mining in the healthcare sector, although strict privacy policies and the threat of data breaches still impede multi-institutional collaboration. Conventional techniques may fail in achieving a trade off between high privacy guarantees, communication efficiency, and model predictability with non-IID data distributions of distributed medical problems. The method presents PrivMedFL, a privacy-preserving federated learning framework based on a hierarchy, which incorporates threshold multi-key homomorphic encryption and adaptive differential privacy to support secure client-edge-cloud training. The architecture facilitates 3D medical image analysis, as well as IoMT cyber threat detection, without the need to share raw patient data. Assessed on the BraTS 2020 dataset and synthetic IoMT tasks, PrivMedFL results in Dice similarity coefficients of 90.1, 88.2, 87.3 whole tumor, tumor core and enhancing tumor regions, respectively, and an F1-score of 0.97 in threat detection, with competitive efficiency and resilience to dropouts and collusion. The findings indicate that PrivMedFL offers a viable solution to the privacy and utility challenge, providing a viable avenue to scalable and secure healthcare data mining. © 2026 IEEE.</t>
  </si>
  <si>
    <t>R0337</t>
  </si>
  <si>
    <t>Training of Classification Models via Federated Learning and Homomorphic Encryption</t>
  </si>
  <si>
    <t>Angulo, E.; Márquez, J.; Villanueva-Polanco, R.</t>
  </si>
  <si>
    <t>Found in: Scopus; PubMed · DOI: 10.3390/s23041966 · PMID: 36850564</t>
  </si>
  <si>
    <t>With the rise of social networks and the introduction of data protection laws, companies are training machine learning models using data generated locally by their users or customers in various types of devices. The data may include sensitive information such as family information, medical records, personal habits, or financial records that, if leaked, can generate problems. For this reason, this paper aims to introduce a protocol for training Multi-Layer Perceptron (MLP) neural networks via combining federated learning and homomorphic encryption, where the data are distributed in multiple clients, and the data privacy is preserved. This proposal was validated by running several simulations using a dataset for a multi-class classification problem, different MLP neural network architectures, and different numbers of participating clients. The results are shown for several metrics in the local and federated settings, and a comparative analysis is carried out. Additionally, the privacy guarantees of the proposal are formally analyzed under a set of defined assumptions, and the added value of the proposed protocol is identified compared with previous works in the same area of knowledge. © 2023 by the authors.</t>
  </si>
  <si>
    <t>R0338</t>
  </si>
  <si>
    <t>Privacy-Preserving Machine Learning Techniques for Electronic Health Records: A Comprehensive Review</t>
  </si>
  <si>
    <t>Nagaraju, G.; Kumar, A.</t>
  </si>
  <si>
    <t>Found in: Scopus; IEEE · DOI: 10.1109/CCIC68129.2026.11486108</t>
  </si>
  <si>
    <t>The digitization of the healthcare system has been high and has, in turn, led to the extensive use of Electronic Health Records (EHRs), which have provided better clinical decisions, patient care, and medical research. However, privacy and security of EHR data are quite delicate, in particular, when using machine learning (ML) models, which require access to huge amounts of data. Privacy-preserving machine learning (PPML) is a new paradigm that can assist in addressing these problems, in which sensitive patient information is secure and valuable insights can be derived. This review consists of the description of the existing technologies in PPML of EHRs, including federated learning, differential privacy, homomorphic encryption, and secure multiparty computation. We look at their merits, weaknesses and the ways to incorporate them in real situations of health care. Besides, we highlight the following prominent points: scalability, computational overhead, trade-offs in the model accuracy and compliance with regulatory standards such as HIPAA and GDPR. Emerged trends, including blockchain-based privacy technologies and hybrid solutions, are also stated. By summarizing the existing trends, this paper will guide researchers and health care practitioners to adopt effective PPML practices that would guarantee a reasonable use of data and patient confidentiality, which in the long run will guarantee the establishment of safe and trustful AI-based healthcare models.  © 2026 IEEE.</t>
  </si>
  <si>
    <t>R0339</t>
  </si>
  <si>
    <t>Confidence-calibrated federated graph attention for internet of things agents under latency SLOs</t>
  </si>
  <si>
    <t>Yang, D.; Liu, B.; Wan, L.; Dong, Q.</t>
  </si>
  <si>
    <t>Found in: Scopus · DOI: 10.1038/s41598-026-45662-3</t>
  </si>
  <si>
    <t>Internet of Things (IoT) agents that trigger network enforcement actions must be both well-calibrated (for safe triage) and tail-latency predictable (for service level objectives, SLOs). We present Confidence-Calibrated HP-FedGAT-Trust-IBN, a federated, graph-attention architecture that closes the loop from IoMT sensing to SDN enforcement via parameter-efficient (LoRA/PEFT) updates (MB/round), trust-weighted secure aggregation, and intent verification (IBN) triage. Evaluation follows a two-plane protocol: a learning plane with simulated clients under a matched comparator harness (Graph-FL and uncertainty-aware FL baselines), and a serving plane that replays exported checkpoints on real edge devices (Raspberry Pi 5, Jetson Orin Nano, Intel NUC 11) and validates SLOs using hardware ECDFs and empirical. The model achieves high discrimination (ROC-AUC/PR-AUC –) with improved calibration (low ECE) under the matched harness, while the serving loop satisfies the ms requirement by device-measured (e.g., enforcement ms, vs. ms for an efficient-UQ baseline) and explicit compliance. The latency decomposition includes all calibration costs and Monte-Carlo expectations (, with measured MC share reported), and security modes are quantified end-to-end: CKKS + SMPC adds device-measured and crypto-attributable Joules (e.g., ms and J/round on Raspberry Pi 5). Energy/round is measured on identical hardware and mapped to CO2e for carbon-aware selection of operating points. © The Author(s) 2026.</t>
  </si>
  <si>
    <t>R0340</t>
  </si>
  <si>
    <t>Privacy-Preserving Ensemble Learning Using Fully Homomorphic Encryption</t>
  </si>
  <si>
    <t>Sharma, T.; Ratha, N.; Jutla, C.</t>
  </si>
  <si>
    <t>Found in: Scopus · DOI: 10.1007/978-3-031-78107-0_13</t>
  </si>
  <si>
    <t>Deep learning classifiers have reached good accuracy often surpassing the conventional classifiers. To provide the robustness needed in real-world applications, classifier fusion has shown potential. Such fusion methods can involve integration at the feature (embedding) level, classifier score/confidence level, or decision level. In this paper, we explore the enhancement of data privacy in ensemble learning through the integration of Fully Homomorphic Encryption (FHE). Recognizing the potential of ensemble methods to boost performance robustly against data variations, we confront the critical challenge of adversarial attacks that could compromise classifier integrity. To this end, we introduce the Privacy-Preserving Quantile Power Transform Classifier (PPQPTC), an innovative algorithm that applies quantile transformation for score distribution adjustment and power transformation to augment linear classification, all within the FHE domain. The PPQPTC algorithm is uniquely designed to securely process data while encrypted, addressing the urgent need for stringent data privacy and security in sensitive applications. We rigorously evaluate the performance of our algorithm across a range of diverse datasets, including healthcare data and the NIST BSSR-1 dataset for biometric fusion. Our findings reveal that the PPQPTC algorithm not only effectively handles imbalanced datasets but also demonstrates the feasibility and adaptability of conducting secure data processing in encrypted domains. © The Author(s), under exclusive license to Springer Nature Switzerland AG 2025.</t>
  </si>
  <si>
    <t>R0341</t>
  </si>
  <si>
    <t>Privacy-Preserving Logistic Regression as a Cloud Service Based on Residue Number System</t>
  </si>
  <si>
    <t>Cortés-Mendoza, J.M.; Tchernykh, A.; Babenko, M.; Pulido-Gaytán, L.B.; Radchenko, G.; Leprevost, F.; Wang, X.; Avetisyan, A.</t>
  </si>
  <si>
    <t>Found in: Scopus · DOI: 10.1007/978-3-030-64616-5_51</t>
  </si>
  <si>
    <t>The security of data storage, transmission, and processing is emerging as an important consideration in many data analytics techniques and technologies. For instance, in machine learning, the datasets could contain sensitive information that cannot be protected by traditional encryption approaches. Homomorphic encryption schemes and secure multi-party computation are considered as a solution for privacy protection. In this paper, we propose a homomorphic Logistic Regression based on Residue Number System (LR-RNS) that provides security, parallel processing, scalability, error detection, and correction. We verify it using six known datasets from medicine (diabetes, cancer, drugs, etc.) and genomics. We provide experimental analysis with 30 configurations for each dataset to compare the performance and quality of our solution with the state of the art algorithms. For a fair comparison, we use the same 5-fold cross-validation technique. The results show that LR-RNS demonstrates similar accuracy and performance of the classification algorithm at various thresholds settings but with the reduction of training time from 85.9% to 96.1%. © 2020, Springer Nature Switzerland AG.</t>
  </si>
  <si>
    <t>R0342</t>
  </si>
  <si>
    <t>Privacy-preserving breast cancer recurrence prediction based on homomorphic encryption and secure two party computation</t>
  </si>
  <si>
    <t>Son, Y.; Han, K.; Lee, Y.S.; Yu, J.; Im, Y.-H.; Shin, S.-Y.</t>
  </si>
  <si>
    <t>Found in: Scopus; PubMed · DOI: 10.1371/journal.pone.0260681 · PMID: 34928973</t>
  </si>
  <si>
    <t>Protecting patients' privacy is one of the most important tasks when developing medical artificial intelligence models since medical data is the most sensitive personal data. To overcome this privacy protection issue, diverse privacy-preserving methods have been proposed. We proposed a novel method for privacy-preserving Gated Recurrent Unit (GRU) inference model using privacy enhancing technologies including homomorphic encryption and secure two party computation. The proposed privacy-preserving GRU inference model validated on breast cancer recurrence prediction with 13,117 patients' medical data. Our method gives reliable prediction result (0.893 accuracy) compared to the normal GRU model (0.895 accuracy). Unlike other previous works, the experiment on real breast cancer data yields almost identical results for privacy-preserving and conventional cases. We also implement our algorithm to shows the realistic end-to-end encrypted breast cancer recurrence prediction.  © 2021 Son et al. This is an open access article distributed under the terms of the Creative Commons Attribution License, which permits unrestricted use, distribution, and reproduction in any medium, provided the original author and source are credited.</t>
  </si>
  <si>
    <t>R0343</t>
  </si>
  <si>
    <t>Securing AI-Driven Biometric Authentication Systems: Cryptographic Techniques for Protecting Sensitive User Data</t>
  </si>
  <si>
    <t>Ebadinezhad, S.; Nsimba, F.M.K.; Wakil, H.A.; Maombe, J.</t>
  </si>
  <si>
    <t>Found in: Scopus · DOI: 10.1007/978-3-032-13177-5_29</t>
  </si>
  <si>
    <t>This study investigates how artificial intelligence (AI)-driven biometric authentication systems can be made more secure using cryptographic techniques. Increasing the level of safety of biometric identification systems that are managed by artificial intelligence (AI) is the objective of this project. The aim of this work is to investigate the several ways in which cryptographic techniques can be applied to improve the security of biometric authentication systems driven by artificial intelligence (AI), especially those depending on facial recognition for authentication needs. Biometrics are increasingly used in critical sectors such as healthcare, banking, and border security; hence, these systems are vulnerable to several major risks, including sophisticated assaults, data breaches, adversarial manipulation, and repeat attacks. These are only a few of the main risks these systems run across. This research involves assessing several modern cryptographic technologies, including homomorphic encryption, cancellable biometrics, blockchain integration, and biometric template protection, in order to handle these problems. The goal of the project is to protect biometric data and respect personal information confidentiality. A prototype system designed to encrypt facial feature vectors obtained from a dataset drawn from the real world was built in Python. To get the required performance, this system used the K-Nearest Neighbor’s (KNN) classifier with Fernet symmetric encryption. The results show that encryption did not cause a reduction in model accuracy (60.87%), implying that intelligence-based recognition systems can preserve high performance and simultaneously protect data confidentiality. Cryptography was used to keep the data safe. The results of this study show that using lightweight cryptography is a good way to make biometric login systems that protect user privacy better and more scalable. © The Author(s), under exclusive license to Springer Nature Switzerland AG 2026.</t>
  </si>
  <si>
    <t>R0344</t>
  </si>
  <si>
    <t>A malicious feature detection and prevention mechanism with BRDH approach for improved security in Homomorphic Blockchain</t>
  </si>
  <si>
    <t>Swanthana, K.; Aravinth, S.S.</t>
  </si>
  <si>
    <t>Found in: Scopus · DOI: 10.1016/j.knosys.2024.112872</t>
  </si>
  <si>
    <t>In today's digital landscape, safeguarding sensitive data from external threats is a pressing concern. This paper introduces an innovative approach named Buffalo Recurrent Diffie Hellman (BRDH), designed to bolster data security by proactively identifying and mitigating potential risks. BRDH combines the power of African Buffalo optimization and Recurrent Neural Networks (RNN) to continuously monitor data in the cloud, swiftly detecting and responding to suspicious activities. Data encryption is employed to establish robust security measures using the Diffie-Hellman algorithm. Homomorphic encryption further enhances security by validating hash values and denying access in case of discrepancies. Authorized users receive a private key to decrypt cypher Text and access the original data securely. BRDH significantly enhances data confidentiality, achieves over 99 % accuracy in malicious feature detection, and reduces encryption/decryption times compared to conventional models, as demonstrated through applications in the stock market, healthcare, and network traffic data. BRDH sets a new standard in robust data protection amidst evolving security threats. Method Advantages © 2024 Elsevier B.V.</t>
  </si>
  <si>
    <t>R0345</t>
  </si>
  <si>
    <t>Efficient Privacy-Preserving Medical Cross-Silo Federated Learning</t>
  </si>
  <si>
    <t>Hamm B; Kirchhoff Y; Rokuss M; Schader P; Neher P; Parampottupadam S; Floca R; Maier-Hein K</t>
  </si>
  <si>
    <t>Found in: PubMed · DOI: 10.1109/JBHI.2026.3740976 · PMID: 42837231</t>
  </si>
  <si>
    <t>Federated Learning (FL) is becoming increasingly important for advancing machine learning in the medical domain, as it enables collaborative model training across multiple institutions without requiring them to share raw patient data. Unlike traditional centralized machine learning, which gathers data and trains the model in a single location, FL shares model updates among multiple independent participants, thereby keeping their data private. However, this decentralized structure-while privacy-preserving in principle-significantly expands the attack surface. Model updates exchanged between sites introduce new vulnerabilities, increasing the risk of unauthorized access, model poisoning, server-side eavesdropping, and potential leakage of sensitive patient information. Although established homomorphic encryption (HE) schemes such as CKKS, BFV, and BGV offer strong theoretical guarantees for secure computation, their high computational overhead often renders them impractical for real-world medical applications. To address this, we introduce a novel Secure Multi-Party Computation (SMPC)-based protocol tailored specifically for FL in the healthcare context. Our approach holistically rethinks the entire FL-SMPC pipeline, incorporating concurrency at critical stages to improve runtime efficiency while preserving strong security guarantees for the aggregated global model on the server side-an often overlooked aspect in existing SMPC approaches.</t>
  </si>
  <si>
    <t>R0346</t>
  </si>
  <si>
    <t>Optimized homomorphic encryption solution for secure genome-wide association studies</t>
  </si>
  <si>
    <t>Blatt, M.; Gusev, A.; Polyakov, Y.; Rohloff, K.; Vaikuntanathan, V.</t>
  </si>
  <si>
    <t>Found in: Scopus; PubMed · DOI: 10.1186/s12920-020-0719-9 · PMID: 32693805</t>
  </si>
  <si>
    <t>Background: Genome-Wide Association Studies (GWAS) refer to observational studies of a genome-wide set of genetic variants across many individuals to see if any genetic variants are associated with a certain trait. A typical GWAS analysis of a disease phenotype involves iterative logistic regression of a case/control phenotype on a single-neuclotide polymorphism (SNP) with quantitative covariates. GWAS have been a highly successful approach for identifying genetic-variant associations with many poorly-understood diseases. However, a major limitation of GWAS is the dependence on individual-level genotype/phenotype data and the corresponding privacy concerns. Methods: We present a solution for secure GWAS using homomorphic encryption (HE) that keeps all individual data encrypted throughout the association study. Our solution is based on an optimized semi-parallel GWAS compute model, a new Residue-Number-System (RNS) variant of the Cheon-Kim-Kim-Song (CKKS) HE scheme, novel techniques to switch between data encodings, and more than a dozen crypto-engineering optimizations. Results: Our prototype can perform the full GWAS computation for 1,000 individuals, 131,071 SNPs, and 3 covariates in about 10 minutes on a modern server computing node (with 28 cores). Our solution for a smaller dataset was awarded co-first place in iDASH'18 Track 2: "Secure Parallel Genome Wide Association Studies using HE". Conclusions: Many of the HE optimizations presented in our paper are general-purpose, and can be used in solving challenging problems with large datasets in other application domains.  © 2020 The Author(s).</t>
  </si>
  <si>
    <t>R0347</t>
  </si>
  <si>
    <t>Privacy-Preserving Collaborative Deep Learning for Cyber Threat Identification in 5G Healthcare 4.0</t>
  </si>
  <si>
    <t>A. K. Dey; G. P. Gupta; S. P. Sahu</t>
  </si>
  <si>
    <t>Found in: IEEE · DOI: 10.1109/GCWkshp64532.2024.11101645</t>
  </si>
  <si>
    <t>Healthcare 4.0, the fourth revolution in the healthcare industry, drives rapid technological advancements and enhances the quality of patient care. Healthcare 4.0 data, sourced from intelligent networks like 5G, is rapidly growing in volume but raises significant security and privacy concerns due to its vulnerability to cyber threats and data storage environment. To address this issue, collaborative deep learning was introduced to train and detect cyber threats without sharing private data. However, many literatures indicates that privacy can still be compromised during the training process in collaborative deep learning. In addition, the training cost of collaborative deep learning is also relatively high. In this study, a privacy-preserving collaborative deep learning framework, named PPCDL, is suggested to identify and prevent cyber threats in Healthcare 4.0 ecosystems. In this framework, on the peer side, Paillier-based homomorphic encryption is utilized to encode the local training model shared by the peers to protect the privacy and security of data. Moreover, a MobileNet-V1-driven lightweight deep learning model that reduces training costs is used to identify cyber threats. Comprehensive experiments on a realistic 5G-NIDD dataset reveal that the proposed PPCDL framework excels in identifying multiclass cyber threats to healthcare systems with a precision of 99.75% compared to state-of-the-art frameworks.</t>
  </si>
  <si>
    <t>R0348</t>
  </si>
  <si>
    <t>Privacy-preserving AUC computation in distributed machine learning with PHT-meDIC</t>
  </si>
  <si>
    <t>de Arruda Botelho, M.; Baykara, C.A.; Ünal, A.B.; Pfeifer, N.; Akgün, M.</t>
  </si>
  <si>
    <t>Found in: Scopus; PubMed · DOI: 10.1371/journal.pdig.0000753 · PMID: 41231933</t>
  </si>
  <si>
    <t>Ensuring privacy in distributed machine learning while computing the Area Under the Curve (AUC) is a significant challenge because pooling sensitive test data is often not allowed. Although cryptographic methods can address some of these concerns, they may compromise either scalability or accuracy. In this paper, we present two privacy-preserving solutions for secure AUC computation across multiple institutions: (1) an exact global AUC method that handles ties in prediction scores and scales linearly with the number of samples, and (2) an approximation method that substantially reduces runtime while maintaining acceptable accuracy. Our protocols leverage a combination of homomorphic encryption (modified Paillier), symmetric and asymmetric cryptography, and randomized encoding to preserve the confidentiality of true labels and model predictions. We integrate these methods into the Personal Health Train (PHT)-meDIC platform, a distributed machine learning environment designed for healthcare, to demonstrate their correctness and feasibility. Results using both real-world and synthetic datasets confirm the accuracy of our approach: the exact method computes the true AUC without revealing private inputs, and the approximation provides a balanced trade-off between computational efficiency and precision. All relevant code and data is publicly available at https://github.com/PHT-meDIC/PP-AUC, facilitating straightforward adoption and further development within broader distributed learning ecosystems. © 2025 Botelho et al. This is an open access article distributed under the terms of the Creative Commons Attribution License, which permits unrestricted use, distribution, and reproduction in any medium, provided the original author and source are credited.</t>
  </si>
  <si>
    <t>R0349</t>
  </si>
  <si>
    <t>FicGCN: Unveiling the Homomorphic Encryption Efficiency from Irregular Graph Convolutional Networks</t>
  </si>
  <si>
    <t>Kan, Z.; Han, H.; Shi, S.; Hua, T.; Lu, H.; Li, X.; Mu, J.; Hu, X.</t>
  </si>
  <si>
    <t>Graph Convolutional Neural Networks (GCNs) have gained widespread popularity in various fields like personal healthcare and financial systems, due to their remarkable performance. Despite the growing demand for cloud-based GCN services, privacy concerns over sensitive graph data remain significant. Homomorphic Encryption (HE) facilitates Privacy-Preserving Machine Learning (PPML) by allowing computations to be performed on encrypted data. However, HE introduces substantial computational overhead, particularly for GCN operations that require rotations and multiplications in matrix products. The sparsity of GCNs offers significant performance potential, but their irregularity introduces additional operations that reduce practical gains. In this paper, we propose FicGCN, a HE-based framework specifically designed to harness the sparse characteristics of GCNs and strike a globally optimal balance between aggregation and combination operations. FicGCN employs a latency-aware packing scheme, a Sparse Intra-Ciphertext Aggregation (SpIntra-CA) method to minimize rotation overhead, and a region-based data reordering driven by local adjacency structure. We evaluated FicGCN on several popular datasets, and the results show that FicGCN achieved the best performance across all tested datasets, with up to a 4.10× improvement over the latest design. © 2025, ML Research Press. All rights reserved.</t>
  </si>
  <si>
    <t>R0350</t>
  </si>
  <si>
    <t>An Optimized Key Distribution Protocol to Perform Secure Wireless Data Transmission in Heterogeneous WSN Environment</t>
  </si>
  <si>
    <t>Vignesh, G.D.; Hussein, A.S.; Prasad, O.V.S.S.; Nishitha, P.; Purushotham, S.</t>
  </si>
  <si>
    <t>Found in: Scopus; IEEE · DOI: 10.1109/ICRISET64803.2025.11252516</t>
  </si>
  <si>
    <t>Securing wireless communication in heterogeneous Wireless Sensor Networks (WSNs) remains a critical challenge due to the diversity of node capabilities and constrained resources. This paper introduces an Optimized Key Distribution Protocol (OKDP) designed to ensure secure, energy-efficient, and scalable data transmission in such heterogeneous environments. The methodology integrates node classification into high-capacity cluster heads and low-power sensing nodes, followed by identity-based lightweight authentication. A Firefly Optimization Algorithm is used over a matrix-based key pre-distribution approach, with minimum memory overhead and maximum key-sharing likelihood. Forward and backward secrecy is achieved by use of dynamic key establishment through elliptic curve Diffie-Hellman (ECDH) and hash-based rekeying. The protocol is also reinforced by the fact that a trust-aware intrusion detection module is in place isolating compromise nodes in real time. The proposed OKDP achieved an average key sharing probability of 94.18%, compromised node tolerance of 85.26%, energy consumption of 1.45 J, and an operational accuracy of 96.42% across various simulation scenarios. Its significantly higher performance in resilience, energy consumption, and communication overhead are confirmed by comparative results against well-known benchmark protocols (LEAP+, ECC-KPS, SPINS, etc.). The privacy-sensitive characteristics of the privacy-preserving data aggregation are secured through the adoption of the homomorphic encryption, which does not hinder the computational tractability. OKDP architecture is highly scalable and flexible and could therefore be well suited to the IoT present-day use cases such as smart farming, combat surveillance, and medical supervision. This paper, therefore, proposes a secure and effective protocol that is lightweight, less CPU intensive and optimized to support real-time secure transmission of data in WSNs composed of heterogeneous nodes.  © 2025 IEEE.</t>
  </si>
  <si>
    <t>R0351</t>
  </si>
  <si>
    <t>PPM: A Privacy-Preserving Framework for Intelligent Medical Diagnosis Systems</t>
  </si>
  <si>
    <t>Xia, R.; Huang, C.; Liu, Y.; Peng, M.; Huang, P.</t>
  </si>
  <si>
    <t>Found in: Scopus; IEEE · DOI: 10.1109/ASID60355.2023.10426038</t>
  </si>
  <si>
    <t>The extensive utilization of deep learning techniques has significantly boosted the efficacy of intelligent Computer-Aided Diagnosis (CAD) using medical data from multiple modalities. Deep learning techniques generally suffer from high computational complexity and cloud computing can effectively empower deep learning techniques by optimized software (e.g. distributed training/inference) and specific hardware (e.g. GPUs, FPGAs and TPUs). However, cloud computing also increases the risk of medical data leakage, which greatly hurts patients' privacy. There has been several techniques including homomorphic encryption approach proposed to preserve patients' privacy. However, none of them can be directly applied to deep neural networks to improve medical CAD applications via multi-modal data fusion. In this paper, we propose PPM, a framework integrating semantic level multi-modal data fusion neural network with homomorphic encryption mechanism, in order to preserve patients' privacy while maintaining the diagnostic performance. We conduct experiments on multi-source and multi-modal medical data for Upper Gastrointestinal (UGI) cancer screening. © 2023 IEEE.</t>
  </si>
  <si>
    <t>R0352</t>
  </si>
  <si>
    <t>Secure tumor classification by shallow neural network using homomorphic encryption</t>
  </si>
  <si>
    <t>Hong, S.; Park, J.H.; Cho, W.; Choe, H.; Cheon, J.H.</t>
  </si>
  <si>
    <t>Found in: Scopus; PubMed · DOI: 10.1186/s12864-022-08469-w · PMID: 35395714</t>
  </si>
  <si>
    <t>Background: Disclosure of patients’ genetic information in the process of applying machine learning techniques for tumor classification hinders the privacy of personal information. Homomorphic Encryption (HE), which supports operations between encrypted data, can be used as one of the tools to perform such computation without information leakage, but it brings great challenges for directly applying general machine learning algorithms due to the limitations of operations supported by HE. In particular, non-polynomial activation functions, including softmax functions, are difficult to implement with HE and require a suitable approximation method to minimize the loss of accuracy. In the secure genome analysis competition called iDASH 2020, it is presented as a competition task that a multi-label tumor classification method that predicts the class of samples based on genetic information using HE. Methods: We develop a secure multi-label tumor classification method using HE to ensure privacy during all the computations of the model inference process. Our solution is based on a 1-layer neural network with the softmax activation function model and uses the approximate HE scheme. We present an approximation method that enables softmax activation in the model using HE and a technique for efficiently encoding data to reduce computational costs. In addition, we propose a HE-friendly data filtering method to reduce the size of large-scale genetic data. Results: We aim to analyze the dataset from The Cancer Genome Atlas (TCGA) dataset, which consists of 3,622 samples from 11 types of cancers, genetic features from 25,128 genes. Our preprocessing method reduces the number of genes to 4,096 or less and achieves a microAUC value of 0.9882 (85% accuracy) with a 1-layer shallow neural network. Using our model, we successfully compute the tumor classification inference steps on the encrypted test data in 3.75 minutes. As a result of exceptionally high microAUC values, our solution was awarded co-first place in iDASH 2020 Track 1: “Secure multi-label Tumor classification using Homomorphic Encryption”. Conclusions: Our solution is the first result of implementing a neural network model with softmax activation using HE. Also, HE optimization methods presented in this work enable machine learning implementation using HE or other challenging HE applications. © 2022, The Author(s).</t>
  </si>
  <si>
    <t>R0353</t>
  </si>
  <si>
    <t>Enhanced brain tumor detection through spectral domain reconstruction graph neural network with privacy-preserving secure smart healthcare framework</t>
  </si>
  <si>
    <t>Palanichamy, M.S.; Franklin, P.D.; Rajiv, A.; Jayalakshmi, D.S.</t>
  </si>
  <si>
    <t>Found in: Scopus · DOI: 10.1016/j.bspc.2026.110982</t>
  </si>
  <si>
    <t>Medical image processing has made extensive use of spurred the creation of numerous applications and significantly expanded the therapeutic and diagnostic choices available for a variety of medical imaging issues. In this paper, an Enhanced Brain Tumor Detection through Spectral Domain Reconstruction Graph Neural Network with Privacy-Preserving Secure Smart Healthcare Framework (BTD-SDRGNN-SSH) is proposed. Here, the input images are gathered from Brain Tumor Detection 2020 dataset. The gathered images are pre-processing using Bayesian Boundary Trend Filtering (BBTF) for image normalization and cleaning. Then the pre-processed images are fed into the Refined Linear Chirplet Transform (RLCT) to extract statistical features such as Skewness, Standard Deviation, Kurtosis Features. The extracted statistical features are given into SDRGNN to detect and classify brain image as tumor and No tumor. To enhance the Triangulation Topology Aggregation Optimizer (TTAO) optimize the weight parameters of SDRGNN. The images are given to Martino Homomorphic encryption Algorithm (MHEA), which used to secure the images. The proposed BTD-SDRGNN-SSH technique is examined by the following performance metrics: accuracy, specificity, precision, recall, ROC, FI-score, computational time, error rate, detection rate. The performance of the BTD-SDRGNN-SSH method achieves 7.54%, 8.27%, 7.37% high accuracy; 7.96%, 8.79% and 6.68% higher precision and 7.85%, 6.49% and 7.48% higher recall compared with existing method respectively. © 2026 Elsevier Ltd</t>
  </si>
  <si>
    <t>R0354</t>
  </si>
  <si>
    <t>Auditable Federated Learning with Byzantine Robustness</t>
  </si>
  <si>
    <t>Liang, Y.; Li, Y.; Shin, B.-S.</t>
  </si>
  <si>
    <t>Found in: Scopus; IEEE · DOI: 10.1109/TCSS.2023.3266019</t>
  </si>
  <si>
    <t>Machine learning (ML) has led to disruptive innovations in many fields, such as medical diagnoses. A key enabler for ML is large training data, but existing data, such as medical data, are not fully exploited by ML because of data silos and privacy concerns. Federated learning (FL) is a promising distributed learning paradigm to address this problem. On the other hand, existing FL approaches are vulnerable to poisoning attacks or privacy leakage from a malicious aggregator or client. This article proposes an auditable FL scheme with Byzantine robustness against the aggregator and client: The aggregator is malicious but available, and the client could perform poisoning attacks. First, the Pedersen commitment scheme (PCS) for homomorphic encryption was applied to preserve privacy and for commitments to the FL process to achieve auditability. The auditability enables clients to verify the correctness and consistency of the entire FL process and to identify parties that misbehave. Second, an efficient technique of divide and conquer was designed based on PCS to allow parties to cooperate and securely aggregate gradients to defend against poisoning attacks. This technique enables clients to share no common secret key and cooperate to decrypt ciphertext, guaranteeing a client's privacy even if some other clients are corrupted by adversaries. This technique was optimized to tolerate the dropout of clients. This article reports a formal analysis concerning privacy, efficiency, and auditability against malicious participants. Extensive experiments on various benchmark datasets show that the scheme is robust with high model accuracy against poisoning attacks. © 2014 IEEE.</t>
  </si>
  <si>
    <t>R0355</t>
  </si>
  <si>
    <t>Enhancing Federated Learning Privacy Through Encrypted Computation</t>
  </si>
  <si>
    <t>Anfas, K.K.; Manoj, A.; Kunjumon, A.; Nair, J.J.</t>
  </si>
  <si>
    <t>Found in: Scopus · DOI: 10.1016/j.procs.2026.06.408</t>
  </si>
  <si>
    <t>Ensuring patient privacy while leveraging artificial intelligence in healthcare is a critical challenge. This work presents a privacy-preserving federated learning framework for classifying brain tumors from MRI scans. Without disclosing private patient information, the proposed system enables collaborative model training across multiple healthcare institutions. To prevent long-term key compromise and ensure secure transmission of intermediate CNN features, we employ homomorphic encryption using the CKKS scheme with periodic key rotation. Each institution locally trains a lightweight MobileNetV3-Small model and encrypts the extracted features with TenSEAL before transmitting them to a central server for aggregation. Our approach presents a novel encrypted feature sharing mechanism that improves privacy without sacrificing model performance, in contrast to traditional methods that encrypt gradients or model updates. Experimental evaluations on a brain MRI dataset demonstrate that the proposed framework increases the accuracy of models from 84.5% (traditional FL) and 87.1% (LEAF) to 94.1%. It safeguards sensitive healthcare data using full CKKS encryption with key rotation and achieves a 5× compression ratio, reducing communication overhead compared to LEAF's 3×. These results highlight its potential for scalable, secure, and high-performance federated AI in real-world clinical settings. © 2026 The Authors.</t>
  </si>
  <si>
    <t>R0356</t>
  </si>
  <si>
    <t>Infection with foamy virus in wild ruminants—evidence for a new virus reservoir?</t>
  </si>
  <si>
    <t>Materniak-Kornas, M.; Löchelt, M.; Rola, J.; Kuzmak, J.</t>
  </si>
  <si>
    <t>Found in: Scopus · DOI: 10.3390/v12010058</t>
  </si>
  <si>
    <t>Foamy viruses (FVs) are widely distributed and infect many animal species including non-human primates, horses, cattle, and cats. Several reports also suggest that other species can be FV hosts. Since most of such studies involved livestock or companion animals, we aimed to test blood samples from wild ruminants for the presence of FV-specific antibodies and, subsequently, genetic material. Out of 269 serum samples tested by ELISA with the bovine foamy virus (BFV) Gag and Bet antigens, 23 sera showed increased reactivity to at least one of them. High reactive sera represented 30% of bison samples and 7.5% of deer specimens. Eleven of the ELISA-positives were also strongly positive in immunoblot analyses. The peripheral blood DNA of seroreactive animals was tested by semi-nested PCR. The specific 275 bp fragment of the pol gene was amplified only in one sample collected from a red deer and the analysis of its sequence showed the highest homology for European BFV isolates. Such results may suggest the existence of a new FV reservoir in bison as well as in deer populations. Whether the origin of such infections stems from a new FV or is the result of BFV inter-species transmission remains to be clarified. © 2020 by the authors.</t>
  </si>
  <si>
    <t>R0357</t>
  </si>
  <si>
    <t>Federated Learning Approaches in Precision Agriculture: A Systematic Review of Current Trends, Challenges, and Opportunities</t>
  </si>
  <si>
    <t>S. M. Shawon; I. A. Adan; M. Moniruzzaman; O. H. Sinan; M. J. Abed; M. Al Qwaid; M. T. Sarker; H. B. A. Karim</t>
  </si>
  <si>
    <t>Found in: IEEE · DOI: 10.1109/ACCESS.2026.3667548</t>
  </si>
  <si>
    <t>The rapid expansion of digital agriculture driven by sensors, drones, IoT devices, and remote sensing technologies has generated unprecedented volumes of farm-level data, intensifying concerns surrounding privacy, ownership, and secure data sharing. Federated Learning (FL) has emerged as a promising paradigm that enables distributed model training without exposing raw data, making it well suited for precision agriculture. This systematic review examines 90 peer-reviewed studies published between 2022 and 2025 across major academic databases to evaluate how FL is being applied to enhance agricultural intelligence while reducing raw-data sharing and, in fewer studies, using explicit privacy mechanisms. This review distinguishes between (i) baseline FL, where privacy is primarily achieved by keeping raw data local and (ii) FL augmented with explicit privacy-preserving mechanisms such as differential privacy, homomorphic encryption and secure multi-party computation. Besides, it highlights that horizontal and cross-silo FL architectures dominate current research, particularly in crop disease detection, yield prediction, smart irrigation, and IoT-based farm monitoring. A key finding is that most agricultural FL studies still rely on baseline FL without formal privacy guarantees, and the adoption of DP/HE/SMPC remains limited highlighting a major research gap. Although FL often matches centralized deep-learning accuracy, real-world adoption is limited by non-IID data, communication costs, and constrained compute/connectivity in rural settings. This review summarizes FL architectures, agricultural applications, and the limited use of explicit privacy mechanisms, highlighting key gaps and research directions (personalized/hierarchical FL, federated reinforcement learning, explainable and energy-efficient models, and quantum-enhanced FL).</t>
  </si>
  <si>
    <t>R0358</t>
  </si>
  <si>
    <t>Novel Edge Computing-Based Privacy-Preserving Approach for Smart Healthcare Systems in the Internet of Medical Things</t>
  </si>
  <si>
    <t>Meng, L.; Li, D.</t>
  </si>
  <si>
    <t>Found in: Scopus · DOI: 10.1007/s10723-023-09695-6</t>
  </si>
  <si>
    <t>This paper presents the Edge-Based Privacy Preserving Approach (EBPPA) for healthcare applications that store private user data on cloud servers, and perform computation operations for patient diagnoses. The increasing cyber-attacks on hospital systems and the exposure of mathematical operations on cloud-stored data to untrusted entities pose significant data privacy and security risks. To address these challenges, our proposed approach incorporates two key components such as Homomorphic Encryption and the XGBoost algorithm. Homomorphic Encryption protects medical plaintext data, by enabling computations on encrypted data without decryption. This ensures that sensitive patient data remains secure even if attackers access it. Additionally, we employ Secret Sharing, which distributes computations to multiple virtual nodes located on edge. By doing so, all arithmetic operations are masked, preventing untrusted cloud servers from gaining knowledge about the specific tasks performed on the encrypted patient data. This enhances the confidentiality of the data and safeguards against potential privacy breaches. The virtual edge nodes (VENs) in our approach leverage the computational resources of the cloud to handle computationally intensive mathematical functions efficiently. This enables accurate and efficient healthcare data processing and reduces latency in data transmission between devices and edge nodes. To validate the effectiveness of our approach, we conducted a comparative analysis with existing studies. The results demonstrate that storing homomorphically encrypted data at the edge preserves data privacy and integrity while ensuring the confidentiality of the data through secret sharing-based multi-node computation. This approach offers a robust solution for protecting sensitive patient data from unauthorized access and maintaining data confidentiality in untrusted cloud networks. Our proposed Edge Based Privacy Preserving Approach (EBPPA) combines Homomorphic Encryption, which secures medical data, and the XGBoost algorithm, which enables accurate computations, to address healthcare applications’ challenges. By leveraging secret sharing and virtual edge nodes, our approach provides enhanced data privacy, integrity, and confidentiality, making it a promising solution for securing sensitive patient data in the healthcare domain. © 2023, The Author(s), under exclusive licence to Springer Nature B.V.</t>
  </si>
  <si>
    <t>R0359</t>
  </si>
  <si>
    <t>An Algorithm for Persistent Homology Computation Using Homomorphic Encryption</t>
  </si>
  <si>
    <t>Gold, D.; Karabina, K.; Motta, F.</t>
  </si>
  <si>
    <t>Found in: Scopus; IEEE · DOI: 10.1109/TDSC.2025.3616852</t>
  </si>
  <si>
    <t>Topological Data Analysis (TDA) provides a suite of tools that extract shape-based features from high-dimensional data, with applications to modern statistical and machine learning (ML) models. Among these tools, persistent homology (PH) summarizes the topological structure of data in compact representations known as persistence diagrams (PDs). Due to their robustness to noise, interpretability, and compatibility with standard ML architectures, PDs are increasingly used in applications involving sensitive data, such as genomics, cancer research, sensor networks, and finance. Thus, there is a growing need to incorporate TDA methods into secure, end-to-end data analysis pipelines. We present the first adaptation of a fundamental TDA algorithm known as boundary matrix reduction to operate on encrypted data using homomorphic encryption (HE). We provide mathematical guarantees for the correctness of the HE-compatible algorithm under appropriate parameter choices and analyze its computational complexity. We support these theoretical results with two distinct empirical studies: (1) a plaintext simulation that explores the extent to which the theoretically sufficient parameters can be relaxed while still preserving correctness, and (2) a working implementation in the OpenFHE framework that validates correctness on encrypted data. This work lays the foundation for fully encrypted topological computations and opens new directions in privacy-preserving data analysis using TDA. © 2004-2012 IEEE.</t>
  </si>
  <si>
    <t>R0360</t>
  </si>
  <si>
    <t>Fast Multi-label Tumor Classification Based on Homomorphic Encryption</t>
  </si>
  <si>
    <t>Zhou, J.; Lang, H.; Lei, B.</t>
  </si>
  <si>
    <t>Found in: Scopus · DOI: 10.1145/3569507.3569508</t>
  </si>
  <si>
    <t>The tumor classification based on the correlation between genomic information and tumors plays a vital role in early cancer diagnosis and treatment. Patients can outsource the genomic information to the cloud platform for early cancer diagnosis. However, anyone who has access to the cloud platform can obtain these genetic data stored in plaintext, and the patients' privacy cannot be guaranteed. By employing homomorphic encryption technology, the cloud platform can directly perform operations on the gene ciphertext, ensuring patients' privacy. This work proposes several fast, secure tumor classification models using a multi-layer perceptron and the homomorphic encryption scheme. In this paper, we first propose a preprocessing method to filter out the irrelevant genetic data to improve data quality and reduce the size of individual genetic data. We pack all genetic data of the test set into TLWE ciphertexts and then use TLWE ciphertexts and processed integer model weights to realize the parallel computing efficiently, and the model only takes about 0.67s to classify 258 testing samples. Finally, we propose the improved encryption of float numbers based on the LWE encryption scheme and then use the bootstrapping operation to efficiently realize the ciphertext comparisons for the sign function. After adding the sign activation function, the classification accuracy is improved by about 4%.  © 2022 ACM.</t>
  </si>
  <si>
    <t>R0361</t>
  </si>
  <si>
    <t>PryML: Privacy-Preserving Federated Learning under Data Heterogeneity using CKKS Encryption</t>
  </si>
  <si>
    <t>Thabit, A.M.M.M.; Huay, H.S.; Sen, A.</t>
  </si>
  <si>
    <t>Found in: Scopus · DOI: 10.1109/ICoICT71118.2026.11664829</t>
  </si>
  <si>
    <t>Federated Learning enables collaborative model training across distributed clients without centralizing raw data, offering privacy advantages for sensitive domains such as healthcare and finance. However, recent work has shown that standard federated protocols remain vulnerable to gradient inversion attacks, where a malicious aggregator can reconstruct private training samples from shared model updates. Homomorphic Encryption provides a cryptographic solution by allowing computation on encrypted data, but existing encrypted federated systems have not been rigorously evaluated under realistic data heterogeneity, a condition where clients hold non-identically distributed data. We present PryML, a privacy-preserving federated learning framework that integrates CKKS approximate homomorphic encryption with the Flower federated learning ecosystem. We provide a formal convergence analysis proving that CKKS encryption noise contributes additively rather than multiplicatively to heterogeneity-induced convergence error, meaning encryption does not amplify the degradation caused by skewed data distributions. Experimental validation on the MNIST dataset with 10 clients over 20 communication rounds demonstrates 99.0 percent accuracy under uniform data distribution and 98.0 percent under extreme label skew with a heterogeneity index of approximately 0.69, maintaining less than 0.1 percentage point gap compared to unencrypted baselines across all tested conditions. Security evaluation confirms resistance to gradient inversion attacks, reducing reconstruction similarity from 40 percent to 2.1 percent, with ciphertext entropy reaching 7.95 bits per byte. PryML provides practical encrypted federated learning for privacy-critical applications requiring regulatory compliance. © 2026 IEEE.</t>
  </si>
  <si>
    <t>R0362</t>
  </si>
  <si>
    <t>Privacy-Preserved Federated Learning for 3D Tooth Segmentation in Intra-Oral Mesh Scans</t>
  </si>
  <si>
    <t>Liu, S.; Yang, H.H.; Tao, Y.; Feng, Y.; Hao, J.; Liu, Z.</t>
  </si>
  <si>
    <t>Found in: Scopus · DOI: 10.3389/frcmn.2022.907388</t>
  </si>
  <si>
    <t>Semantic segmentation over three-dimensional (3D) intra-oral mesh scans (IOS) is an essential step in modern digital dentistry. Many existing methods usually rely on a limited number of labeled samples as annotating IOS scans is time consuming, while a large-scale dataset of IOS is not yet publicly available due to privacy and regulatory concerns. Moreover, the local data heterogeneity would cause serious performance degradation if we follow the conventional learning paradigms to train local models in individual institutions. In this study, we propose the FedTSeg framework, a federated 3D tooth segmentation framework with a deep graph convolutional neural network, to resolve the 3D tooth segmentation task while alleviating data privacy issues. Moreover, we adopt a general privacy-preserving mechanism with homomorphic encryption to prevent information leakage during parameter exchange between the central server and local clients. Extensive experiments demonstrate that both the local and global models trained with the FedTSeg framework can significantly outperform models trained with the conventional paradigm in terms of the mean intersection over union, dice coefficient, and accuracy metrics. The FedTSeg framework can achieve better performance under imbalanced data distributions with different numbers of clients, and its overall performance is on par with the central model trained with the full dataset aggregated from all distributed clients. The data privacy during parameter exchange of FedTSeg is further enhanced with a homomorphic encryption process. Our work presents the first attempts of federated learning for 3D tooth segmentation, demonstrating its strong potential in challenging federated 3D medical image analysis in multi-centric settings. Copyright © 2022 Liu, Yang, Tao, Feng, Hao and Liu.</t>
  </si>
  <si>
    <t>R0363</t>
  </si>
  <si>
    <t>A hierarchical federated learning-based health stack for future pandemic preparedness</t>
  </si>
  <si>
    <t>Tripathy, R.; Balabantaray, A.; Shah, N.; Jha, P.K.; Gogineni, A.K.; Mukhopadhyay, A.; Sahu, K.K.; Bera, P.</t>
  </si>
  <si>
    <t>Found in: Scopus · DOI: 10.36922/AIH025080013</t>
  </si>
  <si>
    <t>The COVID-19 pandemic, one of the most disruptive global health crises in recent history, exposed critical vulnerabilities in existing healthcare infrastructure. Given the likelihood of future pandemics, it is essential to build a resilient, collaborative, synergistic, data-driven, and intelligent digital healthcare software. It should be meticulously designed and selectively curated to enhance early detection, rapid response, and efficient containment of outbreaks. In this article, we propose a federated learning (FL)-based health stack that prioritizes privacy while fostering collaborative intelligence among hospitals or client nodes. Our framework incorporates hierarchical FL, Byzantine-resilient information-theoretic FL (ByITFL), homomorphic encryption, and blockchain-based smart contracts to ensure secure collaboration among healthcare institutions without sharing raw data. Hierarchical FL leverages multilevel model aggregation to enhance model convergence, scalability, and resilience. ByITFL strengthens security by incorporating trust mechanisms and information-theoretic privacy scoring, while blockchain-based smart contracts ensure transparent, verifiable coordination among participating nodes. Furthermore, deep vulnerability detection using optimized averaged stochastic gradient descent weight-dropped long short-term memory models may further enhance the framework’s security, enabling threat identification during decentralized data exchanges. Experimental results show that the proposed hierarchical FL model achieves 94.23% accuracy on the modified National Institute of Standards and Technology dataset, outperforming federated averaging (92.66%) under the same environments. In addition, communication analysis proved that the overall transmission is minimized by collecting updates at local servers before sending them to central servers. Therefore, it is nearly a future-ready technology that can be implemented without many geopolitical issues, even in the case of hypersensitive global situations. © 2025 Author(s).</t>
  </si>
  <si>
    <t>R0364</t>
  </si>
  <si>
    <t>bioETH-PRS: confidential polygenic risk scoring with smart contracts on an FHE-enabled blockchain</t>
  </si>
  <si>
    <t>Antonios Provatas, K.; Galanopoulos, C.; Georgakopoulos-Soares, I.</t>
  </si>
  <si>
    <t>Found in: Scopus; PubMed · DOI: 10.1093/bib/bbag503 · PMID: 42742291</t>
  </si>
  <si>
    <t>Polygenic risk scores (PRSs) aggregate genetic effect estimates to predict disease susceptibility, yet calculating one through an external service can require exposing raw genotype data. Homomorphic encryption hides those data during the calculation but, in prior work, still places a designated evaluator in a position of trust. We present bioETH-PRS, a protocol that replaces the evaluator with publicly auditable smart contracts on a blockchain supporting Fully Homomorphic Ethereum Virtual Machine (fhEVM). Using integer-exact encrypted arithmetic, bioETH-PRS computes the PRS dot product entirely in the encrypted domain, so genotype dosages and, at the model provider’s discretion, the GWAS weights stay hidden from the parties performing the computation. A fixed-point encoding represents signed weights as nonnegative integers within a bound that rules out overflow, recovering the score to the precision of the published weights. A four-contract architecture separates data custody, model publication, computation, and output release, and supports both a classic path that stores encrypted inputs and an appreciably cheaper streaming path that discards them. A release oracle can return a randomized risk category instead of the raw score, limiting what a repeated querier learns. Prototype evaluation on real GWAS fixtures, including a run on a public testnet, shows cost growing linearly with variant count and suggests the approach may be practical where transaction fees are low. Trust is redistributed rather than removed: the system still depends on the contracts, the blockchain, and the fhEVM services. We evaluate additive models of moderate size, not genome-wide or clinical use. © The Author(s) 2026. Published by Oxford University Press. This is an Open Access article distributed under the terms of the Creative Commons Attribution License (https://creativecommons.org/licenses/by/4.0/), which permits unrestricted reuse, distribution, and reproduction in any medium, provided the original work is properly cited.</t>
  </si>
  <si>
    <t>R0365</t>
  </si>
  <si>
    <t>Federated Generative AI for Privacy-Preserving Industrial Fault Diagnosis An Adaptive Heterogeneity-Aware Framework</t>
  </si>
  <si>
    <t>Chen, P.</t>
  </si>
  <si>
    <t>Found in: Scopus · DOI: 10.1145/3807246.3807347</t>
  </si>
  <si>
    <t>Industrial fault diagnosis in distributed manufacturing faces twin bottlenecks: data scarcity and privacy constraints. While existing federated generative models attempt to bridge these gaps, they often overlook data heterogeneity (varying fault distributions), leading to sub-optimal convergence and low-fidelity synthetic data generation. This paper presents FL-GAN, an adaptive heterogeneity-aware framework specifically engineered for privacy-preserving industrial diagnostics. Our contributions are threefold: (1) a Hierarchical Federated Architecture that decouples global feature alignment from local adaptation; (2) an Adaptive Weight Aggregation (AWA) strategy based on Data Quality (DQS) and Distribution Similarity (DSS); and (3) a Hybrid Privacy Mechanism combining LDP and lightweight homomorphic encryption. Experimental results on three real-world datasets show that FL-GAN reduces FID scores by 27.3% and enhances diagnostic accuracy by 16.8% compared to FedGAN. Notably, the framework maintains a Membership Inference Attack (MIA) success rate close to 50% (random guess baseline), ensuring robust protection for sensitive industrial data. © 2026 Copyright held by the owner/author(s).</t>
  </si>
  <si>
    <t>R0366</t>
  </si>
  <si>
    <t>Improved Multiplication-Free Biometric Recognition Under Encryption</t>
  </si>
  <si>
    <t>Bassit, A.; Hahn, F.F.W.; Veldhuis, R.N.J.; Peter, A.</t>
  </si>
  <si>
    <t>Found in: Scopus · DOI: 10.1109/TBIOM.2023.3340306</t>
  </si>
  <si>
    <t>Modern biometric recognition systems extract distinctive feature vectors of biometric samples using deep neural networks to measure the amount of (dis-)similarity between two biometric samples. Studies have shown that personal information (e.g., health condition, ethnicity, etc.) can be inferred, and biometric samples can be reconstructed from those feature vectors, making their protection an urgent necessity. State-of-the-art biometrics protection solutions are based on homomorphic encryption (HE) to perform recognition over encrypted feature vectors, hiding the features and their processing while releasing the outcome only. However, this comes at the cost of those solutions' efficiency due to the inefficiency of HE-based solutions with a large number of multiplications; for (dis-)similarity measures, this number is proportional to the vector's dimension. In this paper, we tackle the HE performance bottleneck by freeing the two common (dis-)similarity measures, the cosine similarity and the squared Euclidean distance, from multiplications. Assuming normalized feature vectors, our approach pre-computes and organizes those (dis-)similarity measures into lookup tables. This transforms their computation into simple table lookups and summations only. We integrate the table lookup with HE and introduce pseudo-random permutations to enable cheap plaintext slot selection, which significantly saves the recognition runtime and brings a positive impact on the recognition performance. We then assess their runtime efficiency under encryption and record runtimes between 16.74ms and 49.84ms for both the cleartext and encrypted decision modes over the three security levels, demonstrating their enhanced speed for a compact encrypted reference template reduced to one ciphertext. © 2019 IEEE.</t>
  </si>
  <si>
    <t>R0367</t>
  </si>
  <si>
    <t>Privacy-Preserving Medical Image Classification Using Homomorphic Encryption</t>
  </si>
  <si>
    <t>Bharadwaj, R.; Patle, P.; Pawar, B.; Pawar, N.; Pehere, K.</t>
  </si>
  <si>
    <t>Found in: Scopus; IEEE · DOI: 10.1109/PuneCon67554.2025.11378734</t>
  </si>
  <si>
    <t>The sensitive sector like medical care are growing rapidly, it is critical to maintain data confidentiality and integrity when using artificial intelligence (AI) in computing. Convolutional neural networks (CNNs), a piece of deep learning model, have shown impressive results in applications like image classification. However, there are significant risks associated with exposing raw data to central servers when using traditional centralized model training techniques. In highly regulated spaces such as healthcare, this model of computation is no longer an option due to data privacy issues and legislation such as GDPR and HIPAA. To overcome this vulnerability, we propose an end-to-end image classification system computed in an encrypted environment based on Homomorphic Encryption. It helps in computation on encrypted data without decrypting it, hence maintaining privacy even at inference and training phases. The implementation relies on the Cheon-Kim-Kim-Song (CKKS) encryption scheme implemented by the TenSEAL library, enabling approximate arithmetic on real numbers. A ResNet18 deep learning model pretrained on ImageN et and fine-tuned on a chest X-ray dataset is used as the base classifier. The model is adapted to run on encrypted feature vectors, allowing inference in an encrypted environment. Chest X-ray images from four classes-COVID-19, pneumonia, tuberculosis, and normal-make up the dataset used. This experiment demonstrates that homomorphically encrypted image classification is feasible with negligible performance and latency trade-offs. The model's classification accuracy is about 88%, and data confidentiality is 100% guaranteed. The deployment of secure AI models to privacy-critical applications, where data leakage can be catastrophic, like AI-aided radiology, smart diagnostics, and remote health care, is made possible by this work. © 2025 IEEE.</t>
  </si>
  <si>
    <t>R0368</t>
  </si>
  <si>
    <t>Privacy-enhanced data compression using quantum zk-SNARKs and variational auto-encoders in cloud-IoT based healthcare sensor data for medical applications</t>
  </si>
  <si>
    <t>Rajasekaran, P.; Duraipandian, M.; Albert, J.R.</t>
  </si>
  <si>
    <t>Found in: Scopus · DOI: 10.1063/5.0301716</t>
  </si>
  <si>
    <t>The increasing rate of growth of the Internet of Things (IoT) in cloud-hospitality health has brought in data storage, transmission, and security challenges with the advent of quantum-enabled threats. Traditional compression methods struggle with computational inefficiency and the threat of invasion of privacy. This paper proposes a Quantum-Enhanced Zero-Knowledge Healthcare Compression Network for solving these challenges by combining Zero-Knowledge Proofs and Quantum-Inspired Deep Learning. The main goal is to provide privacy-preserving, efficient data compression along with optimizing computation costs and safeguarding sensitive healthcare records. Drawbacks in present cryptographic techniques, e.g., high computational costs in homomorphic encryption and scalability limitations in blockchain, require a novelty Adaptive Quantum-Assisted Zero-Knowledge Verification and Quantum Fusion-AutoCNN Encoder (QF-AutoCNN) to overcome this research. This work’s originality lies in combining Quantum zk-SNARKs, Hybrid Quantum Feature Encoding, and Reinforcement Learning-Based Challenge Optimization to provide better security, compression ratio, and verification efficiency. Experimental results show better accuracy (0.9816), improved F-measure (0.9709), and less computational overhead, better than other current methods such as convolutional neural networks-encryption and proxy re-encryption. This research greatly adds to safe cloud healthcare IoT by lessening privacy threats, maximizing storage space, and minimizing processing time, guaranteeing real-time handling of medical information. © 2025 Author(s).</t>
  </si>
  <si>
    <t>R0369</t>
  </si>
  <si>
    <t>A discrete mathematical model and cryptography for secure medical image analysis: Encrypted chest X-ray classification</t>
  </si>
  <si>
    <t>Noonia, A.; Thakral, D.; Mathur, P.; Sheth, F.; Shaikh, H.; Gupta, A.K.</t>
  </si>
  <si>
    <t>Found in: Scopus · DOI: 10.47974/JDMSC-2146</t>
  </si>
  <si>
    <t>This research presents a privacy-preserving approach to chest X-ray image classification utilizing deep learning techniques integrated with Advanced Encryption Standard (AES) encryption and Fully Homomorphic Encryption (FHE) to maintain data confidentiality. The methodology employs various Convolutional Neural Network (CNN) models to classify chest X-rays into three categories: normal, COVID-19 infected, and pneumonia infected, without decrypting the data. The process involves preprocessing the images, determining optimal hyperparameters, and fine-tuning the CNN models through transfer learning. The models evaluated include ResNet50, ResNet101, MobileNetV3 Small, MobileNetV3 Large, DenseNet121, and DenseNet161, with performance metrics such as accuracy, F1-score, precision, recall (sensitivity), and specificity used for comprehensive assessment. Among the tested models, DenseNet161 achieved the highest accuracy of 92.28%, followed by DenseNet121 and ResNet50 with accuracies of 91.41% and 91.26%, respectively. This study demonstrates the feasibility and effectiveness of combining encryption with deep learning for secure and accurate medical image analysis, thereby addressing the critical need for privacy in medical diagnostics. © 2025, Taru Publications. All rights reserved.</t>
  </si>
  <si>
    <t>R0370</t>
  </si>
  <si>
    <t>Encrypting and Predicting Medical Diagnosis Data</t>
  </si>
  <si>
    <t>Faiz, F.M.; Umar Farooq, M.; Faiz, A.M.; Pasha, M.; Hijab, M.</t>
  </si>
  <si>
    <t>Found in: Scopus; IEEE · DOI: 10.1109/IEMECON53809.2021.9689139</t>
  </si>
  <si>
    <t>With the rapid development in technology across various branches, data security is the rising concern. Currently, in the healthcare sector, users can contact doctors/hospitals, study or analyze symptoms using wide range of applications and information available on internet, and also occasionally predict diseases. Individuals can easily drop by an appropriate portal and enter their symptoms which then subsequently applies machine learning algorithm to the mentioned data and finally calculate chances of disease incidence. By such a process one may encounter several problems., as these hardly employ any successful data protection services. Therefore, there is a need to maintain the privacy of the individual. Here we focus on designing a CatBoost model with homomorphic encryption for protecting the patient data to make it more secure. Thus finally providing encrypted prediction of diagnosis which is efficient and effective. © 2021 IEEE.</t>
  </si>
  <si>
    <t>R0371</t>
  </si>
  <si>
    <t>Secure and Privacy-Preserving AI: A Zero Trust Architecture for Federated Machine Learning</t>
  </si>
  <si>
    <t>Hossain, A.A.; Pk, M.K.; Amsaad, F.; Ahner, D.</t>
  </si>
  <si>
    <t>Found in: Scopus; IEEE · DOI: 10.1109/SATC65530.2025.11137026</t>
  </si>
  <si>
    <t>The proliferation of Federated Machine Learning (FML) has opened new avenues for collaborative artificial intelligence (AI) development, enabling multiple parties to train models collectively without exposing sensitive local datasets. However, it introduces significant cybersecurity challenges, particularly in securing data exchanges, model integrity, and system access. A Zero Trust Architecture (ZTA) offers a robust security framework to address these challenges by implementing strict access controls, continuous verification, and minimizing trust zones. This study investigates the implementation of zero-trust principles in AIdriven Federated Machine Learning (FML) environments. It emphasizes the necessity of dynamic authentication, secure communication protocols, and robust defense mechanisms to enhance resilience against adversarial threats. By integrating zero-trust security into FML, organizations can establish a framework to ensure that no user or system is inherently trusted. The main security techniques include cryptographic measures such as homomorphic encryption and secure multiparty computation to safeguard model updates, differential privacy to protect training data, and real-time anomaly detection for threat identification. Additionally, the implementation of FML identities and finegrained policy enforcement enhances the security of user and device authentication across distributed nodes. This study highlights the critical role of the Zero Trust model in mitigating key threats in Federated Machine Learning (FML) systems, including data poisoning, model inversion, and communication interception. Adopting ZTA in FML fortifies security and enhances stakeholder confidence, fostering the broader adoption of federated AI technologies in the healthcare, finance, and defense industries. © 2025 IEEE.</t>
  </si>
  <si>
    <t>R0372</t>
  </si>
  <si>
    <t>Privacy-Preserving Machine Learning Framework for Secure Healthcare Applications</t>
  </si>
  <si>
    <t>Darla, S.; Purushotham, K.; Pranathi, G.; Navya, D.N.</t>
  </si>
  <si>
    <t>Found in: Scopus; IEEE · DOI: 10.1109/ICMNWC66779.2025.11354184</t>
  </si>
  <si>
    <t>The extensive shift toward digital healthcare technologies has greatly enhanced diagnostic workflows and expanded the availability of personalized medical support. Despite these benefits, they also raise significant concerns about safeguarding sensitive patient records against unauthorized access and cyber-attacks. To tackle these issues, this study introduces a Privacy-Preserving Machine Learning (PPML) framework that ensures secure data handling across storage, transmission, and computation phases. The framework incorporates AES-256 encryption to protect data, JSON Web Token (JWT) authentication for controlled access, and privacy-focused learning techniques such as differential privacy and homomorphic encryption to enable protected model training. The system aligns with healthcare policies including HIPAA and GDPR while preserving usability and interpretability. Experimental analysis indicates that the proposed approach maintains high prediction accuracy with minimal computational load and strong confidentiality safeguards. This research establishes a trusted foundation for secure, privacy-aware healthcare analytics, supporting ethical and reliable adoption of AI technologies in clinical environments.  © 2025 IEEE.</t>
  </si>
  <si>
    <t>R0373</t>
  </si>
  <si>
    <t>Highly efficient homomorphic encryption-based federated learning for diabetic retinopathy classification</t>
  </si>
  <si>
    <t>Nielsen, C.; Wilms, M.; Forkert, N.D.</t>
  </si>
  <si>
    <t>Found in: Scopus; PubMed · DOI: 10.1117/1.JMI.12.3.034504 · PMID: 40463488</t>
  </si>
  <si>
    <t>Purpose: Diabetic retinopathy (DR) is the leading cause of blindness among working-age adults globally. Although machine learning (ML) has shown promise for DR diagnosis, ensuring model generalizability requires training on data from diverse populations. Federated learning (FL) offers a potential solution by enabling model training on decentralized datasets. However, privacy concerns persist in FL due to potential privacy breaches, such as gradient inversion attacks, which can be used to reconstruct sensitive training data and may discourage participation from patients. Approach: We developed and tested a computationally efficient FL framework that integrates homomorphic encryption (HE) to safeguard patient privacy using 6457 retinal fundus images from the APTOS-2019 and ODIR-5K datasets. First, features are extracted from distributed fundus images using RETFound, a large pretrained foundation model for retinal analysis. These encrypted features are then used to train a lightweight multiclass logistic regression head (MLRH) model for DR grade classification using FL. Results: Experimental results show that the MLRH model trained using FL achieves similar performance compared with a fully fine-tuned RETFound model on centralized data, with the area under the receiver operating characteristic curve scores of 0.93 ± 0.01 on APTOS-2019 and 0.78 ± 0.02 on ODIR-5K. Efficiency improvements include a 95.9-fold reduction in computation time and a 63.0-fold reduction in data transfer needs compared with fine-tuning the full RETFound model with FL. In addition, results showed that integrating HE effectively protects patient data against gradient inversion attacks. Conclusions: We advance privacy-preserving, ML-based DR screening technology, supporting the goal of equitable vision care worldwide. © 2025 Society of Photo-Optical Instrumentation Engineers (SPIE)</t>
  </si>
  <si>
    <t>R0374</t>
  </si>
  <si>
    <t>Private, Accurate and Communication Efficient Clustering Over Vertically Distributed Dataset</t>
  </si>
  <si>
    <t>Yuan, S.; Xue, K.; Zhao, J.; Wei, D.S.L.</t>
  </si>
  <si>
    <t>Found in: Scopus; IEEE · DOI: 10.1109/TIFS.2025.3567914</t>
  </si>
  <si>
    <t>Clustering is a crucial unsupervised machine learning algorithm extensively used in various practical applications, such as patient refinement and fraud detection, which often involve vertically distributed data across multiple data centers. However, sharing datasets directly is typically prohibited under GDPR due to potential privacy breaches. Therefore, privacy-preserving joint clustering for vertically distributed datasets is highly desired. In this paper, we propose Privacy-Preserving Vertically Federated Clustering (PPVFC), a solution that not only achieves this goal but also significantly reduces computational and communication overhead for each data owner (DO). Unlike most previous works that achieve the goal with a single privacy-enhancing technology, PPVFC jointly leverages multiparty homomorphic encryption (MHE) and multiparty computation (MPC) to efficiently interleave communication-lightweight homomorphic computations on the local dataset with operations over collectively secret-shared intermediate data. Specifically, we design a coefficient-wise encoding for MHE to pack large datasets and minimize communication costs. Additionally, we develop a round-efficient bit extraction protocol for determining the minimum distance. Through extensive experiments and security analysis, we demonstrate the practical performance and robust security guarantees of PPVFC.  © 2005-2012 IEEE.</t>
  </si>
  <si>
    <t>R0375</t>
  </si>
  <si>
    <t>Ensemble method for privacy-preserving logistic regression based on homomorphic encryption</t>
  </si>
  <si>
    <t>Cheon, J.H.; Kim, D.; Kim, Y.; Song, Y.</t>
  </si>
  <si>
    <t>Found in: Scopus; IEEE · DOI: 10.1109/ACCESS.2018.2866697</t>
  </si>
  <si>
    <t>Homomorphic encryption (HE) is one of promising cryptographic candidates resolving privacy issues in machine learning on sensitive data such as biomedical data and financial data. However, HE-based solutions commonly suffer from relatively high computational costs due to a large number of iterations in the optimization algorithms such as gradient descent (GD) for the learning phase. In this paper, we propose a new method called ensemble GD for logistic regression, a commonly used machine learning technique for binary classification. Our ensemble method reduces the number of iterations of GD, which results in substantial improvement on the performance of logistic regression based on HE in terms of speed and memory. The convergence of ensemble GD based on HE is guaranteed by our theoretical analysis on the erroneous variant of ensemble GD. We implemented ensemble GD for the logistic regression based on an approximate HE scheme HEAAN on MNIST data set and Credit data set from UCI machine learning repository. Compared to the standard GD for logistic regression, our ensemble method requires only about 60% number of iterations, which results in 60-70% reduction on the running time of total learning procedure in encrypted state, and 30-40% reduction on the storage of encrypted data set. © 2013 IEEE.</t>
  </si>
  <si>
    <t>R0376</t>
  </si>
  <si>
    <t>Evolving into an Era of Natively Flexible Smart Systems</t>
  </si>
  <si>
    <t>Costa, J.; Barlier, V.; Norman, H.; Ozer, E.; Alkhalil, F.; Price, R.</t>
  </si>
  <si>
    <t>Found in: Scopus · DOI: 10.1002/sdtp.16507</t>
  </si>
  <si>
    <t>Natively flexible electronics allow for ultra-thin functionality to be added to wearable, conformal large-area sensing applications, reducing or eliminating the need for bulky rigid components and dramatically improving both form factor and cost of the final system. Flexible Hybrid Electronics (FHE), which combine flexible and rigid components, are increasingly used for sensing applications like health patches, industrial sensing, robotics, augmented and virtual reality, etc. Thin-Film Transistor (TFT) display manufacturing technologies are well established and have been leading the drive for cost and form-factor optimization. In this article, we review an intersection of these technologies for sensing applications, predicting the emergence of smart systems made up of only low cost natively flexible electronic components including printed sensors, flexible ICs, printed batteries, printed antennas, and flexible displays. © 2023, John Wiley and Sons Inc. All rights reserved.</t>
  </si>
  <si>
    <t>R0377</t>
  </si>
  <si>
    <t>A Review of Privacy Enhancement Methods for Federated Learning in Healthcare Systems</t>
  </si>
  <si>
    <t>Gu X; Sabrina F; Fan Z; Sohail S</t>
  </si>
  <si>
    <t>Found in: PubMed · DOI: 10.3390/ijerph20156539 · PMID: 37569079</t>
  </si>
  <si>
    <t>Federated learning (FL) provides a distributed machine learning system that enables participants to train using local data to create a shared model by eliminating the requirement of data sharing. In healthcare systems, FL allows Medical Internet of Things (MIoT) devices and electronic health records (EHRs) to be trained locally without sending patients data to the central server. This allows healthcare decisions and diagnoses based on datasets from all participants, as well as streamlining other healthcare processes. In terms of user data privacy, this technology allows collaborative training without the need of sharing the local data with the central server. However, there are privacy challenges in FL arising from the fact that the model updates are shared between the client and the server which can be used for re-generating the client's data, breaching privacy requirements of applications in domains like healthcare. In this paper, we have conducted a review of the literature to analyse the existing privacy and security enhancement methods proposed for FL in healthcare systems. It has been identified that the research in the domain focuses on seven techniques: Differential Privacy, Homomorphic Encryption, Blockchain, Hierarchical Approaches, Peer to Peer Sharing, Intelligence on the Edge Device, and Mixed, Hybrid and Miscellaneous Approaches. The strengths, limitations, and trade-offs of each technique were discussed, and the possible future for these seven privacy enhancement techniques for healthcare FL systems was identified.</t>
  </si>
  <si>
    <t>R0378</t>
  </si>
  <si>
    <t>Data Privacy Sharing Scheme Based on Proxy Re-encryption and Blockchain</t>
  </si>
  <si>
    <t>Ai, X.; Huang, Y.; Dong, Y.; Yin, Y.; Chen, Z.; Zhang, L.</t>
  </si>
  <si>
    <t>Found in: Scopus; IEEE · DOI: 10.1109/SCECS65243.2025.11065902</t>
  </si>
  <si>
    <t>The rapid development of smart grid has brought about a massive amount of personal and organizational privacy data. The storage and sharing of this data face the dual challenges of privacy protection and data silos. With the advancement of technologies such as machine learning and deep learning, the sharing of power data has become crucial for the diagnosis, optimization, and prediction of the power grid. To address these issues, a novel dual-server power data privacy sharing scheme is proposed, which leverages proxy re-encryption and blockchain technology. By encrypting power data and uploading it to a blockchain consortium specifically designed for energy companies, the scheme ensures the immutability and verifiability of the data. Upon receiving a user's data sharing request, the energy utility encrypts the data into a second-level ciphertext using the proxy re-encryption encryption algorithm and subsequently uploads it to a cloud server. The cloud server then carries out homomorphic operations in accordance with the user's request. To enable users to decrypt the ciphertext using their own private keys, the two servers collaborate to execute a secure ciphertext transformation protocol. This is followed by the application of the proxy re-encryption algorithm, which transforms the homo- morphically operated ciphertext into a format that aligns with the user's public key. The experimental outcomes demonstrate that this proposed scheme not only facilitates the sharing of user power data in a multi-key environment but also incurs computational overhead that is remarkably similar to that of the BFV homomorphic encryption algorithm.  © 2025 IEEE.</t>
  </si>
  <si>
    <t>R0379</t>
  </si>
  <si>
    <t>Phylogenetic and Timescale Analysis of Barmah Forest Virus as Inferred from Genome Sequence Analysis</t>
  </si>
  <si>
    <t>Michie, A.; Ernst, T.; Chua, I.-L.J.; Lindsay, M.D.A.; Neville, P.J.; Nicholson, J.; Jardine, A.; Mackenzie, J.S.; Smith, D.W.; Imrie, A.</t>
  </si>
  <si>
    <t>Found in: Scopus · DOI: 10.3390/v12070732</t>
  </si>
  <si>
    <t>Barmah Forest virus (BFV) is a medically important mosquito-borne alphavirus endemic to Australia. Symptomatic disease can be a major cause of morbidity, associated with fever, rash, and debilitating arthralgia. BFV disease is similar to that caused by Ross River virus (RRV), the other major Australian alphavirus. Currently, just four BFV whole-genome sequences are available with no genome-scale phylogeny in existence to robustly characterise genetic diversity. Thirty novel genome sequences were derived for this study, for a final 34-taxon dataset sampled over a 44 year period. Three distinct BFV genotypes were characterised (G1-3) that have circulated in Australia and Papua New Guinea (PNG). Evidence of spatio-temporal co-circulation of G2 and G3 within regions of Australia was noted, including in the SouthWest region ofWestern Australia (WA) during the first reported disease outbreaks in the state's history. Compared with RRV, the BFV population appeared more stable with less frequent emergence of novel lineages. Preliminary in vitro assessment of RRV and BFV replication kinetics found that RRV replicates at a significantly faster rate and to a higher, more persistent titre compared with BFV, perhaps indicating mosquitoes may be infectious with RRV for longer than with BFV. This investigation resolved a greater diversity of BFV, and a greater understanding of the evolutionary dynamics and history was attained.  © 2020 by the authors.</t>
  </si>
  <si>
    <t>R0380</t>
  </si>
  <si>
    <t>Privacy-Preserving Classification of Medical Tabular Data with Homomorphic Encryption</t>
  </si>
  <si>
    <t>Haq, F.; Chen, C.; Chen, Z.</t>
  </si>
  <si>
    <t>Found in: Scopus · DOI: 10.3390/a18120731</t>
  </si>
  <si>
    <t>Machine learning (ML) offers significant potential for disease prediction, clinical decision support, and medical data classification, but its reliance on sensitive patient data raises privacy and security concerns, particularly under strict healthcare regulations. Traditional encryption methods require data to be decrypted prior to computation, such as in ML workflows, thereby introducing risks of exposure and undermining data confidentiality. Homomorphic Encryption (HE) addresses this challenge by enabling computations directly on encrypted data, ensuring end-to-end privacy. This paper explores the integration of the Cheon-Kim-Kim-Song (CKKS) HE scheme into the inference phase of medical tabular data classification. We evaluate the performance of Logistic Regression (LR), Support Vector Machine (SVM), and a lightweight multilayer perceptron (MLP) under HE-based inference, and compare their classification accuracy, computational overhead, and latency against plaintext counterparts. Additionally, we propose two hybrid models (LR-MLP and SVM-MLP) to accelerate training convergence and enhance inference performance. Experimental results demonstrate that while HE-based inference introduces moderate computational cost and data transmission overheads, it maintains accuracy comparable to plaintext inference. These outcomes affirm the practical feasibility of HE for privacy-preserving machine learning in healthcare, while also highlighting key implementation trade-offs. Furthermore, the findings support the advancement of secure AI systems and promote the adoption of cryptographic techniques in digital health and other privacy-critical fields. © 2025 by the authors.</t>
  </si>
  <si>
    <t>R0381</t>
  </si>
  <si>
    <t>MSCryptoNet: Multi-Scheme Privacy-Preserving Deep Learning in Cloud Computing</t>
  </si>
  <si>
    <t>Kwabena, O.-A.; Qin, Z.; Qin, Z.; Zhuang, T.</t>
  </si>
  <si>
    <t>Found in: Scopus; IEEE · DOI: 10.1109/ACCESS.2019.2901219</t>
  </si>
  <si>
    <t>Privacy in the Internet of Things is a fundamental challenge for the Ubiquitous healthcare systems that depend on the data aggregated and collaborative deep learning among different parties. This paper proposes the MSCryptoNet, a novel framework that enables the scalable execution and the conversion of the state-of-the-art learned neural network to the MSCryptoNet models in the privacy-preservation setting. We also design a method for approximation of the activation function basically used in the convolutional neural network (i.e., Sigmoid and Rectified linear unit) with low degree polynomials, which is vital for computations in the homomorphic encryption schemes. Our model seems to target the following scenarios: 1) the practical way to enforce the evaluation of classifier whose inputs are encrypted with possibly different encryption schemes or even different keys while securing all operations including intermediate results and 2) the minimization of the communication and computational cost of the data providers. The MSCryptoNet is based on the multi-scheme fully homomorphic encryption. We also prove that the MSCryptoNet as a privacy-preserving deep learning scheme over the aggregated encrypted data is secured. © 2013 IEEE.</t>
  </si>
  <si>
    <t>R0382</t>
  </si>
  <si>
    <t>A Privacy Protecting Structure for Federated Learning in Intelligent Health Systems</t>
  </si>
  <si>
    <t>Kashyap, R.; Abdulhussein, A.H.; Al-Tameemi, A.R.; Adel, A.-H.; Bhagat, A.</t>
  </si>
  <si>
    <t>Found in: Scopus; IEEE · DOI: 10.1109/OTCON65728.2025.11071032</t>
  </si>
  <si>
    <t>This study describes a privacy-protected shared learning mechanism for smart health systems. This arrangement provides secure data exchange and privacy. Many schools can train machine learning models simultaneously using federated learning without sharing patient data. Advanced methods, including differential privacy, secure multi-party computing, and homomorphic encryption, protect data in the recommended method. Each client's data attributes determine model changes using adaptive learning. Performance metrics, including memory, accuracy, and precision, improve. The system also incorporates safe aggregation and private stochastic gradient descent. These features protect personal data and reduce interaction. The suggested technique improves security using modern cryptographic technologies like trusted execution environments and secure enclave computing. The technique outperforms existing privacy-protecting systems in data privacy, scalability, and computing efficiency. The recommended structure follows rigorous data privacy regulations and improves healthcare app performance. Our technology provides a solid and scalable foundation for medical system shared learning. Patient data is protected, and real-time healthcare choices are accurate and dependable.  © 2025 IEEE.</t>
  </si>
  <si>
    <t>R0383</t>
  </si>
  <si>
    <t>Privacy-preserving quantified self: Secure sharing and processing of encrypted small data</t>
  </si>
  <si>
    <t>Shafagh, H.; Hithnawi, A.</t>
  </si>
  <si>
    <t>Found in: Scopus · DOI: 10.1145/3097620.3097625</t>
  </si>
  <si>
    <t>The emergence of a plethora of wearables and sensing technologies has enabled non-intrusive digitization of our daily physical activities. Emerging applications utilize such data to make inferences about our physiological and health states, provide health diagnosis, and contribute to wellbeing improvements. The common approach for such applications is to collect data, either using mobile applications or special hardware, e.g., wearables, and store them on a third party storage provider. This results in many unconnected data silos of self-quantification data. Researchers and industry, advocate for a common personal storage space, to conquer the myriad of small chunks of data, deemed to be lost/forgotten in the long term. The benefits of such co-located personal data are tremendous, specifically with regards to personalized medicine, treatment, and health care. However, the centralized storage of data exacerbates the privacy and security concerns that the IoT ecosystem is facing today. In this position paper, we advocate the necessity of privacy and security guarantees for the paradigm of co-located storage of personal health data. We envision two core security functionalities: true end-to-end encryption, such that only encrypted data is stored in the cloud and secure sharing of encrypted data, without disclosing data owner's secret keys. We discuss the challenges in adopting such an end-to-end encryption paradigm while preserving the cloud's basic processing functionalities over encrypted data and how to cryptographically enforce access control. © 2017 Copyright is held by the owner/author(s).</t>
  </si>
  <si>
    <t>R0384</t>
  </si>
  <si>
    <t>An Efficient and Privacy-Preserving AdaBoost Federated Learning Framework for AiP System</t>
  </si>
  <si>
    <t>Jia, Z.; Ray, S.; Lu, R.; Mamun, M.</t>
  </si>
  <si>
    <t>Found in: Scopus; IEEE · DOI: 10.1109/PST65910.2025.11268875</t>
  </si>
  <si>
    <t>As the global population continues to age rapidly, Aging in Place (AiP) solutions have become increasingly vital for enabling elderly individuals to maintain their independence and continue living comfortably in their own homes. These solutions leverage advanced technologies such as smart homes and remote health monitoring. However, in real-world AiP applications, the health data needed for accurate predictions is often spread across multiple medical institutions, which raises signficant privacy concerns when integrating and analyzing the data. To address this challenge, we propose an efficient and privacy-preserving AdaBoost learning framework for vertically partitioned AiP data by utilizing Symmetric Homomorphic Encryption (SHE) technique. To ensure compatibility with the integer-based constraints of SHE, we adopt a straightforward weight quantization strategy by representing AdaBoost sample weights as integers. This design simplifies encrypted computation and maintains the boosting mechanism's effectiveness. Our theoretical and experimental evaluations validate both the accuracy and security of the proposed framework, highlighting its practical viability for deployment in real-world AiP systems.  © 2025 IEEE.</t>
  </si>
  <si>
    <t>R0385</t>
  </si>
  <si>
    <t>Privacy Preserving Neural Network Models based Homomorphic Encryption : A Case Study for Diabetes Prediction</t>
  </si>
  <si>
    <t>Marcel, A.; Miu, D.; Rancea, A.</t>
  </si>
  <si>
    <t>Found in: Scopus; IEEE · DOI: 10.1109/ICCP60212.2023.10398723</t>
  </si>
  <si>
    <t>This paper addresses the problem of data privacy in distributed applications using machine learning models in the context of modern privacy laws, such as GDPR, by proposing a machine learning model hybridized to use homomorphic operators to perform model evaluations on predicted data. The paper presents the general approach of building such a model using frameworks such as TesSeal, Keras, Microsoft SEAL, and their integration in a web-distributed application. Due to the complexity of the homomorphic operations, only the prediction is proposed to be executed on encrypted data. An experimental platform is developed where a machine learning algorithm is trained to predict diabetes based on laboratory tests. The proposed models that use homomorphic operation to run on encrypted data are evaluated and compared to the same models that operate on plain-text data to determine the cost of encrypting the data from the point of view of model accuracy and execution time. Experiments show that both the model that runs on encrypted data and the model that runs on plain data have similar accuracy. However, the execution time of the model that runs on encrypted data is 10 to 20 times higher than of the model using plain text data.  © 2023 IEEE.</t>
  </si>
  <si>
    <t>R0386</t>
  </si>
  <si>
    <t>Dynamic Corrected Split Federated Learning With Homomorphic Encryption for U-Shaped Medical Image Networks</t>
  </si>
  <si>
    <t>Yang, Z.; Chen, Y.; Huangfu, H.; Ran, M.; Wang, H.; Li, X.; Zhang, Y.</t>
  </si>
  <si>
    <t>Found in: Scopus · DOI: 10.1109/JBHI.2023.3317632</t>
  </si>
  <si>
    <t>U-shaped networks have become prevalent in various medical image tasks such as segmentation, and restoration. However, most existing U-shaped networks rely on centralized learning which raises privacy concerns. To address these issues, federated learning (FL) and split learning (SL) have been proposed. However, achieving a balance between the local computational cost, model privacy, and parallel training remains a challenge. In this articler, we propose a novel hybrid learning paradigm called Dynamic Corrected Split Federated Learning (DC-SFL) for U-shaped medical image networks. To preserve data privacy, including the input, model parameters, label and output simultaneously, we propose to split the network into three parts hosted by different parties. We propose a Dynamic Weight Correction Strategy (DWCS) to stabilize the training process and avoid the model drift problem due to data heterogeneity. To further enhance privacy protection and establish a trustworthy distributed learning paradigm, we propose to introduce additively homomorphic encryption into the aggregation process of client-side model, which helps prevent potential collusion between parties and provides a better privacy guarantee for our proposed method. The proposed DC-SFL is evaluated on various medical image tasks, and the experimental results demonstrate its effectiveness. In comparison with state-of-the-art distributed learning methods, our method achieves competitive performance.  © 2013 IEEE.</t>
  </si>
  <si>
    <t>R0387</t>
  </si>
  <si>
    <t>LiteCrypt: Enhancing IoMT Security with Optimized HE and Lightweight Dual-Authorization</t>
  </si>
  <si>
    <t>Xie, Q.; Wang, W.; Huang, Y.; Zheng, M.; Shang, S.; Jiang, L.; Khan, S.; Wu, K.</t>
  </si>
  <si>
    <t>Found in: Scopus; IEEE · DOI: 10.1109/ICPADS63350.2024.00031</t>
  </si>
  <si>
    <t>The integration of 5G/6G networks with intelligent healthcare systems has enabled early disease detection through patient data monitoring. However, the Internet of Medical Things (IoMT) and remote healthcare services introduce significant privacy and security risks. In this paper, we propose LiteCrypt, which addresses these challenges by introducing an optimized Homomorphic Convolutional Neural Networks (HCNN) structure for secure inference and a lightweight Threshold Signature Scheme (TSS) based dual-authorization mechanism. To enhance the practicality of Homomorphic Encryption (HE)-based secure inference in telemedicine applications, LiteCrypt presents an optimized HCNN framework that ensures efficient and adaptable operations across multiple datasets. A high-performance GPU-accelerated HE engine is developed to address the computational demands of HE operations, enabling real-time processing of encrypted patient data. Besides, LiteCrypt introduces a novel TSS-based dual-authorization protocol, requiring consent from both the patient and the hospital to access patient data, thereby mitigating unauthorized access risks. The system adapts to a flexible 2-out-of-3 authorization scheme for emergencies, ensuring timely data retrieval while maintaining security. To overcome the initial challenge of prolonged computation time due to compute-intensive operations, In LiteCrypt, we utilized the lightweight TSS protocol, based on Oblivious Transfer (OT), which is designed for resource-constrained IoMT devices, reducing computation time from 11.9 to 0.11 seconds. Empirical validation demonstrates LiteCrypt's superior performance, achieving a 233-fold increase in processing speed, a 96% reduction in encrypted message size, and a 28-fold speed increase using GPUs. © 2024 IEEE.</t>
  </si>
  <si>
    <t>R0388</t>
  </si>
  <si>
    <t>Lattice-based public key cryptosystem for internet of things environment: Challenges and solutions</t>
  </si>
  <si>
    <t>Chaudhary, R.; Aujla, G.S.; Kumar, N.; Zeadally, S.</t>
  </si>
  <si>
    <t>Found in: Scopus; IEEE · DOI: 10.1109/JIOT.2018.2878707</t>
  </si>
  <si>
    <t>Due to its widespread popularity and usage in many applications (smart transport, energy management, e -healthcare, smart ecosystem, and so on), the Internet of Things (IoT) has become popular among end users over the last few years. However, with an exponential increase in the usage of IoT technologies, we have been witnessing an increase in the number of cyber attacks on the IoT environment. An adversary can capture the private key shared between users and devices and can launch various attacks, such as IoT ransomware, Mirai botnet, man-in-the-middle, denial of service, chosen plaintext, and chosen ciphertext. To mitigate these security attacks on the IoT environment, the traditional public key cryptographic primitives are inadequate because of their high computational and communication costs. Therefore, lattice-based public-key cryptosystem (LB-PKC) is a promising technique for secure communication. We discuss the taxonomy of two major problems, namely, the shortest path and the closest path problems with respect to the applicability of lattice-based cryptographic primitives for IoT devices. Moreover, we also discuss various LB-PKC techniques, such as NTRU, learning with errors (LWEs), and ring-LWE (R-LWE) which are often used to solve shortest path and lattice NP-hard problems in a polynomial time. We further classify the R-LWE into three categories, namely identity-based encryption, homomorphic encryption, and secure authentication key exchange. We describe the operations and algorithms adopted in each of these encryption mechanisms. Finally, we discuss the challenges, open issues, and future directions for applying LB-PKC in the IoT environment. © 2014 IEEE.</t>
  </si>
  <si>
    <t>R0389</t>
  </si>
  <si>
    <t>Preserving Mental Health Data Privacy Using Federated Learning and Homomorphic Encryption</t>
  </si>
  <si>
    <t>Kiran, T.A.; Nandhan, G.D.; Sreehari, D.; Vignesh, V.; Vishnu, R.; Swapna, M.P.</t>
  </si>
  <si>
    <t>Found in: Scopus · DOI: 10.1007/978-3-032-17843-5_14</t>
  </si>
  <si>
    <t>Mental health AI systems typically require sensitive personal data to be transmitted to remote servers, creating significant privacy risks that deter user adoption. We propose a privacy-preserving framework that combines Federated Learning (FL) with Homomorphic Encryption (HE) to enable effective mental health prediction while keeping personal data on user devices. Our approach utilizes the CKKS encryption scheme within a federated architecture to train neural networks on distributed mental health datasets without compromising individual privacy. Experimental evaluation on a mental health dataset with 50 simulated clients demonstrates that our method achieves 66.2% accuracy for depression prediction while providing provable privacy guarantees. The system introduces only 2.3 s of encryption overhead per client update and successfully resists membership inference, property inference, and model inversion attacks. This work provides a practical solution for deploying AI-powered mental health applications that comply with healthcare privacy regulations while maintaining clinical effectiveness. © The Author(s), under exclusive license to Springer Nature Switzerland AG 2026.</t>
  </si>
  <si>
    <t>R0390</t>
  </si>
  <si>
    <t>Federated transformer–blockchain framework for secure and generalized crop disease detection in smart agriculture</t>
  </si>
  <si>
    <t>Barath, S.; M, S.</t>
  </si>
  <si>
    <t>Found in: Scopus · DOI: 10.1007/s44447-026-00153-9</t>
  </si>
  <si>
    <t>The agricultural sector has been revolutionized by integrating blockchain technologies and artificial intelligence, enabling the development of secure and intelligent farming methods. Nevertheless, the current deep learning systems that identify crop diseases only tend to take in data of a single crop, are based on a central database, and are non-private and non-scalable. To make sure that these shortcomings are removed and to assist in mitigating the detection of crop illnesses in clever farming through a safe and broad method, the article suggests a Federated Transformer-Based Blockchain Framework. The specified framework successfully provides hierarchical representations of various datasets of crops, which allows the identification of various crops and diseases using the Vision Transformer (ViT) architecture and then transfer learning. The proposed data protection and privacy control should be achieved with the help of a federated learning (FL) methodology, which is used to train distributed models on a group of edge devices to meet the data governance conditions. This technique is also used to secure raw agricultural information. A lightweight blockchain network guarantees the safety of the federated model updates and transactions and assures trust, openness, and data integrity. The blockchain would be well-fitted to large agricultural networks because the Proof-of-Authority (PoA) consensus mechanism is employed, and this would lower the amount of computing power and time needed. The model also uses homomorphic encryption to ensure that the parameters are securely shared among the model's nodes. The framework achieved a macro-average accuracy of 94.94%, improving centralized ViT by 0.72% and outperforming earlier CNN-based models by 1.88%. The integration of federated learning and blockchain enabled secure parameter exchange while eliminating the privacy risks of centralized crop image aggregation. This decentralized and privacy-saving scheme is a smart way of tracking crop diseases and traceability in innovative agricultural systems, both at scale and in real-time. Interplay of the security of blockchains, feature extraction, which is federated learning and transformer-based, offers a new way of structuring Agriculture 5.0 and future systems that are sustainable and trustworthy. © The Author(s) 2026.</t>
  </si>
  <si>
    <t>R0391</t>
  </si>
  <si>
    <t>Blockchain-Based Custody Evidence Management System for Healthcare Forensics</t>
  </si>
  <si>
    <t>Jayasinghe, R.D.D.L.K.; Sasanka, M.W.K.L.; Athukorala, D.A.S.M.; Sandeepani, M.A.D.; Jayakody, A.; Senarathna, A.</t>
  </si>
  <si>
    <t>Found in: Scopus; IEEE · DOI: 10.1109/ISDFS65363.2025.11011977</t>
  </si>
  <si>
    <t>As digital evidence increasingly growing in significance in healthcare forensics, safeguarding sensitive medical data's confidentiality, integrity, and limited access remains to be an important issue. Existing forensic evidence management systems are subject to data breaches and illegal access since they frequently lack significant privacy-preserving measures. In order to overcome such challenges, this research suggests a Blockchain-Based Custody Evidence Management System for Healthcare Forensics, which combines blockchain technology, machine learning, and encryption methods to improve security, privacy, and accessibility. To ensure accurate and efficient gathering of information, machine learning algorithms are used to extract handwritten and printed text from medical photographs. AES encryption ensures safe storage, while Fully Homomorphic Encryption (FHE) is used for dynamic access level control to protect gathered evidence. Identity verification is made possible via a web-based authentication system that uses Zero-Knowledge Proofs (ZKP) to protect privacy by preventing the disclosure of personal data. By preventing unintended modifications, blockchain technology is used to preserve the custody chain's integrity. Furthermore, machine learning-driven PII detection and masking methods balance the requirement for forensic investigation with privacy compliance by controlling data accessibility according to access entitlements. Based on permitted access levels, the system makes it possible to share safe evidence with law enforcement agencies, such as courts, the police, and other forensic groups. Using blockchain to guarantee data immutability, cryptographic security to restrict access, and artificial intelligence (AI) to safeguard data, this approach enhances the privacy, security, and dependability of handling forensic evidence in medical investigations.  © 2025 IEEE.</t>
  </si>
  <si>
    <t>R0392</t>
  </si>
  <si>
    <t>Vertical Federated XGBoost with Privacy Preservation via Secure Multiparty Computation</t>
  </si>
  <si>
    <t>Ramay, A.; He, E.; Yang, M.; Sarwar, T.; Wang, X.; Yi, X.</t>
  </si>
  <si>
    <t>Found in: Scopus · DOI: 10.3390/jcp6030079</t>
  </si>
  <si>
    <t>Gradient Boosted Decision Trees (GBDTs) are popular for their strong predictive performance. However, in domains like finance and healthcare, data are often distributed across organizations, making collaborative model training challenging due to privacy concerns. Vertical federated learning (VFL) enables such collaboration when data are split by features, but many existing methods focus on protecting raw data while exposing sensitive model information, such as gradients and Hessians—especially to the label-owning party. Techniques like Homomorphic Encryption and Secret Sharing help, but often rely on trusted or privileged parties and may still leak intermediate statistics. To address this, we propose MPC-XGB, a privacy-preserving framework for training XGBoost under VFL with an honest-but-curious threat model. It uses secure three-party computation with Replicated Secret Sharing, distributing data across non-colluding servers and performing all computations on shares. This ensures that raw data, labels, and model statistics remain hidden, while supporting both secure training and prediction. Experiments show that MPC-XGB achieves strong performance (0.93 accuracy, 0.82 AUC), comparable to that of existing methods, with improved privacy guarantees. © 2026 by the authors.</t>
  </si>
  <si>
    <t>R0393</t>
  </si>
  <si>
    <t>Privacy-preserving cancer type prediction with homomorphic encryption</t>
  </si>
  <si>
    <t>Sarkar, E.; Chielle, E.; Gursoy, G.; Chen, L.; Gerstein, M.; Maniatakos, M.</t>
  </si>
  <si>
    <t>Found in: Scopus; PubMed · DOI: 10.1038/s41598-023-28481-8 · PMID: 36717667</t>
  </si>
  <si>
    <t>Cancer genomics tailors diagnosis and treatment based on an individual’s genetic information and is the crux of precision medicine. However, analysis and maintenance of high volume of genetic mutation data to build a machine learning (ML) model to predict the cancer type is a computationally expensive task and is often outsourced to powerful cloud servers, raising critical privacy concerns for patients’ data. Homomorphic encryption (HE) enables computation on encrypted data, thus, providing cryptographic guarantees to protect privacy. But restrictive overheads of encrypted computation deter its usage. In this work, we explore the challenges of privacy preserving cancer type prediction using a dataset consisting of more than 2 million genetic mutations from 2713 patients for several cancer types by building a highly accurate ML model and then implementing its privacy preserving version in HE. Our solution for cancer type inference encodes somatic mutations based on their impact on the cancer genomes into the feature space and then uses statistical tests for feature selection. We propose a fast matrix multiplication algorithm for HE-based model. Our final model achieves 0.98 micro-average area under curve improving accuracy from 70.08 to 83.61% , being 550 times faster than the standard matrix multiplication-based privacy-preserving models. Our tool can be found at https://github.com/momalab/octal-candet. © 2023, The Author(s).</t>
  </si>
  <si>
    <t>R0394</t>
  </si>
  <si>
    <t>User-Centric Encrypted Data Sharing and Machine Learning System with Secure Access Control</t>
  </si>
  <si>
    <t>Putheti, S.; Orchu, A.; Ravindranath Tagore, M.</t>
  </si>
  <si>
    <t>Found in: Scopus · DOI: 10.18280/ijsse.160809</t>
  </si>
  <si>
    <t>Protecting sensitive data during storage, sharing, and machine-learning processing remains a major challenge in cloud and distributed environments. Conventional encryption can protect data at rest and in transit, but the data usually has to be decrypted before computation, which can create a risk of exposure. To address this issue, this study proposes a user-centric privacy-preserving framework that combines hybrid homomorphic encryption (HHE), federated learning (FL), secure access control, and adversarial training (AT). AES is used to protect sensitive data, while RSA is employed to securely exchange the symmetric key. HHE allows selected computations to be performed directly on encrypted inputs without revealing the underlying plaintext. FL enables multiple clients to collaboratively train a shared model while keeping their raw datasets locally, and AT improves the model's ability to withstand malicious input perturbations. A logistic-regression-based learning process is used to evaluate the proposed framework under distributed conditions. The experimental results show that the global model accuracy increases from 61.2 to 88.3, with the average client accuracy reaching 88.2. Under adversarial conditions, the defended model achieves an accuracy of 83.4, compared with 51.2 for the undefended model. The measured encryption, decryption, aggregation, and overall training times are 12.5ms, 8.3ms, 45ms, and 2.3s, respectively, indicating that the proposed security mechanisms introduce manageable computational overhead. Overall, the results demonstrate the potential of the integrated framework for privacy-sensitive applications in cloud computing, healthcare, finance, and IoT environments. Copyright: ©2026 The authors. This article is published by IIETA and is licensed under the CC BY 4.0 license (http://creativecommons.org/licenses/by/4.0/).</t>
  </si>
  <si>
    <t>R0395</t>
  </si>
  <si>
    <t>Blockchain Assisted Cloud Security and Privacy Preservation using Hybridized Encryption and Deep Learning Mechanism in IoT-Healthcare Application</t>
  </si>
  <si>
    <t>Raju, K.; Ramshankar, N.; Shathik, J.A.; Lavanya, R.</t>
  </si>
  <si>
    <t>Found in: Scopus · DOI: 10.1007/s10723-023-09678-7</t>
  </si>
  <si>
    <t>The fundamental issue that happens in cloud computing is considered to be privacy when applying it in Ubiquitous healthcare systems, which rely on data aggregation and joint deep learning mechanisms between various parties. The users undergoing communication make the interaction between the cloud for performing the data exchange. The participants involved in the process are presented at different levels, and also their hope gets differ based on the interaction characteristics. However, it is highly challenging to build the basic platform for communication in the cloud environment. On the other hand, security solutions can be implemented to assuring the confidentiality of exchanging data. Therefore, in this proposed model, a secure outsourcing scheme using a deep learning framework is developed to provide cloud security and privacy preservation in the healthcare Internet of Things (IoT) environment. Different IoT devices are used for collecting the patient’s health data and storing it in the database. Initially, the medical data is garnered from the standard databases, and this is encrypted by using the Optimal Key-based Hybrid Elliptic Curve Cryptography with Fully Homomorphic Encryption (OK-HECCFHE). Here, the optimal key is generated using Hybrid Polar Bear-Ageist Spider Monkey Optimization (HPB-ASMO) algorithm. Then, the encrypted data is stored in the blockchain, and it gets decrypted by the appropriate user using the optimal key, and finally, the medical data prediction is done via the Optimized Deep Neural Network with a Gated Recurrent Unit (ODNN-GRU), where the parameters are optimized from the hybrid deep learning network to maximize the performance with the support of same HPB-ASMO. The experimental analysis is carried out to verify the performance of the developed model by using different evaluation metrics. © 2023, The Author(s), under exclusive licence to Springer Nature B.V.</t>
  </si>
  <si>
    <t>R0396</t>
  </si>
  <si>
    <t>Heartify: A Federated Learning-Based Application for Early Heart Disease Detection</t>
  </si>
  <si>
    <t>Sinciya, P.O.; Susan George, S.; Sajan, S.; Gayathri Devi, S.</t>
  </si>
  <si>
    <t>Found in: Scopus · DOI: 10.1109/ICOECA66273.2025.00124</t>
  </si>
  <si>
    <t>Cardiovascular diseases (CVDs) are the leading cause of global mortality, making early detection critical for timely intervention. Traditional machine learning-based detection systems often compromise patient privacy by requiring centralized data storage. This study presents Heartify, a privacy-preserving heart disease monitoring application that leverages Federated Learning (FL) to train models across distributed smart devices. By integrating Federated Averaging (FedAvg) and Federated Matched Averaging (FedMA), the proposed system optimizes decentralized model updates while ensuring compliance with GDPR and HIPAA regulations. The results demonstrate that FedMA achieves an accuracy of 85.32 %, surpassing traditional deep learning models. This research highlights FL's potential to enable scalable, real-time, and privacy-preserving heart disease prediction across diverse wearable devices.  © 2025 IEEE.</t>
  </si>
  <si>
    <t>R0397</t>
  </si>
  <si>
    <t>Privacy-Preserving Rare Disease Diagnosis Via Integrated AI and Fully Homomorphic Encryption</t>
  </si>
  <si>
    <t>Pham, V.-T.-N.; Nguyen, N.N.; Gottardo, V.; Vo-Reinhard, Q.</t>
  </si>
  <si>
    <t>Found in: Scopus; IEEE · DOI: 10.1109/ICHST66555.2025.11428566</t>
  </si>
  <si>
    <t>Rare disease diagnosis faces two major challenges: prolonged diagnostic odysseys for patients and stringent privacy requirements for sensitive genomic and phenotypic data. This paper presents a privacy-preserving framework that allows accurate prediction of rare diseases while maintaining full confidentiality of patient data through Full Homomorphic Encryption (FHE). Our solution achieves 99.8 percent top-1 diagnostic accuracy in 400+ rare diseases, matching plain text methods despite the computational overhead inherent in FHE. Although encryption increases prediction latency by 1,363× to 2,388× compared to unencrypted methods, the system remains clinically feasible, generating predictions for 446 diseases in under two hours on standard hardware. By securing genomic variant analysis and phenotypic symptom matching, this approach enables cross-institutional collaboration without exposing sensitive patient data, addressing a critical bottleneck in rare disease research. The framework's integration with standardized ontologies (e.g., Human Phenotype Ontology) and real-world genomic pipelines ensures compatibility with existing clinical infrastructure. These advancements represent a significant step toward global, secure rare disease databases, empowering clinicians to leverage collective knowledge while complying with GDPR, HIPAA, and other privacy regulations.  © 2025 IEEE.</t>
  </si>
  <si>
    <t>R0398</t>
  </si>
  <si>
    <t>An efficient collusion-resistant and drop-proof federated learning security aggregation scheme based on RLWE</t>
  </si>
  <si>
    <t>Zhang, X.; Zhou, T.; Ke, W.; Guo, Z.; Zhong, W.; Yang, X.</t>
  </si>
  <si>
    <t>Found in: Scopus · DOI: 10.1007/s12083-025-02187-2</t>
  </si>
  <si>
    <t>Federated learning, as a distributed machine learning paradigm, is of great value in protecting data privacy, but the existing FL scheme based on homomorphic encryption and differential privacy cannot take into account the properties of high efficiency, high accuracy, anti-collusion and so on. In this paper, we propose an efficient federated learning privacy preservation scheme (RLFL) based on Ring Learning with Errors (RLWE), which realizes an efficient federated learning framework with anti-collusion attack and client dropout tolerance (under the scenario where no more than clients drop out) by fusing RLWE cryptographic properties with secure multiparty computation techniques, and the specific innovations include: 1. Introducing high-bit encoding technology to reduce noise impact to a negligible level, achieving a 3.13% accuracy improvement over traditional LWE schemes on the MNIST dataset;2. Designing a secure aggregation protocol by utilising the additive homomorphism of Shamir’s Secret Sharing (SS), combined with the threshold mechanism to ensure that the honest client’s gradient cannot be recovered when up to malicious clients collude, where is the number of participating clients; 3. Improving the communication efficiency with the help of the combination of RLWE and Number Theoretic Transformation (NTT), using coefficient coding to improve the communication efficiency, the communication overhead is only 26.7% of the original scheme in 10,000 + client scenarios, and the training speed is improved by 2.3 times compared with the FLDP scheme. The experimental results show that the accuracy of RLFL on MNIST, FMNIST, CIFAR-10, and SVHN datasets reaches up to 91.45%, 79.56%, 70.04%, and 57.04%, respectively, which is a 3.13%, 3.45%, 2.81%, and 2.87% enhancement compared with the FLDP scheme, respectively. In the 500-client scenario, the total training time of RLFL is 700.71 seconds, which is 47% lower than that of FLDP (1320.54 seconds), and the communication overhead is only 26.7% of that using the LWE scheme. The security analysis proves that the scheme meets the requirements of anti-collusion attack under the IND-CPA security model and ensures the integrity of the data aggregation process through a verifiable secret sharing mechanism, providing an efficient and secure solution for federated learning applications in sensitive domains such as healthcare and finance. © The Author(s), under exclusive licence to Springer Science+Business Media, LLC, part of Springer Nature 2026.</t>
  </si>
  <si>
    <t>R0399</t>
  </si>
  <si>
    <t>Privacy-preserving blockchain healthcare systems for healthy and sustainable smart buildings</t>
  </si>
  <si>
    <t>Kushwaha, Y.; Lal, N.; Manjul, M.</t>
  </si>
  <si>
    <t>Found in: Scopus · DOI: 10.22712/susb.20260010</t>
  </si>
  <si>
    <t>The swift digitization of Healthcare 4.0 smart building environments has intensified apprehensions about secure storage, privacy-preserving analytics, and responsible sharing of Electronic Health Records. Traditional deep learning systems handle plaintext data, so revealing sensitive information, whereas current blockchain-based solutions enhance traceability but do not facilitate computation in an encrypted environment. Likewise, the majority of homomorphic encryption methodologies concentrate on independent inference, lacking integrated consent enforcement or comprehensive system evaluation. A privacy-preserving Deep Learning-as-a-Service system that integrates CKKS-based homomorphic inference with permissioned blockchain governance is presented to overcome these issues. A BiLSTM model is utilized for longitudinal EHR modeling, whereas smart contracts facilitate consent validation and provide tamper-evident access recording inside a Healthcare 4.0 tiered architecture. In plaintext evaluation, the BiLSTM attained a precision of 0.882, a recall of 0.781, and an F1-score of 0.828, surpassing the GRU baseline by nearly 7 percent. Encrypted inference maintained predictive performance while elevating average latency from 71.3 ms to 720.0 ms per record, with the entire blockchain-integrated workflow averaging 760 ms. The system illustrates that secure, auditable, and confidentiality-preserving disease prediction is achievable with manageable computational costs, providing a unique advancement beyond standalone blockchain or homomorphic healthcare solutions. © 2026 International Journal of Sustainable Building Technology and Urban Development.</t>
  </si>
  <si>
    <t>R0400</t>
  </si>
  <si>
    <t>SecFePAS: Secure Facial-Expression-Based Pain Assessment with Deep Learning at the Edge</t>
  </si>
  <si>
    <t>Batool, K.; Anwar, S.; Mann, Z.A.</t>
  </si>
  <si>
    <t>Found in: Scopus · DOI: 10.1109/SEC62691.2024.00046</t>
  </si>
  <si>
    <t>Patient monitoring in hospitals, nursing centers, and home care can be largely automated using cameras and machine-learning-based video analytics, thus considerably increasing the efficiency of patient care. In particular, Facial-expression-based Pain Assessment Systems (FePAS) can automatically detect pain and notify medical personnel. However, current FePAS solutions using cloud-based video analytics offer very limited security and privacy protection. This is problematic, as video feeds of patients constitute highly sensitive information. To address this problem, we introduce SecFePAS, the first FePAS solution with strong security and privacy guarantees. SecFePAS uses advanced cryptographic protocols to perform neural network inference in a privacy-preserving way. To counteract the significant overhead of the used cryptographic protocols, SecFePAS uses multiple optimizations. First, instead of a cloud-based setup, we use edge computing with a 5G connection to benefit from lower network latency. Second, we use a combination of transfer learning and quantization to devise neural networks with high accuracy and optimized inference time. Third, SecFePAS quickly filters out unessential frames of the video to focus the in-depth analysis on key frames. We tested SecFePAS with the SqueezeNet and ResNet50 neural networks on a real pain estimation benchmark. SecFePAS outperforms state-of-The-Art FePAS systems in accuracy and optimizes secure processing time.  © 2024 IEEE.</t>
  </si>
  <si>
    <t>R0401</t>
  </si>
  <si>
    <t>SeCCA: Towards Privacy-Preserving Biclustering Algorithm with Homomorphic Encryptions</t>
  </si>
  <si>
    <t>VahidianSadegh, S.; Wiese, L.; Brenner, M.</t>
  </si>
  <si>
    <t>Found in: Scopus · DOI: 10.1007/978-3-031-31971-6_15</t>
  </si>
  <si>
    <t>Massive amounts of newly generated gene expression data have been used to further enhance personalised health predictions. Machine learning algorithms prepare techniques to explore a group of genes with similar profiles. Biclustering algorithms were proposed to resolve key issues of traditional clustering techniques and are well-adapted to the nature of biological processes. Besides, the concept of genome data access should be socially acceptable for patients since they can then be assured that their data analysis will not be harmful to their privacy and ultimately achieve good outcomes for society [1]. Homomorphic encryption has shown considerable potential in securing complicated machine learning tasks. In this paper, we prove that homomorphic encryption operations can be applied directly on biclustering algorithm (Cheng and Church algorithm) to process gene expression data while keeping private data encrypted. This Secure Cheng and Church algorithm (SeCCA) includes nine steps, each providing encryption for a specific section of the algorithm. Because of the current limitations of homomorphic encryption operations in real applications, only four steps of SeCCA are implemented and tested with adjustable parameters on a real-world data set (yeast cell cycle) and synthetic data collection. As a proof of concept, we compare the result of biclusters from the original Cheng and Church algorithm with SeCCA to clarify the applicability of homomorphic encryption operations in biclustering algorithms. As the first study in this domain, our study demonstrates the feasibility of homomorphic encryption operations in gene expression analysis to achieve privacy-preserving biclustering algorithms. © 2023, IFIP International Federation for Information Processing.</t>
  </si>
  <si>
    <t>R0402</t>
  </si>
  <si>
    <t>Efficient Privacy-Preserving Convolutional Neural Networks with CKKS-RNS for Encrypted Image Classification</t>
  </si>
  <si>
    <t>Tchernykh, A.; Salgado-Ramos, M.; Pulido-Gaytan, B.; González-Vélez, H.; Mosckos, E.; Babenko, M.</t>
  </si>
  <si>
    <t>Found in: Scopus; IEEE · DOI: 10.1109/IPDPSW66978.2025.00059</t>
  </si>
  <si>
    <t>The rise of security concerns in cloud-shared infrastructures has introduced significant challenges for maintaining privacy in data processing. Although standard encryption methods provide robust protection for data at rest and during transmission, vulnerabilities arise when data must be decrypted for processing, exposing sensitive raw information to potential privacy risks. This issue is particularly pronounced in sectors governed by stringent regulatory requirements, such as healthcare, genomics, smart government, and finance, among many others, where protecting confidential data is critical. Homomorphic Encryption (HE) cryptosystems are solutions to address privacy concerns by providing encrypted data computations. HE allows a non-trustworthy third-party resource to process encrypted information without disclosure. However, the main challenge toward deploying lattice-based HE schemes in Convolutional Neural Network (CNN) models lies in overcoming the high computational costs associated with these cryptosystems. Efficient cryptographically compatible methods become imperative for designing a privacy-preserving CNN with HE (CNN-HE). This paper proposes a method to improve the performance of CNN-HE using the Residual Number System (RNS)-based Cheon-Kim-Kim Song (CKKS) HE scheme, which enables approximate arithmetic over encrypted real numbers. The CNN-HE with CKKS-RNS enables encrypted inputs to be decomposed into several parts and propagated homomorphically and independently in parallel across the model. The RNS representation enables parallel processing in our models, significantly reducing processing time. Experimental analysis on the MNIST optical character recognition benchmark dataset demonstrates that the proposed CNN-HE-RNS models reduce classification latency concerning state-of-the-art CNN-HE solutions without compromising security and accuracy.  © 2025 IEEE.</t>
  </si>
  <si>
    <t>R0403</t>
  </si>
  <si>
    <t>Privacy-Preserving Multiclass Lung Disorder Classification via CNN with Cosine Similarity in Big Data Framework</t>
  </si>
  <si>
    <t>Sharma, J.; Vinod, D.F.; Chugh, U.</t>
  </si>
  <si>
    <t>Found in: Scopus · DOI: 10.31449/INF.V49I10.9531</t>
  </si>
  <si>
    <t>Annotating large-scale medical data manually takes a lot of time and human resources, and it requires specific medical knowledge and experience. Big data and Deep learning are two advancing technologies being widely used in the medical field for improved analysis. Because of the recent advancements in imaging technology, computer vision researchers still have unsolved problems related to automatically identifying medical images. Images, however, could include sensitive information about specific body parts and specifics of diseases. In actuality, sharing medical images that contain extremely sensitive information for each user may expose sensitive information to adversaries. One of the main issues between a user and a databank is privacy, we present in this study a Multi-layered convolutional neural network (MLCNN) integrated with PPCS (Privacy preserved cosine similarity) for feature extraction from large-scale medical image data. The framework that uses fully homomorphic encryption (FHE), CSSK(Cheon-Kim-Kim-Song) scheme to search for safe and to enable the categorization CNN is used for large-scale encrypted images. This study aims to diagnose various lung disorders such as COVID-19, lung cancer, pulmonary tuberculosis, pneumonia, and differentiate them from normal conditions by analyzing computed tomography (CT) images. The model's results included 98.54% F1 score, 97.11% Matthew's correlation coefficient (MCC), 98.89% accuracy (AC), 98.38% recall, and 98.81% precision (PC). We compare and contrast our privacy-preserving method with a CNN-based multiclass classification model that offers quick and effective classification. © (2025), (Slovene Society Informatika). All rights reserved.</t>
  </si>
  <si>
    <t>R0404</t>
  </si>
  <si>
    <t>CKKS-Encrypted RBF SVM Inference with Model Encryption via Exponential Function Approximations</t>
  </si>
  <si>
    <t>Huang, M.; Chiu, S.-W.; Parhi, K.K.</t>
  </si>
  <si>
    <t>Found in: Scopus · DOI: 10.1145/3787109.3815281</t>
  </si>
  <si>
    <t>This paper investigates CKKS-encrypted Support Vector Machine (SVM) inference utilizing Radial Basis Function (RBF) kernels. Unlike prior research focusing on encrypted queries, we address the challenge of model-side encryption, where the classifier remains confidential while processing user data. Encrypted inference with nonlinear models typically requires replacing them with polynomial approximations. We investigate the effect of these approximations for CKKS-based RBF SVM inference, where kernel evaluation depends on exp (x). Using OpenFHE, we evaluate degree-1 through degree-8 Taylor and Chebyshev approximations of exp (x), with Chebyshev polynomials constructed on a preselected interval. We use the binary Iris task and the Wisconsin Diagnostic Breast Cancer (WBC) dataset in our experiments. Models are trained in the clear, and during inference, model-side quantities are encrypted while test vectors remain in plaintext. Accuracy is measured together with root-mean-square percent error in the decision value relative to plaintext RBF inference. The optimal approximation depends on both the polynomial degree and the input distribution. On Iris, Chebyshev uniformly achieves 100% accuracy, whereas on WDBC, Taylor is superior at low degrees, though both reach plaintext accuracy by degree 4. These findings demonstrate that approximation selection must be guided by empirical data distributions, achieving model-side encryption parity with query-side baselines without accuracy degradation.  © 2026 Copyright held by the owner/author(s).</t>
  </si>
  <si>
    <t>R0405</t>
  </si>
  <si>
    <t>A Privacy-Preserving Learning Method for Analyzing HEV Driver's Driving Behaviors</t>
  </si>
  <si>
    <t>Lee, C.-H.; Yang, H.-C.</t>
  </si>
  <si>
    <t>Found in: Scopus · DOI: 10.1109/ACCESS.2023.3297268</t>
  </si>
  <si>
    <t>The driving behaviors of electric vehicle (EV) and hybrid electric vehicle (HEV) drivers have received considerable attention in the literature. The use of image recognition in combination with GPS and driving data has emerged as a popular approach to improving driver safety. However, such methods often generate sensitive personal information, including driver images, names, and GPS locations, which may risk the safety of the driver's privacy. To address this issue, a privacy-preserving approach for identifying driver behavior characteristics is necessary. To achieve this, we utilize on-board diagnostic (OBD) interface vehicle-mounted devices to collect and analyze data from an electronic control unit (ECU), thereby collecting only onboard data for data processing and analysis. In this work, we propose deep learning models such as long short-term memory (LSTM) networks and gated recurrent units (GRUs), which enable the learning of specific behavior patterns and represent the state-of-the-art model to classify and predict driving behavior that potentially leads to dangerous accidents. The predictions were then converted into alarm signals and transmitted to the dashboard of vehicle. Our experiments showed that our proposed system model achieved excellent results with an excellent kappa score of 96.5%, demonstrating that it can accurately identify unique driving behaviors in a privacy-preserving manner.  © 2013 IEEE.</t>
  </si>
  <si>
    <t>R0406</t>
  </si>
  <si>
    <t>Membership Mappings for Practical Secure Distributed Deep Learning</t>
  </si>
  <si>
    <t>Kumar, M.; Zhang, W.; Fischer, L.; Freudenthaler, B.</t>
  </si>
  <si>
    <t>Found in: Scopus; IEEE · DOI: 10.1109/TFUZZ.2023.3235440</t>
  </si>
  <si>
    <t>In this article, we consider the problem of privacy-preserving distributed deep learning where data privacy is protected by fully homomorphic encryption. The aim is to develop a method for practical and scalable distributed deep learning with fully homomorphic encrypted data. The method must address the issue arising from the large computational cost associated with fully homomorphic encrypted data to offer a practical and scalable solution. An approach that leverages fuzzy-based membership mappings for data representation learning is considered for distributed deep learning with fully homomorphic encrypted data. The method introduces globally convergent and robust variational membership mappings to build local deep models. The local models are combined in a robust and flexible manner by means of fuzzy attributes to build a global model such that the global model can be homomorphically evaluated in an efficient manner. The membership-mappings-based privacy-preserving distributed deep learning method is accurate, practical, and scalable. This is verified through numerous experiments that include demonstrations using MNIST and Freiburg Groceries datasets, and a biomedical application related to the detection of mental stress on individuals. This study develops globally convergent and robust variational membership mappings for their application to accurate, practical, and scalable privacy-preserving distributed deep learning.  © 1993-2012 IEEE.</t>
  </si>
  <si>
    <t>R0407</t>
  </si>
  <si>
    <t>RDP-FedAB: A Federated Learning Framework Balancing Privacy Protection and Model Performance</t>
  </si>
  <si>
    <t>Wang, X.; Xie, F.; Liu, S.; Lai, X.</t>
  </si>
  <si>
    <t>Found in: Scopus · DOI: 10.1007/978-981-96-9872-1_11</t>
  </si>
  <si>
    <t>Federated learning faces a challenging trade-off between privacy protection and model performance when handling sensitive data, such as in the medical and financial domains. To address this issue, this paper proposes a novel federated learning framework called Random Differential Privacy Federated Adaptive Learning Rate Bound (RDP-FedAB). The framework introduces a new differential privacy mechanism—RandomDP, and integrates the AdaBound optimizer to simultaneously enhance privacy preservation and model performance. RDP-FedAB is particularly suitable for vertical federated learning scenarios, where different clients hold different features of the same set of samples. To protect data privacy and ensure model accuracy during collaborative training, the framework incorporates homomorphic encryption to enable secure computation. Experiments conducted on multiple real-world medical datasets demonstrate that RDP-FedAB achieves excellent classification performance under various privacy budgets, significantly outperforming existing methods, especially under medium and low privacy settings. These results highlight its strong potential in privacy-sensitive applications. Future work will further explore its scalability in large-scale and multi-client environments. © The Author(s), under exclusive license to Springer Nature Singapore Pte Ltd. 2025.</t>
  </si>
  <si>
    <t>R0408</t>
  </si>
  <si>
    <t>Privacy-preserving image search (PPIS): Secure classification and searching using convolutional neural network over large-scale encrypted medical images</t>
  </si>
  <si>
    <t>Guo, C.; Jia, J.; Choo, K.-K.R.; Jie, Y.</t>
  </si>
  <si>
    <t>Found in: Scopus · DOI: 10.1016/j.cose.2020.102021</t>
  </si>
  <si>
    <t>The real-time sharing and retrieval of medical data, such as medical imaging data, via cloud systems can facilitate timely medical/disease diagnosis, for example during pandemics (e.g., COVID-19). While encryption can be used to ensure that patients’ private and medical information are not accessible by unauthorised individuals, it is challenging for cloud servers to search for and locate encrypted medical images (e.g. those relating to similar medical conditions). In this paper, we propose a novel and practical classification and retrieval method to search for and locate relevant cases over encrypted images. Specifically, we construct a privacy-preserving Convolutional Neural Network (CNN) framework that allows the classification and searching of secure, content-based, large-scale encrypted images (including large-size medical images) with homomorphic encryption. We analyze the security of our proposed method to ensure that no sensitive information from the encrypted images is leaked. Using four real-world datasets (i.e., chest X-Ray images, retinal OCT images, blood cell images, and Caltech101 image set), we evaluate and demonstrate the utility of our privacy-preserving method for searching images performed as well as CNN-based classification and searching of original images. This is an important step towards practical automated clinical diagnoses. © 2020 Elsevier Ltd</t>
  </si>
  <si>
    <t>R0409</t>
  </si>
  <si>
    <t>An efficient secure k nearest neighbor classification protocol with high-dimensional features</t>
  </si>
  <si>
    <t>Sun, M.; Yang, R.</t>
  </si>
  <si>
    <t>Found in: Scopus · DOI: 10.1002/int.22272</t>
  </si>
  <si>
    <t>k Nearest neighbor (kNN) classification algorithm is a prediction model which is widely used for real-life applications, such as healthcare, finance, computer vision, personalization recommendation and precision marketing. The arrival of data explosion era results in the significant increase of feature dimension, which also makes for the increase of privacy concern over the available samples and unlabeled data in the applications of machine learning. In this paper, we present a secure low communication overhead kNN classification protocol that is able to deal with high-dimensional features given in real numbers. First, to deal with feature values given in real numbers, we develop a specific data conversion algorithm, which is used in the chosen fully homomorphic scheme. This conversion algorithm is generic and applicable to other algorithms that need to handle real numbers using the fully homomorphic scheme. Second, we present a privacy-preserving euclidean distance protocol (PPEDP), which works with the Euclidean distance computation between two points given in real numbers in a high-dimensional space. Then, based on the novelty PPEDP and oblivious transfer, we propose a new classification approach, efficient secure kNN classification protocol, (ESkNN) with low communication overhead, which is appropriate for a sample set with high-dimensional features and real number feature values. Moreover, we implement ESkNN in C++. Experimental results show that ESkNN is several orders of magnitude faster in performance than existing works, and scales up to 18 000 feature dimension in a memory limited environment. © 2020 The Authors. International Journal of Intelligent Systems published by Wiley Periodicals LLC</t>
  </si>
  <si>
    <t>R0410</t>
  </si>
  <si>
    <t>Homomorphic Logistic Regression for Secure Blood Pressure Abnormality Detection</t>
  </si>
  <si>
    <t>Pal, S.S.; Jaseem, K.; Deshmukh, M.; Chauhan, S.</t>
  </si>
  <si>
    <t>Found in: Scopus; IEEE · DOI: 10.1109/ISED67359.2025.11405013</t>
  </si>
  <si>
    <t>Privacy concerns are a major barrier to the adoption of predictive analytics in healthcare, particularly when diagnostic tasks require computation on sensitive patient data. Performing such computations in plaintext can expose private health information, especially in outsourced or cloud-based environments. To address this problem, this paper presents a secure blood pressure abnormality detection using the Cheon-Kim-Kim-Song (CKKS) homomorphic encryption scheme, which supports secure computation on encrypted real-valued inputs. A logistic regression model was trained in plaintext on a real-world medical dataset, with preprocessing including missing value imputation and min-max normalization. The trained model parameters were reused for encrypted inference, where test inputs were encrypted, followed by secure dot product computation and a polynomial approximated sigmoid activation. Decrypted predictions were compared with ground truth labels. Results show that encrypted inference closely matches plaintext performance, achieving over 73% accuracy under the CKKS (8192) configuration, along with strong precision, recall, and ROC AUC scores. These findings confirm the feasibility of CKKS-based encrypted inference for medical prediction tasks, offering a practical solution for privacy preserving clinical analytics. © 2025 IEEE.</t>
  </si>
  <si>
    <t>R0411</t>
  </si>
  <si>
    <t>Secure Inference on Homomorphically Encrypted Genotype Data with Encrypted Linear Models</t>
  </si>
  <si>
    <t>Zou M; Zhang G; Zhang F; Liu G</t>
  </si>
  <si>
    <t>Found in: PubMed · DOI: 10.21203/rs.3.rs-2722738/v1 · PMID: 37066203</t>
  </si>
  <si>
    <t>BACKGROUND: Accurate models are crucial to estimate the phenotypes from high throughput genomic data. While the genetic and phenotypic data are sensitive, secure models are essential to protect the private information. Therefore, construct an accurate and secure model is significant in secure inference of phenotypes. METHODS: We propose a secure inference protocol on homomorphically encrypted genotype data with encrypted linear models. Firstly, scale the genotype data by feature importance with Xgboost or Adaboost then train linear models to predict the phenotypes in plaintext. Secondly, encrypt the model parameters and test data with CKKS scheme for secure inference. Thirdly, predict the phenotypes under CKKS homomorphically encryption computation. Finally, decrypt the encrypted predictions by client to compute the 1-NRMSE/AUC for model evaluation. RESULTS: 5 phenotypes of 3000 samples with 20390 variants are used to validate the performance of the secure inference protocol. The protocol achieves 0.9548, 0.9639, 0.9673 (1-NRMSE) for 3 continuous phenotypes and 0.9943, 0.99290 (AUC) for 2 category phenotypes in test data. Moreover, the protocol shows robust in 100 times of random sampling. Furthermore, the protocol achieves 0.9725 (the average accuracy) in an encrypted test set with 198 samples, and it only takes 4.32s for the overall inference. These help the protocol rank top one in the iDASH-2022 track2 challenge. CONCLUSION: We propose an accurate and secure protocol to predict the phenotype from genotype and it takes seconds to obtain hundreds of predictions for all phenotypes.</t>
  </si>
  <si>
    <t>R0412</t>
  </si>
  <si>
    <t>Assessing BRCA Subtyping fairness with Ancestry-aware and Secure Federated Learning</t>
  </si>
  <si>
    <t>Paygambar, K.; Bendoukha, A.A.; Stan, O.; Mziou, M.; Meyer, V.</t>
  </si>
  <si>
    <t>Found in: Scopus · DOI: 10.1145/3807503.3819441</t>
  </si>
  <si>
    <t>Machine learning holds the potential to improve personalized treatment strategies. Trust remains a key development axis towards adoption, as models have displayed unequal performance across subgroups in related applications. In this study, we investigate ancestry-related fairness, and evaluate alternative training strategies for PAM50 breast cancer subtyping with gene expression data.Using TCGA's BRCA dataset, fairness is assessed regarding White, Black, Hispanic and Asian patients. Transformers, 2D and 1D convolutionnal neural networks, and XGBoost are integrated in this study, containing three training configurations. First, in a centralized baseline setting, disparities across models disfavor Asian and Hispanic samples, and are sustained after equalizing samples. Then, models are trained incorporating ancestry, which only marginally alters model behaviors, although minor improvements are observed for XGBoost and NeXt-TDNN regarding precision. Finally, federated learning, secured via fully homomorphic encryption, is evaluated through two strategies. The first reflects a realistic configuration, where data allocation across centers follows the geographical distribution, while the second uses a randomized distribution. Both setups lead to slightly better global performance, with group-wise results tied to sample distributions. © 2026 Copyright held by the owner/author(s).</t>
  </si>
  <si>
    <t>R0413</t>
  </si>
  <si>
    <t>A Unified Adversarially-Robust and Privacy-Preserving Federated Learning Framework for Multimodal Healthcare IoT</t>
  </si>
  <si>
    <t>Utsha, M.A.H.; Rafiq, F.; Ramim, Y.; Jim, E.M.; Choudhury, A.; Hoque, M.A.</t>
  </si>
  <si>
    <t>Found in: Scopus · DOI: 10.1109/RAAICON69033.2025.11502467</t>
  </si>
  <si>
    <t>Federated learning (FL) is aneffective tool in cooperative healthcare IoT systems for distributed model training without any revealing of private medical data. Nonetheless, the vast majority of the existing methods merely concentrate on one single aspect, privacy-preserving or robustness, which therefore inevitably bring host of serious side effects including: data leakage, attack by adversarial perturbations and/or model poisoning for applications with medical related. In practical IoT settings, such as those for multimodal physiological and motion data collected from resource-limited wearable sensors, it is critical to guarantee privacy andadversarial resilience, which however are very challenging. In this paper, we address a joint adversarially robust andprivacy-preserving FL framework for multimodal healthcare IoT. Contrary to previous works that consider these goals in isolation, we adopt a federated learning strategy in which homomorphic encryption (HE) secure gradient sharing, adversarial training for local robustness, and cross-sensor consistency validation mechanism to filter out the inconsistent clientupdates. A strong aggregation module helps to further block poisoning or noisy data contributed from globalmodel updates. Extensive studies on three widely used datasets namely WISDM, MHEALTHand UCI-HAR verify the superiority of the proposed model. The approach improves 6-10 percent robustnessto FGSM and PGD attacks over the baseline FL models while being competitive with clean accuracy. Furthermore, the system only introduces marginal computational and communication overheads, which verifies its feasibility ofdeployment in edge networks. The results verifythat the joint design of encryption, robustness and multimodal consistency is effective for privacy-preserving intelligence in healthcare IoT. This work offers a flexible basis forsecure and dependable medical analysis over distributed sensor networks. © 2025 IEEE.</t>
  </si>
  <si>
    <t>R0414</t>
  </si>
  <si>
    <t>Privacy-Aware Blockchain Approach for Efficient and Secure E-Health Applications</t>
  </si>
  <si>
    <t>Abdelraouf, H.; Abouyoussef, M.; Fouda, M.; Fadlullah, Z.M.; Ibrahem, M.I.; Lu, R.</t>
  </si>
  <si>
    <t>Found in: Scopus; IEEE · DOI: 10.1109/TNSE.2026.3683944</t>
  </si>
  <si>
    <t>The integration of the Internet of Things (IoT) in E-healthcare has enabled heart attack detection (HAD) leveraging artificial intelligence (AI). However, existing approaches face computational complexity, limited accuracy, and a lack of secure bidirectional communication between patients and healthcare providers (HPs) while preserving patients' privacy. While homomorphic encryption and secure multi-party computation can protect privacy, they incur substantial overhead. To overcome these limitations, {we propose a lightweightHADmethodology that ensures the preservation of security and privacy while maintaining performance reliability.} {First, we introduce a customized consortium blockchain harnessing group signatures to ensure patient anonymity and data unlinkability, enabling patients to securely communicate with HPs through unique and untraceable identifiers.} Next, we develop a lightweight HAD model via knowledge distillation (KD) from a complex high-performing model that captures spatialtemporal patterns and emphasizes key features in health data. Then, we devised a functional encryption (FE)-based cryptosystem to protect patients' data during model execution. Lastly, we advance explainable AI to highlight influential health features and enhance clinical trust. Evaluated on a real-world heart dataset and deployed on a testbed, ourHADmodel achieves 99.22% accuracy and a 99.23% F1-score, outperforming state-of-the-art techniqueswhile reducingmemory footprint, parameter count, and inference time by {98.19%}, {98.58%}, and {60.18%}, respectively, and fostering interpretability and trust in clinical decision-making. {Furthermore, the proposed blockchain with the FE approach enables secure model execution, protects patient data, and scales to 500,000 patients in under 2.5 minutes, while minimizing communication and computational overhead, achieving {95.43%} and {89.06%} reductions, respectively.  © 2026 IEEE.</t>
  </si>
  <si>
    <t>R0415</t>
  </si>
  <si>
    <t>Enhancing Privacy in Deep Neural Networks: Techniques and Application</t>
  </si>
  <si>
    <t>Raj, G.; Rajput, K.; Shakya, A.; Kumar, A.</t>
  </si>
  <si>
    <t>Found in: Scopus; IEEE · DOI: 10.23919/INDIACom66777.2025.11115808</t>
  </si>
  <si>
    <t>Along with healthcare and social media requests, the incorporation of machine learning into sensitive areas has not been as precise as it formerly was. Safety features are also being studied. Errands like performance preparation and induction are increasingly being outsourced to the cloud as cloud computing emerges as a successful computational and multi-person stage. However, due to administrative compliance and safety concerns, this capability is constrained. This work proposes a neural organize category system that uses homomorphic encryption (HE) to protect privacy. The suggested method protects the confidentiality of the customer's query by guaranteeing that buyer records are jumbled during transmission to the cloud and that the jumbled data is returned. In contrast to previous research, this one takes into account the practical difficulties of HE in a secure system and learns about them by adjusting its parameters to control safety and accuracy. We examine scenarios in which parameter selections compromise category accuracy and provide optimal configurations to achieve robust performance. When compared to current methods, exploratory checks on the MNIST dataset reveal completely improved deduction instances for client inquiries, demonstrating the version's practicality and efficiency.  © 2025 Bharati Vidyapeeth, New Delhi.</t>
  </si>
  <si>
    <t>R0416</t>
  </si>
  <si>
    <t>Privacy-Preserving Federated Learning with Secure Aggregation and Homomorphic Encryption for Brain Tumor Segmentation</t>
  </si>
  <si>
    <t>Srinivas, T.A.S.; Patel, L.; Alkhafajy, Z.; Sasirekha, N.; Umaeswari, P.</t>
  </si>
  <si>
    <t>Found in: Scopus; IEEE · DOI: 10.1109/ICICNCT66124.2025.11232656</t>
  </si>
  <si>
    <t>In recent years, privacy-preserving medical image segmentation has become vital for confirming safety and dependability of multi-institutional collaborations. However, traditional models often fail maintain segmentation accuracy owing to noise injection and restricted parameter exchange. Hence, this research proposes a novel framework called secure aggregation and homomorphic entropy-based federated learning (SAHE-FL) for Brain Tumor (BT) segmentation. Magnetic Resonance Imaging (MRI) scans were collected from Brain Tumor Segmentation (BraTS)2020 dataset. The collected data were then preprocessed using intensity normalization, bounding-box cropping, and uniform volume resizing, followed by widespread data augmentation to improve generalization. Subsequently, the processed data were fed into 3Dimensional Fully Convolutional Neural Network (3D U-Net) architecture to extract both local tumor boundaries and global contextual features from various MRI modalities. In addition, SAHE-FL incorporates secure aggregation with homomorphic encryption, which confirms client model updates remain encrypted and masked throughout training, thereby removing need for artificial noise while preserving accuracy. Finally, a secure aggregation mechanism combined with homomorphic encryption safeguards that only aggregated updates was revealed providing reliable privacy protection without reducing model accuracy. Experimental results show that proposed SAHE-FL model attained superior results in terms of sensitivity 0.90% than existing Differential Privacy and Partial Weight Sharing-based Federated Learning (DP-PWS-FL) model. © 2025 IEEE.</t>
  </si>
  <si>
    <t>R0417</t>
  </si>
  <si>
    <t>Securing the Classification of COVID-19 in Chest X-ray Images: A Privacy-Preserving Deep Learning Approach</t>
  </si>
  <si>
    <t>Boulila, W.; Ammar, A.; Benjdira, B.; Koubaa, A.</t>
  </si>
  <si>
    <t>Found in: Scopus; IEEE · DOI: 10.1109/SMARTTECH54121.2022.00055</t>
  </si>
  <si>
    <t>Deep learning (DL) is being increasingly utilized in healthcare-related fields due to its outstanding efficiency. However, we have to keep the individual health data used by DL models private and secure. Protecting data and preserving the privacy of individuals has become an increasingly prevalent issue. The gap between the DL and privacy communities must be bridged. In this paper, we propose privacy-preserving deep learning (PPDL)-based approach to secure the classification of Chest X-ray images. This study aims to use Chest X-ray images to their fullest potential without compromising the privacy of the data that it contains. The proposed approach is based on two steps: encrypting the dataset using partially homomorphic encryption and training/testing the DL algorithm over the encrypted images. Experimental results on the COVID-19 Radiography database show that the MobileNetV2 model achieves an accuracy of 94.2% over the plain data and 93.3% over the encrypted data.  © 2022 IEEE.</t>
  </si>
  <si>
    <t>R0418</t>
  </si>
  <si>
    <t>Enhancing Intrusion Detection Through Federated Learning With Enhanced Ghost_BiNet and Homomorphic Encryption</t>
  </si>
  <si>
    <t>Chandraumakantham, O.K.; Gajendran, S.; Marappan, S.</t>
  </si>
  <si>
    <t>Found in: Scopus; IEEE · DOI: 10.1109/ACCESS.2024.3362347</t>
  </si>
  <si>
    <t>Intrusion detection is essential for safeguarding computer systems and networks against unauthorized access, malicious activities, and security breaches. Its application domains include network security, information security, and cybersecurity across various sectors such as finance, healthcare, government, and industry. Federated learning-based intrusion detection offers improved performance compared to conventional mechanisms by leveraging decentralized data sources, preserving data privacy, and enhancing model generalization through collaboration among multiple organizations. However, challenges faced by existing federated learning-based intrusion detection mechanisms include ensuring data privacy and security, mitigating communication overhead, and enhancing detection accuracy. In order to overcome these issues, this research article proposes a federated learning-based intrusion detection methodology that leverages Enhanced Ghost_BiNet, a novel deep learning model, to enhance the security of information sharing and detection accuracy. Federated learning, a privacy-preserving machine learning technique, is utilized to enable multiple entities to collaboratively train a global intrusion detection model without sharing sensitive data. The proposed system first trains local models using Enhanced Ghost_BiNet, which integrates GhostNet and Bidirectional Gated Recurrent Unit (BiGRU). To optimize the model's performance, the Chaotic Chebyshev Artificial Humming Bird (CAh) algorithm is employed. Homomorphic encryption is applied to encrypt the local model updates, enhancing data privacy and security. Server-side aggregation of updates and collaborative optimization are introduced to minimize communication rounds during data aggregation. The results demonstrate that the Enhanced Ghost_BiNet outperforms traditional models like GhostNet, BiGRU, RNN, Auto Encoder, and CNN in terms of accuracy, precision, recall, F-Score, and mean square error (MSE). For instance, the Enhanced Ghost_BiNet achieves an accuracy of 99.24% on the KDD CUP 99 dataset, surpassing the other models by a significant margin. The proposed methodology provides a robust and secure approach to intrusion detection, ensuring the confidentiality of sensitive data while improving detection accuracy.  © 2013 IEEE.</t>
  </si>
  <si>
    <t>R0419</t>
  </si>
  <si>
    <t>Towards Accelerated Healthcare Federated System Through Heterogeneous Accelerators</t>
  </si>
  <si>
    <t>Sorrentino, G.; Conficconi, D.</t>
  </si>
  <si>
    <t>Found in: Scopus · DOI: 10.1109/FPL68686.2025.00055</t>
  </si>
  <si>
    <t>Federated Learning (FL) enables collaborative model training across multiple hosts without exposing sensitive data. Yet, privacy-preserving is critical, introducing a nonnegligible overhead. Furthermore, while GPUs perfectly suit AI workloads, FPGAs outperform them in networking and cryptographic tasks as Fully Homomorphic Encryption (FHE), widely employed in FL to safeguard privacy. In this context, applications like Image Registration (IR), requiring different computeintensive steps, each suitable for a different architecture, even worsen the hardware dichotomy. Thus, this research explores innovative federated network structures to reduce privacy risks while assigning roles to each host, guaranteeing complete hardware acceleration per each compute-intensive task by partitioning each step on different hardware layers of modern heterogeneous platforms as Neural Processing Unitss (NPUs), combining AI Engines (AIEs) and GPUs, Versal VCK5000, combining FPGA and AIEs, and multi-platform peer-to-peer systems.  © 2025 IEEE.</t>
  </si>
  <si>
    <t>R0420</t>
  </si>
  <si>
    <t>Computing-Empowered E-Health and Telemedicine: System Architecture, Core Algorithms, and System Challenges - Submission Template for ACM Papers</t>
  </si>
  <si>
    <t>Wan, Y.</t>
  </si>
  <si>
    <t>Found in: Scopus · DOI: 10.1145/3819113.3819163</t>
  </si>
  <si>
    <t>The rapid convergence of advanced computing paradigms with e-health and telemedicine has precipitated an urgent need for scalable, secure, and intelligent remote healthcare infrastructures - particularly in the context of global digital transformation, escalating chronic disease burdens, and demographic shifts toward aging populations. This paper presents a comprehensive, system-level investigation into computing-empowered telemedicine, grounded in the interdisciplinary nexus of health informatics, medical artificial intelligence, and distributed systems engineering. A unified, layered microservices-based architecture is proposed, integrating heterogeneous Health Internet of Things (H-IoT) sensing modalities at the edge with cloud-native orchestration layers, FHIR-compliant interoperability mechanisms, and clinical application interfaces - designed to ensure deployment agility, fault tolerance, and cross-institutional workflow continuity. Complementing this architectural foundation, the paper critically surveys and synthesizes core algorithmic enablers: federated learning frameworks adapted to non-independent-and-identically-distributed (non-IID) clinical data streams, multimodal data fusion techniques that reconcile imaging, time-series physiological signals, unstructured clinical narratives, and genomic profiles under uncertainty-aware alignment constraints, and privacy-preserving computation methods - including homomorphic encryption, zero-knowledge proofs, and trusted execution environments - that uphold regulatory compliance without compromising analytical fidelity. System-level challenges are rigorously categorized across three dimensions: technical-operational impediments such as ultra-low-latency requirements for telesurgery, energy-constrained edge inference, and model drift induced by dynamic patient cohorts; regulatory-ethical gaps including auditability deficits in GDPR/HIPAA-aligned AI deployments, explainability mandates for FDA-cleared clinical decision support tools, and liability attribution complexities arising from distributed microservice failures; and foundational trust deficits related to demographic bias propagation, adversarial vulnerability in federated settings, and absence of standardized provenance frameworks. By articulating actionable design principles, algorithmic trade-offs, and interdisciplinary research trajectories - including neuro-symbolic clinical reasoning, blockchain-augmented data lineage, self-supervised pretraining for label-scarce modalities, and consensus-driven federation governance - the work bridges theoretical advances with pragmatic implementation pathways for healthcare providers, technology developers, and policy stakeholders alike. © 2026 Copyright held by the owner/author(s).</t>
  </si>
  <si>
    <t>R0421</t>
  </si>
  <si>
    <t>A private entity matching approach for multiple databases</t>
  </si>
  <si>
    <t>Han, S.; Shen, D.; Nie, T.; Kou, Y.; Yu, G.</t>
  </si>
  <si>
    <t>Found in: Scopus · DOI: 10.3233/JIFS-191064</t>
  </si>
  <si>
    <t>Matching similar records from different databases to prevent duplication in a private manner has attracted plenty of attention, which is referred to as Private Entity Matching (PEM). In spite of various approaches having been proposed to solve this problem, private linking numerical data such as integer (e.g. age), floating point (e.g. body mass index) from multiple databases is an urgent gap, which is commonly required in health domain, statistical departments and more. Hence, this paper targets at solving the problem of linking numerical data from three or more sources in an efficient and secure way. Firstly, we introduce a novel homomorphic encryption method constrained similar modul, which provides strong privacy to encrypt numerical data in the range of real numbers. Then, to avoid frequent decryptions in the homomorphic encryption schema, we draw an inference about the encryption keys. Finally, an accelerated algorithm is proposed to reduce the complexity of multi-party numerical records matching. Our approach is considered absolute safety that no party learns any sensitive information of the others in the absence of collusion. Experiments on two real-world health information databases of patient records validate our approach with regards to the efficiency improvement and at the same time, at no the sacrifice of linkage quality.  © 2020 - IOS Press and the authors. All rights reserved.</t>
  </si>
  <si>
    <t>R0422</t>
  </si>
  <si>
    <t>Privacy-Preserving Prediction of Postoperative Mortality in Multi-Institutional Data: Development and Usability Study</t>
  </si>
  <si>
    <t>Suh, J.; Lee, G.; Kim, J.W.; Shin, J.; Kim, Y.-J.; Lee, S.-W.; Kim, S.</t>
  </si>
  <si>
    <t>Found in: Scopus; PubMed · DOI: 10.2196/56893 · PMID: 38968600</t>
  </si>
  <si>
    <t>Background: To circumvent regulatory barriers that limit medical data exchange due to personal information security concerns, we use homomorphic encryption (HE) technology, enabling computation on encrypted data and enhancing privacy. Objective: This study explores whether using HE to integrate encrypted multi-institutional data enhances predictive power in research, focusing on the integration feasibility across institutions and determining the optimal size of hospital data sets for improved prediction models. Methods: We used data from 341,007 individuals aged 18 years and older who underwent noncardiac surgeries across 3 medical institutions. The study focused on predicting in-hospital mortality within 30 days postoperatively, using secure logistic regression based on HE as the prediction model. We compared the predictive performance of this model using plaintext data from a single institution against a model using encrypted data from multiple institutions. Results: The predictive model using encrypted data from all 3 institutions exhibited the best performance based on area under the receiver operating characteristic curve (0.941); the model combining Asan Medical Center (AMC) and Seoul National University Hospital (SNUH) data exhibited the best predictive performance based on area under the precision-recall curve (0.132). Both Ewha Womans University Medical Center and SNUH demonstrated improvement in predictive power for their own institutions upon their respective data’s addition to the AMC data. Conclusions: Prediction models using multi-institutional data sets processed with HE outperformed those using single-institution data sets, especially when our model adaptation approach was applied, which was further validated on a smaller host hospital with a limited data set. © 2024 JMIR Publications Inc.. All rights reserved.</t>
  </si>
  <si>
    <t>R0423</t>
  </si>
  <si>
    <t>Efficient Multi-disease Privacy-Preserving Medical Pre-Diagnosis Based on Partial Homomorphic Encryption</t>
  </si>
  <si>
    <t>Zhou, S.; Fan, J.; Du, X.; Qiao, B.; Qiao, Z.</t>
  </si>
  <si>
    <t>Found in: Scopus; IEEE · DOI: 10.1109/ICIST55546.2022.9926857</t>
  </si>
  <si>
    <t>With the development of the Internet, there are more and more sensitive information on medical data, and direct use will result in the leakage of relevant information. These privacy issues largely limit the development of the medical industry, and online medical diagnosis services can break the time and region restrictions. In response to the existing privacy requirements, we use the random forest of machine learning to train the classifier. Compared with other classification models, the random forest classifier has higher accuracy and can process large-scale medical data. In the process of interaction between medical service providers and medical users, SHE (symmetric homomorphic encryption) method and Boneh-Lynn-Shacham(BLS) short signature algorithm are used to ensure the privacy and non-tampering of data during the interaction. Since both the random forest and the user query vector is in the state of ciphertext, we design a security comparison algorithm to ensure that the comparison can be completed without revealing privacy. Futhermore, a disease risk list can be obtained, which can achieve multi-disease diagnosis. We also prove that the proposed protocol is secure and efficient by security analysis and efficiency analysis.  © 2022 IEEE.</t>
  </si>
  <si>
    <t>R0424</t>
  </si>
  <si>
    <t>Homomorphic evaluation of large look-up tables for inference on human genome data in the cloud</t>
  </si>
  <si>
    <t>Guimaraes, A.; Neumann, L.; Andalo, F.A.; Aranha, D.F.; Borin, E.</t>
  </si>
  <si>
    <t>Found in: Scopus; IEEE · DOI: 10.1109/SBAC-PADW56527.2022.00015</t>
  </si>
  <si>
    <t>iDash is an annual competition for creating new solutions to tackle the challenges of securing human genome processing in untrusted environments, such as the public cloud. In this work, we propose and analyze a simple but efficient candidate for the homomorphic encryption track of iDash 2022. We focus on different approaches for optimizing its homomorphic evaluation without any loss of precision compared to its cleartext evaluation. We represent our data inference model as a single large look-up table (LUT), which we homomorphically evaluate without model-specific optimizations. In this way, our results represent not only the model we chose but all others that could be represented as a LUT of similar size. We employ three different approaches for encrypting data that trade-off large ciphertexts (and, thus, high demands for storage and IO) and computational performance. We evaluate our solutions in two cloud environments similar to the reference provided by the iDash competition. As a result, we not only show the practicability of our solution in the context of iDash but also provide key insights on the practical issues of employing popular homomorphic encryption techniques, such as LUT evaluation, in a real-world scenario. © 2022 IEEE.</t>
  </si>
  <si>
    <t>R0425</t>
  </si>
  <si>
    <t>Enhancing ocular sign detection: AI-based strategic segmentation for improved accuracy and privacy protection</t>
  </si>
  <si>
    <t>Lei, C.; Zhao, C.; Chen, J.; Duan, X.; Xu, C.; Yip, C.C.; Sintuwong, S.; Ding, J.; Pandiyan, P.S.; Wattanaphanich, S.; Ren, Y.; Luo, S.; Song, X.; He, H.; Liu, X.; Zhou, H.</t>
  </si>
  <si>
    <t>Found in: Scopus · DOI: 10.1038/s41746-025-02310-w</t>
  </si>
  <si>
    <t>Accurate detection of ocular signs is essential for early diagnosis of eye diseases, but current AI approaches using facial or external ocular images include non-essential information, compromising performance and patient privacy. We conducted a multinational retrospective study of 2360 eyes from 1180 half-face images of thyroid eye disease patients across five racial groups from five hospitals in three countries. We developed a Dense Squeeze-and-Excitation Network (DSE-Net) to segment eyelid, conjunctiva, lacrimal caruncle, and eyeball, minimizing exposure and enhancing privacy. DSE-Net achieved Dice coefficient of 84.7%, 84.8%, 92.7%, and 95.1%, outperforming seven segmentation models. We then built SegmenView, employing LeNet, AlexNet, ResNet50, and VGGNet16 to detect eyelid edema, conjunctival erythema, caruncle or plica edema, and exophthalmos. SegmenView achieved internal Area Under the Curve (AUCs) of 71.09%, 80.81%, 90.07%, and 82.86%; external AUCs ranging 55.58%–84.29% across two test datasets, outperforming half-face and periocular models. We also compared SegmenView with four privacy-preserving methods, showing its superior ability to balance privacy protection with diagnostic accuracy. Additionally, visualizations based on Gradient-weighted Class Activation Mapping (Grad-CAM) further enhanced the model’s interpretability. Our approach demonstrates high accuracy, generalizability, and potential for lightweight, privacy-preserving ocular sign detection. © The Author(s) 2026.</t>
  </si>
  <si>
    <t>R0426</t>
  </si>
  <si>
    <t>Decision Tree Evaluation on Sensitive Datasets for Secure e-Healthcare Systems</t>
  </si>
  <si>
    <t>Zhang, M.; Chen, Y.; Susilo, W.</t>
  </si>
  <si>
    <t>Found in: Scopus; IEEE · DOI: 10.1109/TDSC.2022.3219849</t>
  </si>
  <si>
    <t>By collecting and analyzing patients' e-healthcare data in Medical Internet-of-Things (MIOT), e-Healthcare providers can offer alternative and helpful evaluation services of the risk of diseases to patients. However, e-Healthcare providers cannot cope with the huge volumes of data and respond to this online service. Providers typically outsource medical data to powerful medical cloud servers. Since outsourced servers are not fully trusted, a direct evaluation service will inevitably result in privacy risks concerning the patient's identity or original medical data. It is hard to hide the results of an evaluation from the single-server model unless a fully homomorphic cryptosystem is used or the patients must communicate online with the cloud multiple times in an inefficient manner. With regards to these issues, this article proposes a Secure and Privacy-Preserving Decision Tree Evaluation scheme (namely SPP-DTE) to achieve secure disease diagnosis classification under e-Healthcare systems without revealing the sensitive information of patients such as physiological data or the private data of medical providers such as the structure of decision trees. Our proposed scheme uses modified KNN computation to match the similarity and preserve the confidentiality of raw data and also applies matrix randomization and monotonically increasing and one-way functions to confuse the intermediate results. The experiment is conducted in data sets from UCI machine learning repository of medical health data. Our analysis indicates that the proposed SPP-DTE scheme is efficient in terms of computational cost and communication overhead that is practical and efficient for privacy protection in e-Healthcare classification and diagnosis system.  © 2004-2012 IEEE.</t>
  </si>
  <si>
    <t>R0427</t>
  </si>
  <si>
    <t>Practical implementations of homomorphic encryption examining performance and security in real-world privacy-preserving applications</t>
  </si>
  <si>
    <t>Agarwal, A.K.; Joshi, M.; Sheoran, S.; Banda, L.; Saini, G.</t>
  </si>
  <si>
    <t>Found in: Scopus · DOI: 10.47974/JDMSC-2546</t>
  </si>
  <si>
    <t>Homomorphic Encryption (HE) makes it possible to compute on encrypted data without decrypting, thereby enabling secure data analysis. The goal of this research is to evaluate the use of HE schemes like Paillier, BFV and CKKS in sensitive real-world scenarios such as health care and financial industries. The study focuses on the performance, scalability and security implications of applying these encryption methods to encrypted machine learning models. Performance is evaluated using various criteria, including encryption time, computation overhead, model accuracy and memory utilization. A hybrid approach using two or more schemes is suggested to strike a balance between security and computational efficiency. Paillier shows a lower memory footprint, whereas CKKS delivers a stronger model accuracy for approximate calculations. The hybrid approach outperforms each of its components by offering improved processing speed and better model accuracy. Security evaluations also demonstrate that confidentiality is preserved against potential ciphertext attacks during computation. The findings in this study can be valuable for implementing HE in sensitive contexts, facilitating the development of secure data analysis techniques. These outcomes demonstrate how HE can be effectively used to ensure secure and privacypreserving calculations in a variety of practical applications. © 2026, Taru Publications. All rights reserved.</t>
  </si>
  <si>
    <t>R0428</t>
  </si>
  <si>
    <t>HTCNN: High-Throughput Batch CNN Inference With Homomorphic Encryption</t>
  </si>
  <si>
    <t>Ye, Z.; Wang, T.; Huang, T.; Li, Y.; Wang, C.; Cheung, R.C.C.; Huang, K.</t>
  </si>
  <si>
    <t>Found in: Scopus; IEEE · DOI: 10.1109/TDSC.2025.3627562</t>
  </si>
  <si>
    <t>Homomorphic Encryption (HE) enables computation on encrypted data, offering a promising solution for privacy-preserving applications such as identity verification and medical image analysis. The CKKS scheme, in particular, is well-suited for convolutional neural network (CNN) inference due to its support for realnumber arithmetic. However, HE-based CNN inference suffers from high computational latency and resource overhead, hindering its practical implementation. In addition, existing acceleration methods are mainly designed for single-image or large-batch processing, lacking a solution for efficiently processing a moderate number of input images with fast homomorphic inference capabilities. To address this, we introduce a novel leveled homomorphic CNN inference scheme aimed at reducing latency and improving throughput using the CKKS scheme. Our approach includes a novel batch packing method that maps multiple inputs into ciphertexts by leveraging convolutional sliding windows and SIMD capabilities. We further introduce optimizations such as mask-weight merging, rotation multiplexing, stride convolution segmentation, and folding rotations to minimize computational cost. Evaluations on MNIST and CIFAR-10 demonstrate that our method completes inference for 163 MNIST images in 10.4 seconds on a single CPU thread with an accuracy of 98.95%, achieving a 6.9× throughput improvement over state-of-the-art works, while also reducing communication and memory overhead. © 2004-2012 IEEE.</t>
  </si>
  <si>
    <t>R0429</t>
  </si>
  <si>
    <t>Practical Privacy Preserving-Aided Disease Diagnosis with Multiclass SVM in an Outsourced Environment</t>
  </si>
  <si>
    <t>Zhao, R.; Xie, Y.; Jia, X.; Wang, H.; Kumar, N.</t>
  </si>
  <si>
    <t>Found in: Scopus · DOI: 10.1155/2022/7751845</t>
  </si>
  <si>
    <t>With the rapid development of cloud computing and machine learning, using outsourced stored data and machine learning model for training and online-aided disease diagnosis has a great application prospect. However, training and diagnosis in an outsourced environment will cause serious challenges to the privacy of data. At present, many scholars have proposed privacy preserving machine learning schemes and made a lot of progress, but there are still great challenges in security and low client load. In this paper, we propose a complete privacy preserving outsourced multiclass SVM training and aided disease diagnosis scheme. We design some efficient basic operation algorithms for encrypted data. Then, we design an efficient and privacy preserving SVM model training protocol using the basic operation algorithms. We propose a secure maximum finding algorithm and secure comparison algorithm. Then, we design an efficient online-aided disease diagnosis scheme based on the BFV cryptosystem and blinding technique. Detailed security analysis proves that our scheme can protect the privacy of each participant. The experimental results illustrate that our proposed scheme significantly reduces the computation overhead compared with the previous similar works. Our proposed scheme completes most of the operations of aided disease diagnosis by the cloud servers and the client only needs to complete a small amount of encryption and decryption operations. The overall computation overhead is 0.175 s, and the efficiency of online aided disease diagnosis is improved by 85.4%. At the same time, our proposed scheme provides multiclass diagnosis results, which can better assist doctors in their treatment. © 2022 Ruoli Zhao et al.</t>
  </si>
  <si>
    <t>R0430</t>
  </si>
  <si>
    <t>Secure ML Evaluation on Encrypted Data with Fully Homomorphic Encryption and Concrete ML</t>
  </si>
  <si>
    <t>Gaddam, T.; Chennupalle, D.; Kavitha, C.R.</t>
  </si>
  <si>
    <t>Found in: Scopus; IEEE · DOI: 10.1109/GCAT62922.2024.10924043</t>
  </si>
  <si>
    <t>In healthcare sector, preserving patient data privacy is vital. The increasing popularity of machine learning (ML) models for classification tasks on sensitive medical datasets calls for the widespread use of strong encryption approaches to protect data. This work looks at employing homomorphic encryption to safeguard healthcare datasets for machine learning (ML) classification tasks. The performance of fully homomorphic encryption (FHE) with Cheon-Kim-Kim-Song(CKKS) on medical datasets is evaluated in terms of the time taken to encrypt/decrypt the datasets used for ML tasks and the time taken to perform fundamental operations like addition and dot product. In this study, ML models such as Logistic Regression, Support Vector Machine, Decision Tree, and XGBoost are trained on two datasets: heart disease prediction and breast cancer prediction, and then tested on unencrypted, quantized, and fully homomorphic encrypted data using scikit-learn and Concrete ML. The models are evaluated using accuracy, precision, recall and f1-score. This paper evaluates the practicality of using homomorphic encryption to maintain the confidentiality of data without significantly affecting performance of ML models, emphasising its potential benefits in healthcare. © 2024 IEEE.</t>
  </si>
  <si>
    <t>R0431</t>
  </si>
  <si>
    <t>Private-Key Fully Homomorphic Encryption for Private Classification</t>
  </si>
  <si>
    <t>Wood, A.; Shpilrain, V.; Najarian, K.; Mostashari, A.; Kahrobaei, D.</t>
  </si>
  <si>
    <t>Found in: Scopus · DOI: 10.1007/978-3-319-96418-8_56</t>
  </si>
  <si>
    <t>Fully homomophic encryption enables private computation over sensitive data, such as medical data, via potentially quantum-safe primitives. In this extended abstract we provide an overview of an implementation of a private-key fully homomorphic encryption scheme in a protocol for private Naive Bayes classification. This protocol allows a data owner to privately classify her data point without direct access to the learned model. We implement this protocol by performing privacy-preserving classification of breast cancer data as benign or malignant. © 2018, Springer International Publishing AG, part of Springer Nature.</t>
  </si>
  <si>
    <t>R0432</t>
  </si>
  <si>
    <t>Adaptive Trust-Aware Encrypted Federated Artificial Intelligence with Blockchain Auditability for Multicenter Biomedical Signal and Medical Image Analysis</t>
  </si>
  <si>
    <t>Hussein, A.F.; Al-Neami, A.Q.</t>
  </si>
  <si>
    <t>Found in: Scopus · DOI: 10.3390/informatics13060088</t>
  </si>
  <si>
    <t>Although the sharing of data is an important part of multicenter biomedical AI, direct data sharing is hindered by privacy laws, institutional data silos, and restrained trust and cooperation between institutions. While federated learning offers an opportunity for collaborative model training without centralizing patient data, many current methods rely on the same fixed levels of privacy protection on all clients, every layer of the model, each round, and each modality, resulting in suboptimal privacy–utility–latency trade-offs. In this study, we introduce Adaptive Trust-Aware Encrypted Federated Artificial Intelligence with Blockchain Auditability (ATEB-AI) for biomedical signal and medical image analysis. ATEB-AI is an adaptive CKKS encryption, trust-aware aggregation, and permissioned blockchain-based audit logging combination. The proposed framework was tested on four public benchmarks, namely, MIT-BIH, CHB-MIT, BraTS, and NIH ChestXray. ATEB-AI had the highest overall performance out of all compared federated methods and remained near the centralized training benchmark at up to 99.0% of the reference centralized training performance. It reduced membership-inference success from 0.71 to 0.24 (−66.2%), inversion leakage from 0.64 to 0.27 (−57.8%), and poisoning-related utility loss from 0.18 to 0.07 (−61.1%). Round latency was 1.90× FedAvg, compared with 2.85× for HE-FL (−33.3%) and 3.50× for BC-FL (−45.7%). The key contribution of this study is a single biomedical federated learning framework in which privacy, client trust, reliability, and auditability are unified, instead of being disjointed components. The results obtained with the proposed model prove the feasibility of co-optimizing confidentiality, robustness, efficiency, and governance in a single deployable multicenter medical AI pipeline. © 2026 by the authors.</t>
  </si>
  <si>
    <t>R0433</t>
  </si>
  <si>
    <t>Fully Homomorphic Privacy-Preserving Naive Bayes Machine Learning and Classification</t>
  </si>
  <si>
    <t>Han, B.; Kim, Y.; Choi, J.; Shin, H.; Lee, Y.</t>
  </si>
  <si>
    <t>Found in: Scopus · DOI: 10.1145/3605759.3625262</t>
  </si>
  <si>
    <t>Despite the revolutionary advancement of homomorphic encryption (HE) technology, no efficient fully homomorphic Naive Bayes (NB) classifier that can perform training with HE-encrypted data has been developed without using a decryption function. In this study, we propose an approximate homomorphic logarithm calculation method with a relative error of less than 0.01% on average. Using the SIMD function of the underlying HE scheme, the logarithm values for thousands of encrypted probability values can be calculated in approximately 2.5s with the help of a GPU. Based on this, we propose an efficient fully homomorphic NB method. The proposed NB classifier could complete the training on the breast cancer dataset considered within approximately 14.3s, and perform inference for a query in 0.84s. This is estimated around 28 times faster compared to the recent privacy-preserving NB classifier supporting an analogous level of security by Liu et al. in 2017 on the same computational environment and the same CKKS HE operations performance. © 2023 ACM.</t>
  </si>
  <si>
    <t>R0434</t>
  </si>
  <si>
    <t>An automated privacy-preserving self-supervised classification of COVID-19 from lung CT scan images minimizing the requirements of large data annotation</t>
  </si>
  <si>
    <t>Chowa, S.S.; Bhuiyan, M.R.I.; Tahosin, M.S.; Karim, A.; Montaha, S.; Hassan, M.M.; Shah, M.A.; Azam, S.</t>
  </si>
  <si>
    <t>Found in: Scopus; PubMed · DOI: 10.1038/s41598-024-83972-6 · PMID: 39747232</t>
  </si>
  <si>
    <t>This study presents a novel privacy-preserving self-supervised (SSL) framework for COVID-19 classification from lung CT scans, utilizing federated learning (FL) enhanced with Paillier homomorphic encryption (PHE) to prevent third-party attacks during training. The FL-SSL based framework employs two publicly available lung CT scan datasets which are considered as labeled and an unlabeled dataset. The unlabeled dataset is split into three subsets which are assumed to be collected from three hospitals. Training is done using the Bootstrap Your Own Latent (BYOL) contrastive learning SSL framework with a VGG19 encoder followed by attention CNN blocks (VGG19 + attention CNN). The input datasets are processed by selecting the largest lung portion of each lung CT scan using an automated selection approach and a 64 × 64 input size is utilized to reduce computational complexity. Healthcare privacy issues are addressed by collaborative training across decentralized datasets and secure aggregation with PHE, underscoring the effectiveness of this approach. Three subsets of the dataset are used to train the local BYOL model, which together optimizes the central encoder. The labeled dataset is employed to train the central encoder (updated VGG19 + attention CNN), resulting in an accuracy of 97.19%, a precision of 97.43%, and a recall of 98.18%. The reliability of the framework’s performance is demonstrated through statistical analysis and five-fold cross-validation. The efficacy of the proposed framework is further showcased by showing its performance on three distinct modality datasets: skin cancer, breast cancer, and chest X-rays. In conclusion, this study offers a promising solution for accurate diagnosis of chest X-rays, preserving privacy and overcoming the challenges of dataset scarcity and computational complexity. © The Author(s) 2024.</t>
  </si>
  <si>
    <t>R0435</t>
  </si>
  <si>
    <t>Privacy-Preserving Outsourced Clinical Decision Support System in the Cloud</t>
  </si>
  <si>
    <t>Liu, X.; Deng, R.H.; Choo, K.-K.R.; Yang, Y.</t>
  </si>
  <si>
    <t>Found in: Scopus; IEEE · DOI: 10.1109/TSC.2017.2773604</t>
  </si>
  <si>
    <t>In this paper, we propose a privacy-preserving clinical decision support system using Naïve Bayesian (NB) classifier, hereafter referred to as Peneus, designed for the outsourced cloud computing environment. Peneus allows one to use patient health information to train the NB classifier privately, which can then be used to predict a patient's (undiagnosed) disease based on his/her symptoms in a single communication round. Specifically, we design secure Single Instruction Multiple Data (SIMD) integer circuits using the fully homomorphic encryption scheme, which can greatly increase the performance compared with the original secure integer circuit. Then, we present a privacy-preserving historical Personal Health Information (PHI) aggregation protocol to allow different PHI sources to be securely aggregated without the risk of compromising the privacy of individual data owner. Also, secure NB classifier is constructed to achieve secure disease prediction in the cloud without the help of an additional non-colluding computation server. We then demonstrate that Peneus achieves the goal of patient health status monitoring without privacy leakage to unauthorized parties, as well as the utility and the efficiency of Peneus using simulations and analysis. © 2008-2012 IEEE.</t>
  </si>
  <si>
    <t>R0436</t>
  </si>
  <si>
    <t>Application of Machine Learning-NLP Approach with Fully Homomorphic Encryption Techniques in Medical PII Data</t>
  </si>
  <si>
    <t>Ndolo, U.; El-Sayed, H.; Sarker, M.K.</t>
  </si>
  <si>
    <t>Found in: Scopus; IEEE · DOI: 10.1109/AIRC64931.2025.11077473</t>
  </si>
  <si>
    <t>Integrating machine learning (ML) into healthcare systems has revolutionized diagnostic capabilities and personalized treatment plans. However, using sensitive medical data introduces significant privacy concerns, necessitating secure computational frameworks. Privacy-preserving machine learning (PPML) addresses these challenges by enabling data processing without exposing sensitive information. This study explores the application of Fully Homomorphic Encryption (FHE) with machine learning models for classifying medical dialogues containing potentially sensitive personally identifiable information (PII). Benchmarking FHE-based inference models against the traditional plaintext approaches. This study demonstrates that FHE can achieve comparable ensuring robust data privacy. However, enhanced security comes at the cost of increased computational time and memory usage. The study highlights a critical trade-off between maintaining high-speed inference and preserving privacy, providing valuable insights into medical data. These results guide decision-makers in evaluating the deployment of secure, FHE-based solutions in production environments. This study explores integrating privacy-preserving techniques with machine learning and outlines future research directions.  © 2025 IEEE.</t>
  </si>
  <si>
    <t>R0437</t>
  </si>
  <si>
    <t>User privacy prevention model using supervised federated learning-based block chain approach for internet of Medical Things</t>
  </si>
  <si>
    <t>Dhasarathan, C.; Hasan, M.K.; Islam, S.; Abdullah, S.; Khapre, S.; Singh, D.; Alsulami, A.A.; Alqahtani, A.</t>
  </si>
  <si>
    <t>Found in: Scopus · DOI: 10.1049/cit2.12218</t>
  </si>
  <si>
    <t>This research focuses on addressing the privacy issues in healthcare advancement monitoring with the rapid establishment of the decentralised communication system in the Internet of Medical Things (IoMT). An integrated blockchain homomorphic encryption standard with an in-build supervised learning-based smart contract is designed to improvise personal data prevention. The Internet of Medical Things (IoMT) has advanced in healthcare with the rapid establishment of decentralised communication systems. Distributed ledgers have resource constraints to leverage public, private, and hybrid blockchain transactions to facilitate heterogeneous operations. The authors propose a supervised learning strategy in healthcare to mitigate learning health-related issues, improvise clinical monitoring, and ensure secure communication. The proposed approach handles the vast IoMT data by adopting blockchain for IoMT as (BIoMT) to preserve sensitive clinical information. It incorporates hybrid encryption techniques to improve patient and health records' privacy protection. BIoMT also maintains secured and sustainable supply chain management with a highly confidential decentralised framework using blockchain-based smart contracts, which minimises data loss. Moreover, a framework is designed with a hybrid hashing that integrates a homomorphically encrypted algorithm to support a smart contract for decentralised applicability. The BIoMT approach is tested and compared with the relevant prevention mechanisms. The evaluation shows that the effects observed from the result analysis noted that the proposed method outperforms reliable prevention mechanisms compared to the existing approaches. © 2023 The Authors. CAAI Transactions on Intelligence Technology published by John Wiley &amp; Sons Ltd on behalf of The Institution of Engineering and Technology and Chongqing University of Technology.</t>
  </si>
  <si>
    <t>R0438</t>
  </si>
  <si>
    <t>Blockchain Privacy Disclosure Risk Assessment Scheme Based on Improved Paillier Algorithm</t>
  </si>
  <si>
    <t>Lingqin, R.; Changgen, P.; Dequan, X.; Weijie, T.; Zhongming, L.</t>
  </si>
  <si>
    <t>Found in: Scopus; IEEE · DOI: 10.1109/HPCC-DSS-SmartCity-DependSys57074.2022.00283</t>
  </si>
  <si>
    <t>Statistical analysis of medical and health data is an important task. However, due to privacy limitations, existing privacy protection systems cannot balance data availability and privacy, that is, ensure data availability while preventing patient privacy leakage. As a distributed ledger shared among nodes of a computer network, blockchain unique feature can provide a powerful security and privacy protection for user data, and homomorphic encryption can be directly to manipulate the characteristics of the ciphertext to ensure the availability of data and privacy, combining both this study proposes a blockchain node classification scheme based on homomorphic encryption. To evaluate the data privacy security on the blockchain, specifically, we store transaction data according to the node classification through the improved Paillier algorithm and node classification, evaluate the risks of the blockchain, and compare the data privacy and security before and after homomorphic encryption. Finally, the feasibility and effectiveness of the algorithm are verified by simulation experiments.  © 2022 IEEE.</t>
  </si>
  <si>
    <t>R0439</t>
  </si>
  <si>
    <t>A Secure Privacy-Preserving Machine Learning Model for Disease Diagnosis in IoT-Enabled Healthcare Systems</t>
  </si>
  <si>
    <t>R. Janagama; R. Anandh</t>
  </si>
  <si>
    <t>Found in: IEEE · DOI: 10.1109/IGNITE69592.2026.11705998</t>
  </si>
  <si>
    <t>As Internet of Things (IoT)-powered healthcare systems are rapidly adopted, wearable sensors and smart devices generate large volumes of patient data, which can be used for immediate disease tracking, but the conventional diagnostic framework encounters issues of fragmentation of IoT integration, excessive classes distribution, and a risk of compromised patient data privacy. The intention of this study is to design a powerful, precise yet privacy-focused disease diagnosis model based on the use of the IoT sensor fusion data to make multi-class predictions. The proposed methodology uses a combination of demographic, symptomatic, and wearable sensor data, SMOTE to manage the class imbalance, and trains a hybrid stacking ensemble of XGBoost and Random Forest base learners with multinomial logistic regression as a meta-learner, and ensures privacy via importance-driven feature selection and local differential privacy (ε=1.0, δ=1e5); homomorphic encryption is also simulated to evaluate the feasibility of fully encrypted processing. These findings show excellent performance at 99.66 percent accuracy, precision, recall, and F1-score, strong confusion matrices, and recognition of the best IoT predictors (body temperature, heart rate, oxygen saturation) and are superior to available models such as SVM, CNN, LSTM, and Random Forest. This framework provides a scalable, clinically sound, and safe IoT diagnostic system, which has provided dual zero-loss privacy mechanisms, and established a new standard of disease diagnosis, serves as the basis of future expansion to other datasets, multi-disease prediction and privacy-preserving implementations.</t>
  </si>
  <si>
    <t>R0440</t>
  </si>
  <si>
    <t>Secure Genomic Data Collaboration: A Complete Framework against Contemporary Privacy Attacks</t>
  </si>
  <si>
    <t>Sudheer, V.; Sudheer, S.</t>
  </si>
  <si>
    <t>Found in: Scopus; IEEE · DOI: 10.1109/ICSSS66939.2025.11346120</t>
  </si>
  <si>
    <t>This work focuses on the need for structured frameworks in sharing genomic data through ethical debates, attack methods and emerging solutions. Genomic datasets are sensitive and therefore issue of privacy is a concern because they are extensively applied in the current day medicine, research and consumer services. These databases can be attacked in a de-anonymization attack even without the identifiers attached since they can re-identify the person. Long-range familial searches reveal identities, which brings the question of consent as well as family implications and equity in genomic research. genomic beacons are query systems that can be attacked by allele inference attacks to alter the genotype of an individual. Observable characteristics can be traced to genomic records that can undermine its anonymization and re-identify researched people. The privacy issues involve surveying the systemic risks of sharing the genomic datasets and searching the research opportunities in case of safe cooperation. The problems associated with a synthetic dataset include keeping the accuracy but still provide perfect means of balancing between utility and privacy. All these issues can be addressed with the help of the multi key homomorphic encryption, which allows privacy preserving genomic calculations with the help of a state-of-the-art approach.  © 2025 IEEE.</t>
  </si>
  <si>
    <t>R0441</t>
  </si>
  <si>
    <t>A Privacy-Preserving Federated Learning Method with Homomorphic Encryption for Chronic Kidney Disease Stage Prediction</t>
  </si>
  <si>
    <t>Hegde, M.G.; Ruthvika, B.; Jain, R.B.; Shenoy, P.D.; Venugopal, K.R.; Canchi, A.</t>
  </si>
  <si>
    <t>Found in: Scopus · DOI: 10.48084/etasr.11928</t>
  </si>
  <si>
    <t>Federated Learning (FL) enables collaborative model training across decentralized healthcare institutions without requiring the sharing of Electronic Healthcare Records (EHRs), thereby ensuring data locality and reducing privacy risks. In this study, a baseline FL framework was implemented with one central server and four hospital clients, utilizing a real-time Chronic Kidney Disease (CKD) dataset.However, privacy assessments conducted using three simulated adversarial attacks, model inversion, Membership Inference Attacks (MIA), and gradient leakage, revealed significant vulnerabilities in the plain FL setup.To address these vulnerabilities, this work proposes a secure Federated Learning-Homomorphic Encryption (FL-HE) framework that integrates FL with encryption techniques using the TenSEAL library. The proposed FL-HE framework introduces a layer-wise encryption strategy, securing model parameters, bias, and feature normalization, ensuring end-to-end confidentiality. While the integration of HE introduces computational overhead, the FL-HE framework achieves a high prediction accuracy of 98.6%, nearly identical to the 98.7% achieved by the unencrypted FL model. These results underscore the strong privacy-preserving capabilities of the FL-HE framework without compromising the performance of the model, making it suitable for applications like in healthcare, where the privacy of data is of utmost importance. © by the authors.</t>
  </si>
  <si>
    <t>R0442</t>
  </si>
  <si>
    <t>A Tamper-Resistant Two-Way Authentication Method for On-Board Diagnostics (OBD) Devices</t>
  </si>
  <si>
    <t>Xie, R.; Xiang, P.; Duan, J.; Wang, X.</t>
  </si>
  <si>
    <t>Found in: Scopus; IEEE · DOI: 10.1109/EICCT69950.2026.11564512</t>
  </si>
  <si>
    <t>To address the issues of vulnerable data tampering, weak identity authentication mechanisms, and the difficulty in balancing encryption efficiency and security in On-Board Diagnostics (OBD) devices, this paper proposes a tamper-resistant two-way authentication method for OBD systems. The method first collects OBD device data and vehicle sensor data to complete cloud registration; then classifies data into critical/non-critical categories based on the driving safety impact threshold, and implements hierarchical protection using symmetric encryption and approximate homomorphic encryption respectively; generates dual-entropy dynamic salt values by combining ciphertext time entropy and device operation entropy, and completes two-way authentication through cloud reverse reconstruction and challenge-response mechanism; finally generates permission tokens for access control based on authentication results. Experiments show that this method effectively guarantees data authenticity and integrity, resists replay and forgery attacks, and improves authentication security while meeting the low-latency requirements of the Internet of Vehicles (IoV). © 2026 IEEE.</t>
  </si>
  <si>
    <t>R0443</t>
  </si>
  <si>
    <t>Enhancing Security and Privacy in Cyber-Physical Systems: Challenges and Solutions</t>
  </si>
  <si>
    <t>Sharma, M.</t>
  </si>
  <si>
    <t>Found in: Scopus; IEEE · DOI: 10.1109/CCWC60891.2024.10427691</t>
  </si>
  <si>
    <t>Cyber-Physical Systems (CPS) represent a convergence of computational and physical processes, seamlessly integrating into sectors such as healthcare, transportation, and energy. As these systems become increasingly ubiquitous, the imperatives of security and privacy emerge as critical focal points, especially given the inherent vulnerabilities introduced by real-time operational constraints, device heterogeneity, and the multifaceted nature of physical-digital interactions. This paper aims to provide a comprehensive analysis of these challenges, bringing to the fore the issues of data sensitivity in applications such as healthcare, potential risks associated with user location tracking, and the looming threats of data aggregation and inference attacks. With these challenges as our backdrop, we journey into the realm of recent advancements, examining CPS-specific intrusion detection systems, the transformative potential of blockchain in ensuring data integrity, and the merits of communication protocols tailored for these systems. Furthermore, the discourse extends to the adoption of differential privacy techniques in CPS, the promise of homomorphic encryption in ensuring the sanctity of data processing, and user-centric mechanisms that afford individuals greater control over their privacy. As we encapsulate our findings, the research emphasizes the continuous evolution of threats and, concurrently, the countermeasures. In conclusion, the paper underscores the pressing need for a holistic, multi-disciplinary approach to security and privacy in CPS, urging the research community and industry stakeholders to champion collaborative efforts in fortifying these foundational systems. © 2024 IEEE.</t>
  </si>
  <si>
    <t>R0444</t>
  </si>
  <si>
    <t>Secure Knuckle Print Authentication: Template Protection and Attack Analysis</t>
  </si>
  <si>
    <t>Sumalatha, U.; Prakasha, K.K.; Prabhu, S.; Nayak, V.C.</t>
  </si>
  <si>
    <t>Found in: Scopus · DOI: 10.1109/ACCESS.2025.3598926</t>
  </si>
  <si>
    <t>Biometric authentication using finger knuckle patterns offers a secure and forgery-resistant alternative for identity verification. Unlike fingerprints or facial recognition, knuckle prints are rarely exposed in daily activities, reducing the risk of unauthorized acquisition and spoofing. This study presents a privacy-preserving knuckle print authentication system using a fine-tuned DenseNet-121 model for feature extraction and homomorphic encryption for secure template matching. The IIT Delhi Finger Knuckle Database (version 1.0), consisting of 790 images from 158 individuals, is used. Data augmentation techniques, including rotation, shifting, zooming, shear transformations, and flipping, expanded the training dataset from 632 to 3,160 images, improving generalization. Feature extraction is performed using DenseNet-121, followed by homomorphic encryption of feature templates. Matching is conducted using Euclidean distance on encrypted vectors, ensuring privacy without compromising accuracy. At the optimal authentication threshold of 47, the system achieves 93.67% accuracy, with a False Acceptance Rate (FAR) of 1.099%, False Rejection Rate (FRR) of 6.329%, True Acceptance Rate (TAR) of 93.67%, and True Rejection Rate (TRR) of 98.901%. Euclidean distance outperforms cosine similarity in balancing accuracy and computational efficiency. A security analysis confirms resilience against replay attacks, feature spoofing, and template inversion through nonce-based authentication, homomorphic encryption, and secure key management. The system adheres to ISO/IEC 24745:2022 biometric security standards, ensuring irreversibility, unlinkability, and renewability. The proposed system is well-suited for high-security applications such as banking, healthcare, access control and forensic identification. © 2013 IEEE.</t>
  </si>
  <si>
    <t>R0445</t>
  </si>
  <si>
    <t>FedICU: a federated learning model for reducing the medication prescription errors in intensive care units</t>
  </si>
  <si>
    <t>Pais, V.; Rao, S.; Muniyal, B.; Yun, S.</t>
  </si>
  <si>
    <t>Found in: Scopus · DOI: 10.1080/23311916.2023.2301150</t>
  </si>
  <si>
    <t>Patients in the Intensive care unit need remarkable observation. This unit consists of people who are critically ill and may tend to lose their lives anytime. Healthcare professionals in critical care tend to commit prescription errors for many reasons. Since patients in intensive care are severely ill and have complicated health issues, mistakes while prescribing medicines can have serious repercussions. In this study, a federated learning model is simulated to reduce the mistakes while prescribing medicines in the intensive care unit, which provides an opportunity for many hospitals to collaborate, keeping their data local to themselves. Local training is performed with Logistic regression, Simple neural network, and Multilayer perceptron in which simple neural network achieves the highest accuracy of 95%. Model weights transferred to a federated server may be vulnerable to data and model poisoning attacks, eavesdropping, and model inversion attacks. So, model weights are encrypted using Paillier homomorphic encryption (PHE), achieving a model accuracy of 93.26% for a key size of 2048. With key size, the effect of encryption and decryption time is observed. The model is also applied with differential privacy, which achieved an accuracy of 94.24% when c = 0.5 and sigma = 0.05. Thus, this privacy-preserving federated learning model can be used to reduce drug prescription errors in critical care. © 2024 The Author(s). Published by Informa UK Limited, trading as Taylor &amp; Francis Group.</t>
  </si>
  <si>
    <t>R0446</t>
  </si>
  <si>
    <t>A Comprehensive Review of Cryptographic Techniques in Federated Learning for Secure Data Sharing and Applications</t>
  </si>
  <si>
    <t>A. Sen; S. -H. Heng; S. -C. Tan</t>
  </si>
  <si>
    <t>Found in: IEEE · DOI: 10.1109/ACCESS.2025.3593953</t>
  </si>
  <si>
    <t>The demand for secure data sharing is growing fast in sensitive domains like healthcare, finance, and IoT. Federated Learning (FL) introduces a decentralised machine learning paradigm whereby models can be trained over distributed nodes without sharing data. Despite its promise, FL faces significant security challenges, such as gradient inversion, model poisoning, and privacy leakage, which involve strong cryptographic techniques. Some cryptographic techniques have been proposed to address potential security concerns in the FL environment. This study provides an overview of the major techniques that include Homomorphic Encryption (HE), Secure Multi-Party Computation (SMPC), Differential Privacy (DP), blockchain integration, and emerging hybrid approaches, and their applications from different perspectives. The techniques, along with their respective strengths and weaknesses, are systematically compared to ensure the identification of appropriate application domains. This review addresses hybrid approaches that combine multiple techniques to achieve an optimal trade-off between privacy, computational efficiency, and scalability. Key challenges such as computational overhead, scalability limitations, and the privacy-utility trade-off are identified, along with notable research gaps in the field. Future directions emphasise on the development of optimised hybrid techniques and strategies to alleviate computational and communication overheads in resource-constrained environments. This study therefore reviews those aspects that might provide useful insights to researchers and practitioners in the development of secure, scalable, and computationally efficient FL systems, and hence facilitate their practical implementation in privacy-sensitive domains.</t>
  </si>
  <si>
    <t>R0447</t>
  </si>
  <si>
    <t>Privacy-Preserving Computation Using CKKS Homomorphic Encryption in Medical AI Systems</t>
  </si>
  <si>
    <t>Ayubbek Nuritdinovich, M.; Soy, A.</t>
  </si>
  <si>
    <t>Found in: Scopus; IEEE · DOI: 10.1109/iTechSECOM64750.2025.11307510</t>
  </si>
  <si>
    <t>Medical AI systems consume an extensive amount of sensitive patient data to provide diagnostic and treatment support while facing substantial security and privacy risks. The CKKS scheme within Homomorphic encryption provides a viable solution through which encrypted data can undergo processing operations without jeopardizing confidentiality about the underlying data contents. Data anonymisation and secure multiparty computation methods fail to fulfil their purpose because they allow re-identifications and produce high communication expenses. This paper develops a Privacy-Preserving Inference Using CKKS Homomorphic Encryption framework that enables secure AI model processing of encrypted medical images without decryption. Patient data gets encrypted through CKKS before it is sent to a remote server for encrypted inference with a modified neural network, then the server returns the encrypted result for user-side decryption. The system establishes confidentiality protection through secure cloud-based medical diagnostic operations. The method maintains accurate diagnostic capabilities while managing an appropriate computational increase, which verifies its operational potential for secure healthcare AI service delivery remotely.  © 2025 IEEE.</t>
  </si>
  <si>
    <t>R0448</t>
  </si>
  <si>
    <t>Verifiable and Privacy-Preserving Online Diagnosis Based on Multiclass SVM and CKKS Leveled Homomorphic Encryption</t>
  </si>
  <si>
    <t>Yan, J.; Zhao, M.; Ding, Y.; Liang, H.; Yang, C.; Wang, Y.</t>
  </si>
  <si>
    <t>Found in: Scopus; IEEE · DOI: 10.1109/CSCWD61410.2024.10580020</t>
  </si>
  <si>
    <t>The development of the Internet of Medical Things has made online diagnostic systems an attractive application. However, the opacity and insufficient supervision of cloud computing can result in problems such as data leakage and unreliable outcomes in diagnostic systems. In order to solve these problems, this paper proposes a verifiable privacy-preserving online diagnosis scheme (VPOD) based on multiclass SVM. This solution uses CKKS leveled homomorphic encryption to build a secure inner product computation protocol and a secure decision function computation protocol to achieve privacy protection for multiclass SVM model parameters, patient medical data and diagnosis results. In addition, this article designs a verification mechanism for multiclass SVM model predictions to ensure the correctness of the results. Performance evaluation shows that VPOD is more functional, has low computational overhead for patients and hospitals, and has an accuracy of 98.64% on real data sets.  © 2024 IEEE.</t>
  </si>
  <si>
    <t>R0449</t>
  </si>
  <si>
    <t>A Federated Learning Framework for Brain Tumour Detection Using Xception Convolutional Neural Network with CKKS-Based Secure Aggregation</t>
  </si>
  <si>
    <t>Sen, A.; Heng, S.-H.; Tan, S.-C.</t>
  </si>
  <si>
    <t>Found in: Scopus; IEEE · DOI: 10.1109/ICoICT71118.2026.11664857</t>
  </si>
  <si>
    <t>Federated learning (FL) enables collaborative medical image analysis without centralising sensitive data, making it highly suitable for privacy-critical applications such as brain tumour detection from magnetic resonance imaging (MRI). However, conventional FL frameworks remain vulnerable to parameter-level information leakage through shared model updates, which may expose sensitive information about the underlying medical data. This study proposes a privacy-preserving FL framework that integrates Cheon-Kim-Kim-Song (CKKS)-based homomorphic encryption (HE) for secure aggregation with an Xception convolutional neural network (CNN) for multi-class brain tumour classification. In the proposed framework, local models are trained in plaintext on distributed clients, while the resulting model parameters are encrypted before transmission and aggregation. This approach ensures that the central server performs aggregation without gaining access to plaintext model updates, thereby improving confidentiality and reducing the risk of privacy breaches. Experiments conducted on a four-class brain MRI dataset demonstrate that the proposed approach achieves a global classification accuracy of 97.87%, with less than 1% performance degradation compared to conventional non-encrypted FL. Furthermore, a comprehensive analysis of encryption, decryption, and federated communication round latency is performed to evaluate the computational overhead introduced by CKKS-based HE. The experimental findings confirm the practical feasibility of integrating HE-assisted secure aggregation with deep learning-based FL systems for privacy-preserving medical imaging applications, while maintaining high diagnostic performance and reliable collaborative model training. © 2026 IEEE.</t>
  </si>
  <si>
    <t>R0450</t>
  </si>
  <si>
    <t>A trustworthy healthcare framework for secure disease detection using enhanced homomorphic encryption and explainable artificial intelligence models</t>
  </si>
  <si>
    <t>Jain, R.; Rani, A.; Gupta, P.</t>
  </si>
  <si>
    <t>Found in: Scopus · DOI: 10.1007/s13721-026-00773-9</t>
  </si>
  <si>
    <t>The current healthcare system that relies on big data requires medical professionals to maintain proper medical data authentication and data integrity to achieve precise disease diagnosis and conduct distance patient treatment. The existing centralized systems, together with their black-box learning models, fail to provide adequate security measures and privacy safeguards and interpretability, limiting their clinical adoption. The research introduces a reliable healthcare analytics system that improves data protection and model visibility while enabling efficient processing of healthcare systems at an extensive scale. The framework combines three technologies that enable secure data sharing through blockchain technology while protecting user identity and applying an advanced Homomorphic Proxy Re-Encryption Scheme with Strong Anti-Collusion (HPRE-SAC) solution. The system incorporates federated learning (FL) through its differential privacy function and uses Explainable Artificial Intelligence (XAI) techniques for its automatic decision support system, which creates personalized treatment plans. The system was tested using three types of medical data: genetic data, MRI images, and electronic health records (EHR). The HPRE-SAC framework shows better results than all current encryption and optimization methods through its experimental testing. The system achieves encryption times of 0.19876s and 0.19863s and decryption times of 0.20984s and 0.21477s and system turnaround times of 0.4086s and 0.431s while maintaining restoration efficiency of 0.99162 and 0.99218. The proposed framework improves data security and privacy protection and interpretability of results, while computational speed, which makes it ideal for use in healthcare analytics systems that require both trustworthiness and scalable operations, enabling secure and explainable clinical decision-making. © The Author(s), under exclusive licence to Springer-Verlag GmbH Austria, part of Springer Nature 2026.</t>
  </si>
  <si>
    <t>R0451</t>
  </si>
  <si>
    <t>Assessment of the mood states on healthy adults’ handwriting through forensic handwriting examination vs graphology – a review</t>
  </si>
  <si>
    <t>Pei Yi, Y.; Karim, S.A.; Zaki, M.A.; Yin, E.T.L.</t>
  </si>
  <si>
    <t>Found in: Scopus · DOI: 10.5958/0974-4614.2019.00059.7</t>
  </si>
  <si>
    <t>A person’s daily life is permeated by various mood states and handwriting is a necessary habitual skill. The analysis of handwriting has two branches: Forensic handwriting examination (FHE) and graphology, which are commonly mixed up by the public. The objective of this review was to assess the effects of mood states on healthy adults’ handwriting through FHE and graphology. A literature search was conducted in the following electronic databases: Google Scholar; PubMed; IEEE Xplore; SpringerLink; SAGE Journals; and Wiley Online Library. Publications were then selected in a 2-stage process. The key search terms included: “handwriting AND mood AND adult AND (forensic OR graphology)”. The literature search yielded 20 publications, but only 8 Available from: Full-text articles were identified. Five articles were examined through FHE while the remaining were of graphology. Two FHE articles supported the effect of physical stress (fatigue) while two other articles supported the effect of different emotional stressors. Three graphology articles supported the effect of various emotional stress while no article was found for physical stress (fatigue). This review allowed for a clearer view on the differentiation between FHE and graphology. More research (with large samples) concerning the effect of other mood states on adult handwriting, is needed. © 2019, All India Institute of Medical Sciences. All rights reserved.</t>
  </si>
  <si>
    <t>R0452</t>
  </si>
  <si>
    <t>ESMDP: Encrypted ML Framework for Secure Medical Data Processing</t>
  </si>
  <si>
    <t>Pradeep Kumar Reddy, B.; Chatterjee, A.</t>
  </si>
  <si>
    <t>Found in: Scopus · DOI: 10.1007/978-981-97-8051-8_27</t>
  </si>
  <si>
    <t>In this age of Internet of Things (IoT), remote health monitoring and out-of-hospital treatment is not a distant dream. Wearable medical sensors and smartphones in the current IoT-driven environment allow for real-time monitoring of important health markers, with data quickly sent to distant specialists for analysis. Moreover, due to the onset of technological advancements like Electronic Health Records (EHR), IoT-enabled devices, Public Open health Data (POD), Linked Opened Data (LOD), remote health monitoring, vast quantities of information created in this domain as big data in health care. Intelligent storage and analysis of this big data may lead to generate critical insights for future predictions. The storage challenge of big data can be mitigated by the use of cloud computing. However, processing of Personal Health Information (PHI) on remote medical servers or cloud raises serious concern about the security of critical PHI. One immediate solution is for the information proprietors to transmit and store their delicate information in encrypted form. However, traditional encryption schemes do not support processing on that encrypted form of data. To take full advantage of cloud computing and out-of-hospital treatment, there should be a solution to process on that encrypted form of data directly. In this paper, we propose a framework which supports secure data transmission from medical sensors to distant cloud server or remote medical organizations, secure processing on that data to provide distant medical treatments and perform secure machine learning-based analytics on such sensor-generated datasets. For this secure processing, we use Fully Homomorphic Encryption(FHE) scheme, which supports direct processing on encrypted data. Our implementation shows the proposed secure framework is capable of disease detection remotely in an encrypted domain confirming PHI data confidentiality. The framework also supports performing encrypted machine learning algorithm on cloud-based medical dataset in a secure way. However, the main challenge in this case is the performance bottleneck. Parallel implementation, supported by appropriate operators, significantly improves performance, and near-practical performance is achieved conforming data security in smart health care. © The Author(s), under exclusive license to Springer Nature Singapore Pte Ltd. 2025.</t>
  </si>
  <si>
    <t>R0453</t>
  </si>
  <si>
    <t>Quantum-Inspired Feature Selection and Federated Intelligence for Predictive Geriatric Healthcare</t>
  </si>
  <si>
    <t>Mustafa, N.S.M.; Nithya, D.S.M.; Veena, A.N.V.S.D.S.; Sankaran, D.; Arun, R.S.R.; Shrivastava, T.</t>
  </si>
  <si>
    <t>Found in: Scopus; IEEE · DOI: 10.1109/IC2PCT68894.2026.11584337</t>
  </si>
  <si>
    <t>As the elderly population continues to grow, there is an urgent need for decentralized, privacy-preserving, and high-accuracy predictive healthcare models that can proactively manage chronic illnesses. Most traditional Federated Learning (FL) approaches often have challenges with non-IID data distribution, slow convergence rates, the potential for security attacks, and high communication cost. To capitalize on the benefits of FL while addressing limitations, we propose a Quantum-Inspired Federated Learning (QIFL) framework that combines quantum computing concepts with FL to improve predictive performance, security, and computational efficiency. The QIFL model utilizes Quantum Variational Circuits (QVCs) and Quantum-Inspired Stochastic Gradient Descent (QSGD) to expedite local model updates, while Quantum Differential Privacy (Q-DP) guarantees patient data protection. In addition, the framework employs a Quantum Gate-Based Feature Selection (QGFS) mechanism to identify informative biomarkers for early detection of age-related diseases such as cardiovascular Diseases, Alzheimer's and Diabetes. Additionally, a Quantum-Inspired Adaptive Federated Averaging (QAFedAvg) method is proposed to optimize the aggregation of the global model from heterogeneous healthcare nodes. The framework also uses Quantum Secure Homomorphic Encryption (Q-SHE) and Quantum-Key Distribution (QKD) as security and privacy approaches to prevent adversarial model poisoning attacks during a federated update. The QIFL framework is evaluated on real-world elderly healthcare datasets (MIMIC-III, eICU, and PhysioNet) and performance is based on prediction accuracy, convergence time, adversarial robustness, and privacy leakage resistance. The QIFL framework demonstrates superior performance over standard FL frameworks, achieving a prediction accuracy of $97.8 \% (\pm 0.3 \%)$, a convergence time of $\mathbf{5 2}$ percent quicker, a $\mathbf{4 1 \%}$ lower adversarial success rate, and a reduced communication cost by 42%. This work reveals the effectiveness of quantum inspired computing and federated learning methods to produce an accurate, secure, and computationally efficient predictive healthcare model for the elderly population. The authors will continue to explore future work using Quantum Neural Networks (QNN) to enhance predictive intelligence and real-time diagnostics. © 2026 IEEE.</t>
  </si>
  <si>
    <t>R0454</t>
  </si>
  <si>
    <t>A Fully Homomorphic Encryption based approach for Privacy Preserved Pre-processing of MedicalTranscripts</t>
  </si>
  <si>
    <t>Gaikwad, V.S.; Patil, A.; Panditrao, R.; Pareek, T.; Agrawal, M.</t>
  </si>
  <si>
    <t>Natural Language Processing holds immense potential for extracting insights from healthcare data, but it demands stringent privacy protection.Privacy-preserving NLP techniques, notably Fully Homomorphic Encryption (FHE), offer a path to advanced analytics while preserving patient data confidentiality.This paper marks the culmination of our initial phase, focusing on data preparation and encryption.We've employed FHE with the CKKS scheme to ensure data remains encrypted.Performance evaluation adapts multiclass classification metrics, addressing the distinct nature of healthcare data.As we conclude this phase, we emphasize that this is only the beginning.Subsequent steps will focus on developing NLP models trained on encrypted data.Our work highlights the intersection of data privacy and advanced analytics in healthcare, ultimately benefiting healthcare providers and patients. © Grenze Scientific Society, 2024.</t>
  </si>
  <si>
    <t>R0455</t>
  </si>
  <si>
    <t>RETRACTED: Blockchain-Powered Healthcare Systems: Enhancing Scalability and Security with Hybrid Deep Learning</t>
  </si>
  <si>
    <t>Ali A; Ali H; Saeed A; Ahmed Khan A; Tin TT; Assam M; Ghadi YY; Mohamed HG</t>
  </si>
  <si>
    <t>Found in: PubMed · DOI: 10.3390/s23187740 · PMID: 37765797</t>
  </si>
  <si>
    <t>The rapid advancements in technology have paved the way for innovative solutions in the healthcare domain, aiming to improve scalability and security while enhancing patient care. This abstract introduces a cutting-edge approach, leveraging blockchain technology and hybrid deep learning techniques to revolutionize healthcare systems. Blockchain technology provides a decentralized and transparent framework, enabling secure data storage, sharing, and access control. By integrating blockchain into healthcare systems, data integrity, privacy, and interoperability can be ensured while eliminating the reliance on centralized authorities. In conjunction with blockchain, hybrid deep learning techniques offer powerful capabilities for data analysis and decision making in healthcare. Combining the strengths of deep learning algorithms with traditional machine learning approaches, hybrid deep learning enables accurate and efficient processing of complex healthcare data, including medical records, images, and sensor data. This research proposes a permissions-based blockchain framework for scalable and secure healthcare systems, integrating hybrid deep learning models. The framework ensures that only authorized entities can access and modify sensitive health information, preserving patient privacy while facilitating seamless data sharing and collaboration among healthcare providers. Additionally, the hybrid deep learning models enable real-time analysis of large-scale healthcare data, facilitating timely diagnosis, treatment recommendations, and disease prediction. The integration of blockchain and hybrid deep learning presents numerous benefits, including enhanced scalability, improved security, interoperability, and informed decision making in healthcare systems. However, challenges such as computational complexity, regulatory compliance, and ethical considerations need to be addressed for successful implementation. By harnessing the potential of blockchain and hybrid deep learning, healthcare systems can overcome traditional limitations, promoting efficient and secure data management, personalized patient care, and advancements in medical research. The proposed framework lays the foundation for a future healthcare ecosystem that prioritizes scalability, security, and improved patient outcomes.</t>
  </si>
  <si>
    <t>R0456</t>
  </si>
  <si>
    <t>Multiinstitutional Lung Image Classification Using Privacy-Preserving Horizontal Federated Learning with Homomorphic Encryption</t>
  </si>
  <si>
    <t>Cao, D.; Wang, C.; Sun, H.; Cao, C.; Kang, M.; Zheng, H.; Zhou, S.; Guan, X.; Cao, Y.; Tong, Q.</t>
  </si>
  <si>
    <t>Found in: Scopus; IEEE · DOI: 10.1109/Healthcom56612.2023.10472358</t>
  </si>
  <si>
    <t>Nowadays, deep learning is widely used for medical image analysis and computer-aided diagnosis. However, the process of training them requires a large amount of data and accurate annotations. Medical data is scarce, sensitive, and heterogeneous across multiple institutions, which poses challenges for building accurate models. To address this, we develop a hor-izontal Federated Learning system with Homomorphic Encryption (FLHE) and a deep convolutional neural network ResNet-50 for multiinstitutional lung image classification. The proposed system enables multiple medical institutions to collaboratively train a model without sharing sensitive data and uses encryption to ensure privacy. Experimental results demonstrate that our system achieves high accuracy while preserving privacy, and has the potential to improve diagnosis and treatment efficiency. Our work highlights the potential of federated learning in addressing the challenges of medical image classification, facilitating collaborative research, and promoting medical data sharing in healthcare and medical domains. © 2023 IEEE.</t>
  </si>
  <si>
    <t>R0457</t>
  </si>
  <si>
    <t>Evaluation of the presence and severity of spontaneous splenorenal or gastrorenal shunts via four-dimensional flow magnetic resonance imaging: a preliminary study</t>
  </si>
  <si>
    <t>Zheng, Y.; Hu, Q.; Zhou, J.; Li, X.; He, X.; Chen, T.; Liu, X.; Chen, W.; Li, X.; Guo, D.</t>
  </si>
  <si>
    <t>Found in: Scopus; PubMed · DOI: 10.21037/qims-24-826 · PMID: 39429565</t>
  </si>
  <si>
    <t>Background: Four-dimensional phase-contrast magnetic resonance imaging (4D flow MRI) is a relatively new type of MRI acquisition technique that provides a unique and comprehensive set of information within a single acquisition, including hemodynamic and anatomical information. This study was designed to noninvasively evaluate the correlation between the presence and severity of spontaneous splenorenal shunt (SRS) or gastrorenal shunt (GRS) and 4D flow MRI-derived parameters. Methods: This retrospective case-control study enrolled 70 patients who were diagnosed with hepatocirrhosis portal hypertension and admitted to the Second Affiliated Hospital of Chongqing Medical University. Patients were divided into three groups according to the diameter of the SRS and GRS. 4D flow MRI-derived parameters, including the turbulent kinetic energy, total volume (TV), flow velocity, blood flow volume (BFV), maximum flow (MF), wall shear stress, and relative pressure, were obtained for eight cut planes: proximal to the splenomesenteric confluence and liver hilum of the portal vein (PV1/PV2); the left/right branch of the bifurcation of the PV (LPV/RPV), at the mesosplenic confluence of the splenic vein (SV1), at the splenic hilum of the SV (SV2); at the proximal to the splenomesenteric confluence of the superior mesenteric vein (SMV1), and 5 cm from the splenomesenteric confluence of the SMV (SMV2). Comparisons among the three groups were based on one-way analysis of variance (ANOVA). Logistic regression was used to identify the risk factors for small SRS/GRS (S-SRS/GRS) and for large SRS/GRS (L-SRS/GRS). Receiver operating characteristic curves were used to evaluate the diagnostic performance of the independent risk factors for SRS and GRS. The associations between the clinical data and the 4D flow MRI-derived parameters of GRS and SRS were assessed via Spearman correlation coefficient analysis. Results: The presence of SRS or GRS was correlated with TVLPV (r=−0.302; P=0.035), TVPV1 (r=−0.385; P=0.001), TVPV2 (r=−0.301; P=0.013), BFVPV1 (r=−0.360; P=0.010), BFVSMV2 (r=0.371; P=0.008), MFPV1 (r=−0.341; P=0.004), and MFPV2 (r=−0.291; P=0.017). Meanwhile, the severity of the SRS or GRS was correlated with alanine aminotransferase level (r=−0.535; P&lt;0.001), BFVLPV (r=−0.560; P=0.008), aspartate aminotransferase level (r=−0.321; P=0.038), and model for end-stage liver disease score (r=0.323; P=0.039). TVPV1, TVPV2, BFVPV1, BFVPV2, and MFSMV2 were found to be independent risk factors for L-SRS/GRS, with intermediate diagnostic efficacy, with the area under the curve (AUC)TV PV1=0.706 [95% confidence interval (CI): 0.519–0.853; sensitivity, 61.54%; specificity, 80.77%; P=0.018], AUCBFV PV1 =0.694 (95% CI: 0.507–0.844; sensitivity, 95.00%; specificity, 63.16%; P=0.035), AUCTV PV2 =0.729 (95% CI: 0.544–0.870; sensitivity, 77.78%; specificity, 66.67%; P=0.016), AUCBFV PV2 =0.718 (95% CI: 0.531–0.862; sensitivity, 60.00%; specificity, 82.35%; P=0.017), and AUCMF SMV2 =0.788 (95% CI: 0.608–0.912; sensitivity, 44.00%; specificity, 84.46%; P=0.005), respectively. As the TV of PV1 and PV2 and the BFV of PV1 and PV2 decreased, the risk of L-SRS/GRS increased. As the MF of SMV2 increased, the risk of the presence of L-SRS/GRS increased. Conclusions: 4D flow MRI-derived parameters correlated with the presence and severity of SRS or GRS. Meanwhile, the independent risk factors for the presence of L-SRS/GRS were the TV of LPV, PV1, and PV2; the BFV of PV1 and SMV2; and the MF of PV1 and PV2. © AME Publishing Company.</t>
  </si>
  <si>
    <t>R0458</t>
  </si>
  <si>
    <t>Enhanced human activity recognition based on activity tracker data using secure homomorphic encryption techniques</t>
  </si>
  <si>
    <t>Kumari, K.A.; Indusha, M.; Dharani, D.</t>
  </si>
  <si>
    <t>Found in: Scopus; IEEE · DOI: 10.1109/INCET51464.2021.9456309</t>
  </si>
  <si>
    <t>The fitness tracker data for human activity recognition is playing an important role in improving health and monitoring the daily movements of human such as health care and fitness. This detects human activities such as step count, sleeps rate, calories burned, and person mood for the data collected by the activity tracker device and mainly helps in identifying the Apnea-Hypopnea Index (AHI) which is caused due to Obstructive Sleep Apnea. Medical data is very susceptible for many external threats that affect its security and privacy. The privacy and security of the data shared across the medical field is very difficult to maintain. To overcome these problems, Homomorphic Encryption techniques are proposed, which is used for privacy preserving out-sourced storage and computation. The encrypted technique helps in protecting sensitive data from outsourced. The two Homomorphic techniques are Gorti's Enhanced Encryption Scheme and Carmichael's Encryption Scheme that are used to encrypt the fitness tracker data. The computation is made with the encrypted data without revealing the original data to providers. The analysis is made on the encrypted data by computing the AHI to predict the disease based on the range given in AHI. Thus, security of the data is maintained. The performance of the schemes is measured based on the time taken for encryption and decryption of the medical data and analysis performed on the encrypted data.  © 2021 IEEE.</t>
  </si>
  <si>
    <t>R0459</t>
  </si>
  <si>
    <t>Pathophysiological and clinical implications of high intramural coronary blood flow velocity in aortic stenosis</t>
  </si>
  <si>
    <t>de Gregorio, C.; Grimaldi, P.; Ferrazzo, G.; Di Bella, G.; Casale, M.; Arrigo, F.; Carerj, S.</t>
  </si>
  <si>
    <t>Found in: Scopus; PubMed · DOI: 10.1007/s00380-019-01532-9 · PMID: 31712910</t>
  </si>
  <si>
    <t>We sought to recognize the blood flow velocity (BFV) through the left anterior descending (LAD) coronary artery and its small intramyocardial (IM) branches by transthoracic Doppler-echocardiography in patients with aortic stenosis (AS). Sixty-two patients, aged 74.0 ± 9.6 years, 37 women, with preserved left ventricular (LV) function, apparently free of active ischemic disease, were enrolled and classified into 3 groups according to the mean gradient (MG) across the aortic valve: 13 patients (21%) entered the group A (MG ≤ 20 mmHg), 29 (48%) group B (MG 21–40 mmHg) and 20 (31%) group C (MG &gt; 40 mmHg). Peak and mean coronary BFVs were demonstrated to gradually increase according to AV gradient, especially through the IM arteries. Peak IM-BFV was 58.9 cm/s (95% CI 46.4–71.4) in group A, 73.2 cm/s (95% CI 64.8–81.6) in group B, and 96.4 cm/s (95% CI 86.3–106.5) in group C (p &lt; 0.001), whereas peak LAD-BFV was 38.1 cm/s (95% CI 32.8–43.3), 44.4 cm/s (95% CI 40.9–47.9) and 47.3 cm/s (95% CI 43.1–52.5), respectively (p = 0.03). Also, 34 patients complaining with unspecific symptoms showed much higher IM-BFV than those who were not. High values were also recognized in patients with LV ejection fraction/velocity ratio (EFVR) ≤ 0.90 (IM-BFV 91 ± 26 cm/s vs. 72 ± 24 cm/s in those with EFVR &gt; 0.90, p = 0.001). In conclusion, AS patients in the present study showed gradually higher coronary BFVs according to AS gradient, especially through the IM vessels, and both peak and mean velocities were discriminating specific patient subsets. Pathophysiological mechanisms and potential clinical implications are discussed. © 2019, Springer Japan KK, part of Springer Nature.</t>
  </si>
  <si>
    <t>R0460</t>
  </si>
  <si>
    <t>Prediction of clinical outcome using blood flow volume in the superior mesenteric artery in patients with pseudomyxoma peritonei treated by cytoreductive surgery</t>
  </si>
  <si>
    <t>Dohan, A.; Barral, M.; Eveno, C.; Lo Dico, R.; Kaci, R.; Pasteur-Rousseau, A.; Soyer, P.; Pocard, M.; Bonnin, P.</t>
  </si>
  <si>
    <t>Found in: Scopus; PubMed · DOI: 10.1016/j.ejso.2017.05.015 · PMID: 28587731</t>
  </si>
  <si>
    <t>Background Pseudomyxoma peritonei (PMP) is a rare carcinomatosis limited to the peritoneal cavity, mainly supplied by the superior mesenteric artery (SMA). The only curative treatment is cytoreductive surgery (CRS) associated with hyperthermic intraperitoneal chemotherapy. This study aimed to evaluate the ability of blood flow volume (BFV) recorded in the SMA using Doppler ultrasonography pre-operatively to predict the extent and resectability of the disease and post-operatively to assess clinical outcome. Methods BFV was measured in the SMA of forty-nine patients before and the year following CRS. Patients were categorized in 3 groups according to clinical and surgical outcomes: group-1 (n = 22): patient with completed CRS, group-2 (n = 16): incomplete resection with slowly progressive disease (alive at 2 years without severe clinical symptoms), group-3 (n = 11): incomplete resection and with severe clinical symptoms or dead within two years. Results Pre-operative mean SMA BFV was higher in group-2 (510 mL/min, p = 0.027) and in group-3 (572 mL/min, p = 0.004) than in group-1 (378 mL/min). After surgery, BFV dropped to normal values (203 mL/min, p = 0.001) in group-1, and to 423 mL/min (p = 0.047) in group-2. It remained elevated in group-3 (626 mL/min, p = 0.566). BFV allowed stratification of 1) resectability before CRS (group-2 and -3 vs group-1, area under the ROC curve: 0.794 [0.650–0.939]), and 2) non progression after incomplete CRS (group-3 vs group-2, area under the ROC curve: 0.827 [0.565–1.00]. Conclusions Pre-operative BFV in the SMA correlates with extent and resectability of PMP. After incomplete surgery, post-operative BFV might aid in identifying patients who may benefit of post-operative therapy. © 2017 Elsevier Ltd, BASO ~ The Association for Cancer Surgery, and the European Society of Surgical Oncology</t>
  </si>
  <si>
    <t>R0461</t>
  </si>
  <si>
    <t>Towards realistic privacy-preserving deep learning over encrypted medical data</t>
  </si>
  <si>
    <t>Cabrero-Holgueras, J.; Pastrana, S.</t>
  </si>
  <si>
    <t>Found in: Scopus; PubMed · DOI: 10.3389/fcvm.2023.1117360 · PMID: 37187785</t>
  </si>
  <si>
    <t>Cardiovascular disease supposes a substantial fraction of healthcare systems. The invisible nature of these pathologies demands solutions that enable remote monitoring and tracking. Deep Learning (DL) has arisen as a solution in many fields, and in healthcare, multiple successful applications exist for image enhancement and health outside hospitals. However, the computational requirements and the need for large-scale datasets limit DL. Thus, we often offload computation onto server infrastructure, and various Machine-Learning-as-a-Service (MLaaS) platforms emerged from this need. These enable the conduction of heavy computations in a cloud infrastructure, usually equipped with high-performance computing servers. Unfortunately, the technical barriers persist in healthcare ecosystems since sending sensitive data (e.g., medical records or personally identifiable information) to third-party servers involves privacy and security concerns with legal and ethical implications. In the scope of Deep Learning for Healthcare to improve cardiovascular health, Homomorphic Encryption (HE) is a promising tool to enable secure, private, and legal health outside hospitals. Homomorphic Encryption allows for privacy-preserving computations over encrypted data, thus preserving the privacy of the processed information. Efficient HE requires structural optimizations to perform the complex computation of the internal layers. One such optimization is Packed Homomorphic Encryption (PHE), which encodes multiple elements on a single ciphertext, allowing for efficient Single Instruction over Multiple Data (SIMD) operations. However, using PHE in DL circuits is not straightforward, and it demands new algorithms and data encoding, which existing literature has not adequately addressed. To fill this gap, in this work, we elaborate on novel algorithms to adapt the linear algebra operations of DL layers to PHE. Concretely, we focus on Convolutional Neural Networks. We provide detailed descriptions and insights into the different algorithms and efficient inter-layer data format conversion mechanisms. We formally analyze the complexity of the algorithms in terms of performance metrics and provide guidelines and recommendations for adapting architectures that deal with private data. Furthermore, we confirm the theoretical analysis with practical experimentation. Among other conclusions, we prove that our new algorithms speed up the processing of convolutional layers compared to the existing proposals. 2023 Cabrero-Holgueras and Pastrana.</t>
  </si>
  <si>
    <t>R0462</t>
  </si>
  <si>
    <t>Genotype Imputation with Homomorphic Encryption</t>
  </si>
  <si>
    <t>Chan, F.M.; Badawi, A.Q.A.A.; Sim, J.J.; Tan, B.H.M.; Sheng, F.C.; Aung, K.M.M.</t>
  </si>
  <si>
    <t>Found in: Scopus · DOI: 10.1145/3484424.3484426</t>
  </si>
  <si>
    <t>Genotype imputation is a technique used to determine unobserved genomic markers when sequencing genomic data. This is a cost effective method for sequencing a genome. Due to the large amount of personal identifiable information involved in genomic imputation, there is a rising concern for analysis of such nature to be secure and private. We describe a method using homomorphic encryption (HE) to perform genotype imputation in a secure and private setting. Our solution first involves training a logistic regression model and performing the imputation in the encrypted domain. We have implemented our solution over using the open sourced Homomorphic Encryption library, SEAL. We are able to impute 500 SNPs within 5 minutes, with an accuracy of 97.3%.  © 2021 ACM.</t>
  </si>
  <si>
    <t>R0463</t>
  </si>
  <si>
    <t>Privacy-Preserving Federated Learning for Internet of Medical Things Under Edge Computing</t>
  </si>
  <si>
    <t>Wang, R.; Lai, J.; Zhang, Z.; Li, X.; Vijayakumar, P.; Karuppiah, M.</t>
  </si>
  <si>
    <t>Found in: Scopus · DOI: 10.1109/JBHI.2022.3157725</t>
  </si>
  <si>
    <t>Edge intelligent computing is widely used in the fields, such as the Internet of Medical Things (IoMT), which has advantages, including high data processing efficiency, strong real-time performance and low network delay. However, there are many problems including privacy disclosure, limited calculation force, as well as scheduling and coordination issues. Federated learning can greatly improves training efficiency. However, due to the sensitive nature of the healthcare data, the aforementioned approach of transferring the patient's data to the servers may create serious security and privacy issues. Therefore, this article proposes a Privacy Protection Scheme for Federated Learning under Edge Computing (PPFLEC). First of all, we propose a lightweight privacy protection protocol based on a shared secret and weight mask, which is based on a random mask scheme of secret sharing. It is more accurate and efficient than,homomorphic encryption. It can not only protect gradient privacy without losing model accuracy, but also resist equipment dropping and collusion attacks between devices. Second, we design an algorithm based on a digital signature and hash function, which achieves the integrity and consistency of the message, as well as resisting replay attacks. Finally, we propose a periodic average training strategy, compared with differential privacy to prove that our scheme is 40% faster in efficiency than in deferential privacy. Meanwhile, compared with federated learning, we can achieve the same efficiency under the condition of ensuring safety. Therefore, our scheme can work well in unstable edge computing environments such as smart healthcare.  © 2022 IEEE.</t>
  </si>
  <si>
    <t>R0464</t>
  </si>
  <si>
    <t>The Role of Wildlife and Climate Change in the Emergence of One Health-Related Viral Diseases in Australia</t>
  </si>
  <si>
    <t>Ali MW; Hosen ME; Rahaman MM; Kinobe R; Jelocnik M; Sarker S</t>
  </si>
  <si>
    <t>Found in: PubMed · DOI: 10.3390/v18091001 · PMID: 42797833</t>
  </si>
  <si>
    <t>Wildlife-origin viral diseases are an increasing One Health challenge in Australia, with climate change emerging as a key driver of disease emergence, transmission, and spillover. Australian wildlife, particularly marsupials, birds, and bats, serve as important reservoirs of zoonotic and vector-borne viruses. However, the combined influence of wildlife reservoirs and climate change on viral disease ecology in Australia has not been comprehensively synthesised. This review examines the epidemiology, significance, and climate sensitivity of wildlife-associated viral diseases and evaluates how climate change and variability affect reservoir host ecology, vector biology, viral persistence, and host-pathogen-vector interactions. Thirteen major wildlife-associated viruses of One Health importance were identified, with transmission predominantly involving wildlife reservoirs and mosquito vectors. Temperature and rainfall were the principal climatic drivers influencing the transmission of Ross River virus (RRV), Barmah Forest virus (BFV), Murray Valley encephalitis virus (MVEV), Japanese encephalitis virus (JEV), West Nile virus/Kunjin virus (WNV/KUNV), and avian influenza A virus (AIV). For most mosquito-borne viruses (MBVs), temperature exhibited a non-linear relationship with transmission, while above-average rainfall generally increased outbreak risk by promoting mosquito abundance, habitat availability, and reservoir host activity. Significant knowledge gaps remain in wildlife virome surveillance, climate-disease pathways, and integrated One Health surveillance. Strengthening climate-informed surveillance that integrates wildlife, vectors, genomics, epidemiology, and predictive modelling will improve outbreak preparedness and reduce the risk of viral emergence and spillover in Australia.</t>
  </si>
  <si>
    <t>R0465</t>
  </si>
  <si>
    <t>Design of intelligent segmentation and benign and malignant analysis system for pulmonary nodules by integrating multimodal images and clinical data</t>
  </si>
  <si>
    <t>Wang, X.; Ma, J.</t>
  </si>
  <si>
    <t>Found in: Scopus; IEEE · DOI: 10.1109/ICSECE65727.2025.11256905</t>
  </si>
  <si>
    <t>Aiming at the limited accuracy of single modality analysis methods and the need for data privacy protection in the early diagnosis of pulmonary nodules, this study designed an intelligent segmentation and benign and malignant analysis system that integrates multimodal images and clinical data. Methodologically, a segmentation model based on an improved 3D U-Net is proposed, which combines homomorphic encryption and a federated learning framework to complete data processing and model collaborative training in a distributed environment. Experiments were carried out using the LIDC-IDRI dataset, and the system outperformed traditional methods in key indicators such as Dice coefficient, IoU, and AUC. Ablation experiments further verified the important role of multimodal fusion and enhancement modules in performance improvement. The research results show that the proposed system not only has good segmentation and classification performance, but also can effectively protect patient data privacy, providing a feasible reference for intelligent screening of pulmonary nodules and clinical decision-making assistance. © 2025 IEEE.</t>
  </si>
  <si>
    <t>R0466</t>
  </si>
  <si>
    <t>Enhancing Healthcare Cybersecurity: A Novel Homomorphic Encryption Framework for Cloud-Based Medical Records</t>
  </si>
  <si>
    <t>Ganesh, V.D.; Ali, L.; Nandhini, T.J.; Ghwanmeh, S.; Johri, P.; Mahfuri, M.</t>
  </si>
  <si>
    <t>Found in: Scopus; IEEE · DOI: 10.1109/ICCR67387.2025.11292100</t>
  </si>
  <si>
    <t>In the modern age of digital healthcare, the confidentiality of the patients' information stored in cloud services is an increasing problem. Earlier methods used for the encryption of data did not provide sufficient privacy while allowing certain manipulations. In this context, this paper presents a new effective solution using homomorphic encryption (HE), a revolutionary method for improving the cybersecurity of cloud-based medical records. Homomorphic encryption can be used in computing on ciphertext to avoid unauthorized access to patients' records while carrying out computations in a cloud environment. Using algorithms such as Parlier and BFV of Brakerski, Fan, and Vaikuntanathan, data within the database can be stored, retrieved, and analyzed securely without decryption. Encrypting the data on the client side before uploading it to the cloud makes it difficult for unauthorized persons to have access to the raw data since they can only unlock it using their passcode. It also allows security querying, which empowers healthcare practitioners to analyze the information and make predictive models from the records without revealing the patient's privacy. Also, it provides data security measures for record authentication and control using digital signatures, as well as access control. It also preserves the security issue and the flexibility and speed characteristics of modern healthcare organizations. In conclusion, this framework is a significant step forward in ensuring that healthcare information security in the cloud is afforded without compromising convenience to legitimate users.  © 2025 IEEE.</t>
  </si>
  <si>
    <t>R0467</t>
  </si>
  <si>
    <t>Next-Gen Document Management in Healthcare: OCR and Blockchain for Enhanced Security Data Repository</t>
  </si>
  <si>
    <t>Elavarasi, R.; Senthil, G.A.; Geerthik, S.; Prashanth, B.; Nethaji, M.</t>
  </si>
  <si>
    <t>Found in: Scopus; IEEE · DOI: 10.1109/ICCDS64403.2025.11209601</t>
  </si>
  <si>
    <t>In the medical context, proper and secure document handling is paramount to protect sensitive patient data while ensuring accessibility and integrity. This paper presents an OCR-capable secure data storage facility for an Intelligent Document Management System (IDMS) that utilizes Blockchain for immutable storage, Homomorphic Encryption for protecting confidentiality, and Federated Learning for intelligent access control. Optical Character Recognition (OCR) is used to scan and recover text from medical histories, prescriptions, and free-text notes, making it easy to integrate with the database. Blockchain technology provides safe storage of documents through the use of a decentralized ledger that prevents any unauthorized modifications. To enhance security, Elliptic Curve Cryptography (ECC) and Interplanetary File System (IPFS) are paired for secure document storage and retrieval, ensuring scalability and reduced overhead. Also, OCR deep learning models such as Tesseract 5.0 with added Transformer capabilities are employed to improve text recognition accuracy. The proposed system enhances the protection, integrity, and compatibility of the data while providing smooth document access across healthcare networks. Experimental results demonstrate a 95% accuracy in text extraction using OCR and a 30% reduction in retrieval latency compared to traditional document management systems. This approach provides a robust, Al-driven, blockchain-based document management system for modern-day healthcare environments. © 2025 IEEE.</t>
  </si>
  <si>
    <t>R0468</t>
  </si>
  <si>
    <t>Homomorphic activation and argmax via bootstrapping and applications in privacy-preserving neural networks</t>
  </si>
  <si>
    <t>Zhang, P.; Lu, H.; Ding, T.</t>
  </si>
  <si>
    <t>Found in: Scopus · DOI: 10.1016/j.neucom.2025.130862</t>
  </si>
  <si>
    <t>Privacy-preserving neural networks (PPNN) aim to provide inference as a service without breaching users’ privacy, which have many potential applications in the smart healthcare field. One promising technology to realize PPNN is fully homomorphic encryption (FHE), which supports homomorphic operations over the encrypted data. However, FHE-enabled PPNN is facing two major challenges. First, most FHE schemes only support arithmetic operations, but not non-linear operations (e.g., ReLU, Argmax). Second, most FHE-based PPNN schemes avoid using bootstrapping for the sake of efficiency, which, however, significantly limits the depth of neural networks. In order to execute non-linear operations over the encrypted data and extend them to neural networks with arbitrary depth, we adopt a bit-wise fully homomorphic encryption scheme (i.e. TFHE with bootstrapping), so that we are able to realize non-linear homomorphic activation functions and argmax directly. First, based on the gate bootstrapping and programmable bootstrapping in TFHE, Full-Domain Programmable Bootstrapping(FD_PBS) is realized, which provides a framework for computing arbitrary linear and non-linear functions in bootstrapping. Next, non-linear homomorphic activation functions are achieved by designing the corresponding test polynomial in FD_PBS, and non-linear homomorphic argmax function is advanced by homomorphic comparison using gate bootstrapping. Last, based on homomorphic activation and argmax, privacy-preserving neural networks with arbitrary depth are proposed, which yield high efficiency by performing activation during bootstrapping instead of running an extra activation layer. Experiments show that we can homomorphically evaluate non-linear activation and argmax directly; homomorphic activation enables the inference accuracy over the ciphertext to be close to that over the plaintext; and homomorphic argmax improves inference time by returning only the class with the largest predicted probability rather than all classes and their probabilities to the user. © 2025</t>
  </si>
  <si>
    <t>R0469</t>
  </si>
  <si>
    <t>Explainable Federated Stacking Models with Encrypted Gradients for Secure Kidney Medical Imaging Diagnosis</t>
  </si>
  <si>
    <t>Tanim, S.A.; Aurnob, A.R.; Islam, M.R.; Miah, M.S.U.; Rahman, M.M.; Mahmud, M.</t>
  </si>
  <si>
    <t>Found in: Scopus · DOI: 10.1007/978-981-96-6576-1_8</t>
  </si>
  <si>
    <t>In the field of medical data analysis, both privacy retention and model interpretability are of utmost importance. This paper focuses on the vulnerability of kidney medical image analysis through Federated Learning (FL) with privacy-preserving measures and explainable artificial intelligence (XAI). We introduce a new set of proposals termed Federated Stacking Fusion with Encryption (FedStackEncFL), which integrates the predictive capabilities of ResNet-101 and InceptionV3 architectures through a stacking fusion technique. This approach also guarantees the quality and reliability of the features extracted while preserving the federated data’s privacy by encrypting it through Cheon-Kim-Kim-Song (CKKS) during Federated Averaging (FedAvg). Moreover, to optimize privacy, during the computation, the method of adding Gaussian gradient noise is used. The efficiency of the developed technique is proven by the complex experimental data proving the efficiency of the humanitarian approach to enhance indicators of model precision, recall, F1-score, and accuracy in Kidney disease diagnosis. Furthermore, the integration of XAI techniques like GradCAM, GradCAM++, and ScoreCAM provides insightful visual explanations, enhancing the interpretability of our model’s predictions in medical diagnostics. © The Author(s), under exclusive license to Springer Nature Singapore Pte Ltd. 2025.</t>
  </si>
  <si>
    <t>R0470</t>
  </si>
  <si>
    <t>Federated Meta-Learning Algorithm for Cross-Enterprise Collaborative Business Intelligence Without Data Sharing</t>
  </si>
  <si>
    <t>Murali, S.; Neppolian, K.; Chithra, R.; Kumar, S.; Abduvakhitov, B.; Kinjaev, K.</t>
  </si>
  <si>
    <t>Found in: Scopus · DOI: 10.51483/ijaiml.6.2s.2026.240-248</t>
  </si>
  <si>
    <t>Introduce FedMeta-BI – a Federated Meta-Learning Framework where multiple competing companies collaborate to train Business Intelligence (BI) models without exposing any proprietary raw data. In our approach, FedMeta-BI integrates Model Agnostic Meta-Learning (MAML) with a secure federated optimisation algorithm utilising differentially private stochastic gradient descent (DP-SGD, ε = 1.0) and selective homomorphic encryption (HE) for gradient aggregation. Our method uses a cross-enterprise knowledge graph to incorporate structural priors across multiple domains for better few-shot adaptation and transferability to new enterprise settings. Evaluate FedMeta-BI on five anonymised enterprise datasets drawn from Finance,, Healthcare, Logistics, and Manufacturing domains having more than 20 million entries in total. In our experimental setup, achieve a Macro-F1 of 0.891, outperforming FedAvg by 8.5%, MAML by 13.7% and local training by 25.2%. In our differentially-private setup with strict DP guarantees (ε=1.0), obtain an accuracy drop of just 2.3% compared to non-private version. The membership inference attack AUC drops to 0.512, which is no better than random chance. Communication costs reduced by 56% compared to FedAvg while maintaining similar model performance. © 2026, SvedbergOpen. All rights reserved.</t>
  </si>
  <si>
    <t>R0471</t>
  </si>
  <si>
    <t>Towards practical and privacy-preserving CNN inference service for cloud-based medical imaging analysis: A homomorphic encryption-based approach</t>
  </si>
  <si>
    <t>Bai, Y.; Zhao, H.; Shi, X.; Chen, L.</t>
  </si>
  <si>
    <t>Found in: Scopus; PubMed · DOI: 10.1016/j.cmpb.2025.108599 · PMID: 39874935</t>
  </si>
  <si>
    <t>Background and Objective: Cloud-based Deep Learning as a Service (DLaaS) has transformed biomedicine by enabling healthcare systems to harness the power of deep learning for biomedical data analysis. However, privacy concerns emerge when sensitive user data must be transmitted to untrusted cloud servers. Existing privacy-preserving solutions are hindered by significant latency issues, stemming from the computational complexity of inner product operations in convolutional layers and the high communication costs of evaluating nonlinear activation functions. These limitations make current solutions impractical for real-world applications. Methods: In this paper, we address the challenges in mobile cloud-based medical imaging analysis, where users aim to classify private body-related radiological images using a Convolutional Neural Network (CNN) model hosted on a cloud server while ensuring data privacy for both parties. We propose PPCNN, a practical and privacy-preserving framework for CNN Inference. It introduces a novel mixed protocol that combines a low-expansion homomorphic encryption scheme with the noise-based masking method. Our framework is designed based on three key ideas: (1) optimizing computation costs by shifting unnecessary and expensive homomorphic multiplication operations to the offline phase, (2) introducing a coefficient-aware packing method to enable efficient homomorphic operations during the linear layer of the CNN, and (3) employing data masking techniques for nonlinear operations of the CNN to reduce communication costs. Results: We implemented PPCNN and evaluated its performance on three real-world radiological image datasets. Experimental results show that PPCNN outperforms state-of-the-art methods in mobile cloud scenarios, achieving superior response times and lower usage costs. Conclusions: This study introduces an efficient and privacy-preserving framework for cloud-based medical imaging analysis, marking a significant step towards practical, secure, and trustworthy AI-driven healthcare solutions. © 2025</t>
  </si>
  <si>
    <t>R0472</t>
  </si>
  <si>
    <t>Doing real work with FHE: The case of logistic regression</t>
  </si>
  <si>
    <t>Crawford, J.L.H.; Gentry, C.; Halevi, S.; Platt, D.; Shoup, V.</t>
  </si>
  <si>
    <t>Found in: Scopus · DOI: 10.1145/3267973.3267974</t>
  </si>
  <si>
    <t>We describe our recent experience, building a system that uses fully-homomorphic encryption (FHE) to approximate the coefficients of a logistic-regression model, built from genomic data. The aim of this project was to examine the feasibility of a solution that operates "deep within the bootstrapping regime," solving a problem that appears too hard to be addressed just with somewhat-homomorphic encryption. As part of this project, we implemented optimized versions of many bread and butter FHE tools. These tools include binary arithmetic, comparisons, partial sorting, and low-precision approximation of arbitrary functions (used for reciprocals, logarithms, etc.). Our solution can handle thousands of records and hundreds of fields, and it takes a few hours to run. To achieve this performance we had to be extremely frugal with expensive bootstrapping and data-movement operations. We believe that our experience in this project could serve as a guide for what is or is not currently feasible to do with fully-homomorphic encryption. © 2018 Association for Computing Machinery.</t>
  </si>
  <si>
    <t>R0473</t>
  </si>
  <si>
    <t>Predictive value of dynamic cerebral autoregulation assessment in surgical management of patients with high-grade carotid artery stenosis</t>
  </si>
  <si>
    <t>Semenyutin, V.B.; Asaturyan, G.A.; Nikiforova, A.A.; Aliev, V.A.; Panuntsev, G.K.; Iblyaminov, V.B.; Savello, A.V.; Patzak, A.</t>
  </si>
  <si>
    <t>Found in: Scopus; PubMed · DOI: 10.3389/fphys.2017.00872 · PMID: 29163214</t>
  </si>
  <si>
    <t>Dynamic cerebral autoregulation (DCA) capacity along with the degree of internal carotid artery (ICA) stenosis and characteristics of the plaque can also play an important role in selection of appropriate treatment strategy. This study aims to classify the patients with severe ICA stenosis according to preoperative state of DCA and to assess its dynamics after surgery. Thirty-five patients with severe ICA stenosis having different clinical type of disease underwent reconstructive surgery. DCA was assessed with transfer function analysis (TFA) by calculating phase shift (PS) between Mayer waves of blood flow velocity (BFV) and blood pressure (BP) before and after operation. In 18 cases, regardless of clinical type, preoperative PS on ipsilateral side was within the normal range and did not change considerably after surgery. In other 17 cases preoperative PS was reliably lower both in patients with symptomatic and asymptomatic stenosis. Surgical reconstruction led to restoration of impaired DCA evidenced by significant increase of PS in postoperative period. Our data suggest that regardless clinical type of disease various state of DCA may be present in patients with severe ICA stenosis. This finding can contribute to establishing the optimal treatment strategy, and first of all for asymptomatic patients. Patients with compromised DCA should be considered as ones with higher risk of stroke and first candidates for reconstructive surgery. © 2017 Semenyutin, Asaturyan, Nikiforova, Aliev, Panuntsev, Iblyaminov, Savello and Patzak.</t>
  </si>
  <si>
    <t>R0474</t>
  </si>
  <si>
    <t>A Novel Homomorphic Encryption and Consortium Blockchain-Based Hybrid Deep Learning Model for Industrial Internet of Medical Things</t>
  </si>
  <si>
    <t>Ali, A.; Pasha, M.F.; Guerrieri, A.; Guzzo, A.; Sun, X.; Saeed, A.; Hussain, A.; Fortino, G.</t>
  </si>
  <si>
    <t>Found in: Scopus; IEEE · DOI: 10.1109/TNSE.2023.3285070</t>
  </si>
  <si>
    <t>Securing Electronic Medical Records (EMRs) is one of the most critical applications of cryptography over the Internet due to the value and importance of data contained in such EMRs. Although blockchain-based healthcare systems can provide security, privacy, and immutability to EMRs, several outstanding security and latency issues are associated with existing schemes. For example, some researchers have used the blockchain as a storage tool which increases delay and adversely affects the blockchain performance since it stores a copy of each transaction. A distributed ledger also requires appropriate space and computational power with increased data size. In addition, existing healthcare-based approaches usually rely on centralized servers connected to clouds, which are vulnerable to denial of service (DoS), distributed DoS (DDoS), and collusion attacks. This paper proposes a novel hybrid-deep learning-based homomorphic encryption (HE) model for the Industrial Internet of Medical Things (IIoMT) to cope with such challenges using a consortium blockchain. Integrating HE with the proposed IIoMT system is a vital contribution of this work. The use of HE while outsourcing to the cloud the storage provides a unique facility to perform any statistical and machine learning operation on the encrypted EMR data, hence providing resistance to collusion and phishing attacks. Our proposed model uses a pre-trained hybrid deep learning model in the cloud and deploys the trained model into blockchain-based edge devices in order to classify and train local models using EMRs. This is further conditioned on the private data of each edge and IoT device connected with the consortium blockchain. All local models obtained are aggregated to the cloud to update a global model, which is finally disseminated to the edge nodes. Our proposed approach provides more privacy and security than conventional models and can deliver high efficiency and low end-to-end latency for users. Comparative simulation analysis with state-of-the-art approaches is carried out using benchmark performance metrics, which show that our proposed model provides enhanced security, efficiency, and transparency. © 2013 IEEE.</t>
  </si>
  <si>
    <t>R0475</t>
  </si>
  <si>
    <t>Secure Healthcare Predictions via Homomorphic Encryption: A Privacy-Centric Framework</t>
  </si>
  <si>
    <t>Bhavsar, A.K.; Mathur, J.N.; Patil, A.S.; Lilhare, S.G.; Khadke, A.H.; Borate, V.</t>
  </si>
  <si>
    <t>Found in: Scopus; IEEE · DOI: 10.1109/ICBDS67396.2025.11377403</t>
  </si>
  <si>
    <t>Providing privacy for data in healthcare analytics is a major challenge, especially when handling sensitive patient data. This paper introduces a privacy-preserving machine-learning framework utilizing Cheonimim Song (CKKS) Homomorphic Encryption to provide secure computation on encrypted medical data without divulging plaintext values. The proposed approach employs logistic regression to predict potential health risks with end-to-end encryption throughout the whole process. For additional protection of data in transit, a second level of Advanced Encryption Standard - Galois/Counter Mode (AES- GCM) encryption is applied. The experimental outputs demonstrate that the accuracy of the encrypted model is the same as the accuracy of the non-encrypted one, which confirms that homomorphic encryption may allow to do secure machine learning without significant performance degradation. Homomorphic encryption may increase the computation load, though; batch encoding and cipher text packing make it more efficient. These findings lead to the possibility of machine learning in encrypted medicine, and more research can be done to create safe medical AI systems.  © 2025 IEEE.</t>
  </si>
  <si>
    <t>R0476</t>
  </si>
  <si>
    <t>Confidential AI Using Homomorphic Encryption-Based Deep Learning for Secure Data Analytics</t>
  </si>
  <si>
    <t>Roy, J.; Sheeba, G.; Rao, S.G.; Mishra, A.; Abbas, H.M.; Al-Dulaimi, H.W.; Alhayaly, A.A.</t>
  </si>
  <si>
    <t>Found in: Scopus; IEEE · DOI: 10.1109/ICCR67387.2025.11292510</t>
  </si>
  <si>
    <t>Particularly in handling sensitive data, the growing dependence on artificial intelligence (AI) for data analytics poses serious security problems. Conventional encryption methods hinder safe AI adoption by difficulty balancing privacy with computational efficiency. This paper presents a Confidential AI framework enabling privacy-preserving data analytics by merging homomorphic encryption (HE) with deep learning. To guarantee end-to- end confidentiality, the suggested method lets encrypted data be handled straight without decryption. We create a new homomorphic encrypted deep neural network (HEDNN) minimising latency and computational overhead by optimising encrypted computations. Experimental assessments show that, on encrypted datasets, our framework achieves 85% inference accuracy while preserving a 30% decrease in processing overhead over current HE-based AI systems.These results display how feasible safe AI-driven analytics are without sacrificing performance or accuracy. Where information privateness is important, the suggested paradigm unearths tremendous makes use of in cybersecurity, banking, and healthcare. By advancing secure synthetic intelligence techniques, our paintings helps to create dependable AI systems that hold statistics confidentiality in sensible settings.  © 2025 IEEE.</t>
  </si>
  <si>
    <t>R0477</t>
  </si>
  <si>
    <t>[Front cover]</t>
  </si>
  <si>
    <t>Found in: IEEE · DOI: 10.1109/CIST.2016.7804841</t>
  </si>
  <si>
    <t>The following topics are dealt with: enterprise architecture; E-learning; finance management system; ontology; SME; drug supply; inventory management; lean-maintenance; hospital logistics; FLOSS ERP system; UTAUT2; SEM; R; vertical handover; MIH architecture; intelligence E-CRM; ITIL framework; data quality; data warehouse security; good governance monitoring; TestNG tests; UML sequence diagrams; Scrum process; health data management system; Hadoop-Agent; data mining; RIA interfaces; XML technology; Web applications; social networks; spanning tree; PSO algorithm; MDA; CIM; PIM; SoaML; IFML; supply chain demand forecasts; game theory; business process verification; intrusion detection; stateful pattern matching; neural network; big incremental dynamic case-based reasoning-multi-agents system; BIDCBR-MAS; cloud computing; EA readiness instrument; reverse engineering; Web mining; information system security risk management; object oriented programs; partitioning filter; memetic hunting search algorithm; traveling salesman problem; SYSML language; KPI; project portfolio management information systems; information entropy; PPMIS; XBRL; GUI; Java source code analysis; crowdsourcing; critical infrastructures; CCSD; TOPSIS; AprioriMin; stock market price prediction; HP filter; association rules; k-means algorithm; automatic keyphrase extraction; distributed test architecture; dictionary Al-Qamus; text summarization; sign language; community question answering; distributional semantics; feature extraction; sentiment analysis; information retrieval; Lahajat; rule-based converter; data hiding; image cropping; LSB steganography; bag of features model; sampling theory; 3D segmentation algorithms; DSWT; DCT; GPU; adaptive learning system; Bayesian network; ALS_CORR[LP]; virtual labs; intelligent tutoring systems; MOOC; metadata; recommender system; smart curriculum sequencing; software engineering learning; IDE 2.0; Moodle; university of the future; dynamic programming; traffic signal control system; PHM as a service; mobile cloud; honeypots; genetic algorithm; QFN electronic package; response surface approach; EST.Stemmer; cloud database; homomorphic encryption; interoperability; IDS-AM-Clust; O&amp;M cost simulation; fluid-structure interaction problems; spectrum allocation; cognitive radio system; vehicle path planning problem; tube hydroforming; liquidity; wind turbine blade; air-flow; identity management systems; harmony search algorithm; SCOR model; ARIS; embedded system; Pennes bioheat equation; max-cut problem; min-conflict heuristic; AHP method; Tr-OrBAC model; Q-learning; smart cities; extended Kalman filter; evolutionary machine learning; indoor localization; particle map matching; activity recognition; back-propagation algorithm; 4th generation heterogeneous wireless network; vehicular navigation spoofing detection; 2-D DOA estimation; MUSIC algorithm; uniform circular array; smart grid; residential microgrid; signaling DoS attacks; 3G mobile networks; safety instrumented system; routing process; VANET; intelligent transportation systems; wireless sensor networks; FPGA; pipelined AES S-box; disaster emergency system; alert message dissemination protocol; LEACH protocol; metacognitive learning management system; and self-regulated learning.</t>
  </si>
  <si>
    <t>R0478</t>
  </si>
  <si>
    <t>Brachial-ankle pulse wave velocity as a risk factor for high body fat mediated by blood pressure</t>
  </si>
  <si>
    <t>Wang, P.; Liao, G.; Wu, X.; Yu, R.; Ma, J.</t>
  </si>
  <si>
    <t>Found in: Scopus; PubMed · DOI: 10.1080/10641963.2023.2197568 · PMID: 37013932</t>
  </si>
  <si>
    <t>Background: Brachial-ankle pulse wave velocity (baPWV) is an important clinical indicator of aortic stiffness and a risk predictor of cardiovascular disease and associated with obesity. However, whether body mass index (BMI) is associated with baPWV remains controversial. In our study, body fat-related indicators, including BMI, body fat rate (BFR), body fat volume (BFV), waist circumference (WC) were examined from healthy volunteers. We investigated the correlation of baPWV with these indicators and also assessed whether baPWV has the potential to predict these indicators. Methods: A total of 429 healthy participants were enrolled in this study. Body fat indices, blood pressures, baPWV and blood metabolic indices were measured and recorded. The association of baPWV and indices reflecting body fat and blood pressure, as well as mediation effect were analyzed. Results: Three different types of baPWV values were significantly correlated. Mean level of baPWV was an independent risk factor for WC, BMI, BFR, and BFV (exp(β) = 1.011, 1.004, 1.010 and 1.009, respectively, P &lt;.001 for all) but not BMR. As for mediation effects, baPWV positively influenced WC (Total effect = 0.011, P &lt;.001), BMI (Total effect = 0.004, P &lt;.001) and BFV (Total effect = 0.009, P &lt;.001) in indirect way mediated by SBP and DBP, while baPWV influenced BFR in both direct (Effect = 0.004, P =.018) and indirect way. Conclusions: Levels of baPWV correlated with obesity and is an independent risk factor for WC, BMI, BFR and BFV. Besides, baPWV positively associated with WC, BMI and BFV mainly in indirect way mediated by SBP and DBP, and baPWV associated with BFR in both direct and indirect way. © 2023 The Author(s). Published with license by Taylor &amp; Francis Group, LLC.</t>
  </si>
  <si>
    <t>R0479</t>
  </si>
  <si>
    <t>MFSA: Migration flamingo search algorithm based trust aware multi-party data sharing in blockchain using hierarchical homomorphic encryption</t>
  </si>
  <si>
    <t>Lakshmi, T.S.; Jayamangala, H.</t>
  </si>
  <si>
    <t>Found in: Scopus · DOI: 10.1177/18724981251317969</t>
  </si>
  <si>
    <t>With the exponential growth of network technology, data sharing becomes more popular and various scholars have carried out comprehensive researches for promoting its development. Multi-party data sharing generally involves multiple participants to access and share data in a trustless environment. To gain the trust of users, it is significant to provide security guarantees that protect user's privacy and obstruct unauthorized access. Therefore, it is essential to guarantee the integrity, confidentiality and trustability of sensitive data and to overcome the risks associated with malicious attacks and unauthorized access. To bridge this gap, this research introduces Migration Flamingo Search Algorithm (MFSA) for multi-party data sharing in the blockchain using hierarchical homomorphic encryption. Initially, data owner (DO) submits a file to cloud through the smart contract (SC). Thereafter, encryption of data files is done employing Hierarchical Multipart Homomorphic Encryption (HMHE). Here, Hierarchical Squeeze Forward Fractional Net (HiSqFFNet) is employed to generate hierarchical key. HiSqFFNet is introduced by combining of Hierarchical Deep Learning Neural Network (HiDeNN) with SqueezeNet. After encryption, an encrypted data is stored in Interplanetary File Systems (IPFS). Then, access request is sent by a data requester (DR) for accessing an encrypted data. The trust manager evaluates trustability of DR and the process is accomplished using MFSA that is presented by incorporating Migration Algorithm (MA) with Flamingo Search Algorithm (FSA). If the trust is acceptable, data from IPFS is decrypted and then, file is delivered to DR. The proposed MFSA is assessed with different evaluation metrics and the evaluation is done using heart disease dataset. Additionally, MFSA has obtained minimal decryption time of 10.548sec, encryption time of 7.978sec, key complexity of 0.727, time complexity of 0.455sec for 100 kb data size with key size = 64. © The Author(s) 2025</t>
  </si>
  <si>
    <t>R0480</t>
  </si>
  <si>
    <t>Preserving Privacy in Healthcare Analytics: Federated Learning for Breast Cancer Prediction in a Collaborative Learning Framework</t>
  </si>
  <si>
    <t>Anuvarshini, G.B.; Varshaa, D.; Sujithra, M.; Devi, D.S.</t>
  </si>
  <si>
    <t>Federated learning has emerged as a promising technique in machine learning, enabling collaborative training across distributed datasets. Particularly in fields like healthcare, where data privacy is paramount, federated learning offers a means to improve privacy and security. This paper addresses the critical need for safeguarding sensitive medical data by proposing a privacy-preserving federated learning algorithm. Leveraging homomorphic encryption, the proposed algorithm ensures that the learning process protects both data and model integrity. By employing a secure multi-party computation protocol, the algorithm defends against potential adversaries seeking to compromise the deep learning model. Evaluation on real-world medical datasets demonstrates the effectiveness of the approach in preserving privacy and security amidst collaborative learning environments. © Grenze Scientific Society, 2024.</t>
  </si>
  <si>
    <t>R0481</t>
  </si>
  <si>
    <t>Reliability of State-of-Health of the Flexible Li-Ion Batteries Under Various Flexing Conditions and Calendar Aging</t>
  </si>
  <si>
    <t>Lall, P.; Jang, H.</t>
  </si>
  <si>
    <t>Found in: Scopus · DOI: 10.1115/1.4056412</t>
  </si>
  <si>
    <t>Due to the necessity for flexibility without compromising the Li-ion battery (LIB) state of health (SOH), LIB is a critical challenge for flexible hybrid electronic (FHE) devices. A thin form factor-based LIB with a thickness of less than 1 mm is regarded as the candidate material to suit such demands since it can be folded, bent, and twisted with minimal performance loss. Furthermore, LIB has high specific power (W/Kg) and specific energy (Wh/Kg), as well as a smaller memory effect, making it more appealing for wearable applications. While much research has been done on the chemo-physical effects of repeated charging and discharging LIB, such as solid electrolyte interphase (SEI) development, material deterioration, and so on, but such impacts owing to repeated flexure LIB have not been much studied. The deterioration of the reliability of thin-flexible power sources was investigated in this work under twist, flexing, and flex-to-install to simulate stresses of daily motions of the human body by utilizing motion-control setups in a lab setting. Furthermore, an AI-based regression model has been developed to forecast the SOH of the battery based on many variables such as physical, atmospheric, and chemo-mechanical experimental circumstances that may be difficult to address by manpower. Based on the various variables and their interactions, the generated models are expected to be used to predict battery life and assess the acceleration factors between test circumstances and usage conditions for a range of test scenarios. © 2023 by ASME.</t>
  </si>
  <si>
    <t>R0482</t>
  </si>
  <si>
    <t>Towards Practical Secure Privacy-Preserving Machine (Deep) Learning with Distributed Data</t>
  </si>
  <si>
    <t>Kumar, M.; Moser, B.; Fischer, L.; Freudenthaler, B.</t>
  </si>
  <si>
    <t>Found in: Scopus · DOI: 10.1007/978-3-031-14343-4_6</t>
  </si>
  <si>
    <t>A methodology for practical secure privacy-preserving distributed machine (deep) learning is proposed via addressing the core issues of fully homomorphic encryption, differential privacy, and scalable fast machine learning. Considering that private data is distributed and the training data may contain directly or indirectly an information about private data, an architecture and a methodology are suggested for 1.mitigating the impracticality issue of fully homomorphic encryption (arising from large computational overhead) via very fast gate-by-gate bootstrapping and introducing a learning scheme that requires homomorphic computation of only efficient-to-evaluate functions;2.addressing the privacy-accuracy tradeoff issue of differential privacy via optimizing the noise adding mechanism;3.defining an information theoretic measure of privacy-leakage for the design and analysis of privacy-preserving schemes; and4.addressing the optimal model size determination issue and computationally fast training issue of scalable and fast machine (deep) learning with an alternative approach based on variational learning. A biomedical application example is provided to demonstrate the application potential of the proposed methodology. © 2022, The Author(s), under exclusive license to Springer Nature Switzerland AG.</t>
  </si>
  <si>
    <t>R0483</t>
  </si>
  <si>
    <t>Privacy-Aware Hierarchical Federated Learning in Healthcare: Integrating Differential Privacy and Secure Multi-Party Computation</t>
  </si>
  <si>
    <t>Singh, J.P.; Aqsa, A.; Ghani, I.; Sonani, R.; Govindarajan, V.</t>
  </si>
  <si>
    <t>Found in: Scopus · DOI: 10.3390/fi17080345</t>
  </si>
  <si>
    <t>The development of big data analytics in healthcare has created a demand for privacy-conscious and scalable machine learning algorithms that can allow the use of patient information across different healthcare organizations. In this study, the difficulties that come with traditional federated learning frameworks in healthcare sectors, such as scalability, computational effectiveness, and preserving patient privacy for numerous healthcare systems, are discussed. In this work, a new conceptual model known as Hierarchical Federated Learning (HFL) for large, integrated healthcare organizations that include several institutions is proposed. The first level of aggregation forms regional centers where local updates are first collected and then sent to the second level of aggregation to form the global update, thus reducing the message-passing traffic and improving the scalability of the HFL architecture. Furthermore, the HFL framework leveraged more robust privacy characteristics such as Local Differential Privacy (LDP), Gaussian Differential Privacy (GDP), Secure Multi-Party Computation (SMPC) and Homomorphic Encryption (HE). In addition, a Novel Aggregated Gradient Perturbation Mechanism is presented to alleviate noise in model updates and maintain privacy and utility. The performance of the proposed HFL framework is evaluated on real-life healthcare datasets and an artificial dataset created using Generative Adversarial Networks (GANs), showing that the proposed HFL framework is better than other methods. Our approach provided an accuracy of around 97% and 30% less privacy leakage compared to the existing models of FLBM-IoT and PPFLB. The proposed HFL approach can help to find the optimal balance between privacy and model performance, which is crucial for healthcare applications and scalable and secure solutions. © 2025 by the authors.</t>
  </si>
  <si>
    <t>R0484</t>
  </si>
  <si>
    <t>Blockchain-Based Secure and Efficient Federated Learning Scheme for IoMT Consumer Electronics Devices</t>
  </si>
  <si>
    <t>Xue, Y.; Zhai, Y.; Qiao, Y.; Zhang, D.; Ghoneim, A.</t>
  </si>
  <si>
    <t>Found in: Scopus · DOI: 10.1109/TCE.2026.3696410</t>
  </si>
  <si>
    <t>The Internet of Medical Things consumer electronics (IoMT-CE) devices integrated with deep learning (DL) model have achieved remarkable success in the medical field, which provides intelligent diagnostic assistance. However, as DL technologies evolve rapidly, a key challenge lies in how to continuously enhance the intelligent assisted diagnostic capabilities of IoMT-CE devices. Federated learning (FL), an effective distributed learning framework, holds great potential to address this issue. In this article, we propose a novel secure and efficient FL scheme for IoMT-CE devices based on consortium blockchain. In this scheme, all participating hospitals, the aggregation server (AS), and the noise parameter server (NPS) establish a consortium blockchain, where hash values and signature data are stored. Paillier homomorphic encryption (HE) and noise mechanisms are employed to protect patient privacy, while an elliptic curve cryptography-based proxy re-encryption (ECC-PRE) strategy is adopted to ensure model security between the AS and IoMT-CE devices. Furthermore, this scheme guarantees that model updates are applied correctly, even when local models cannot be uploaded to hospitals. Finally, the performance of our proposed scheme is verified. The results demonstrate that the encryption mechanisms have almost no impact on model accuracy, and the proposed scheme proves to be robust and fault-tolerant in cases of disconnection. © 1975-2011 IEEE.</t>
  </si>
  <si>
    <t>R0485</t>
  </si>
  <si>
    <t>Privacy-Preserving Computing Scheme for Ciphertext Neural Network Training Based on Homomorphic Encryption</t>
  </si>
  <si>
    <t>Yang, S.; Li, X.; Zhang, J.</t>
  </si>
  <si>
    <t>Found in: Scopus · DOI: 10.1145/3673277.3673303</t>
  </si>
  <si>
    <t>With the rapid development of artificial intelligence, privacy protection of AI is critical for prediction and training on sensitive data. A novel scheme is presented for privacy-preserving neural network training based on homomorphic encryption. As neural network is trained in ciphertext, the nonlinear activation function has to be polynomial approximated for computation with arithmetic operations. A new method is proposed to the nonlinear activation function approximation using a generalized Lagrange interpolation formula for derivatives. By selecting proper interpolation points, the general forms of the mainstream activation functions are derived. The proposed scheme is evaluated using a sensitive medical dataset, demonstrating its practicality in speed and computational complexity. Experimental results show that this scheme effectively addresses the polynomial approximation problem of the activation function in ciphertext neural network training. It maintains the computability of ciphertext data while ensuring data privacy, improves the accuracy of ciphertext training, and reduces the mean square error. Meanwhile, the feasibility of training deeper ciphertext deep neural networks is verified. This scheme provides practical support for mainstream learning models, such as logistic regression and multi-layer neural networks. © 2024 Copyright held by the owner/author(s).</t>
  </si>
  <si>
    <t>R0486</t>
  </si>
  <si>
    <t>Efficient Data Transfer in Internet of Things (IoT) Networks: Privacy-Preserving Techniques for Edge-Cloud Collaborative Computing in Resource-Limited Settings</t>
  </si>
  <si>
    <t>Sivaraman, K.; Kottur, S.; Rekha, M.; Shobana, D.; Karthikeyan, G.; Mohandoss, S.</t>
  </si>
  <si>
    <t>Found in: Scopus; IEEE · DOI: 10.1109/ICSFT66733.2026.11506847</t>
  </si>
  <si>
    <t>It has never been seen before that opportunities for data-driven automation, monitoring, and intelligent decision-making have evolved as a result of the rapid proliferation of ecosystems that are connected to the Internet of Things (IoT). The adoption of the Internet of Things can be difficult in settings where resources are restricted, such as rural areas, low-power industrial installations, and remote sensor networks. This is because of obstacles such as limits on bandwidth and computation capacity, as well as issues around privacy. An investigation into data-transfer protocols that are specifically geared to ensure the privacy of users in edge-cloud collaboration systems is the objective of this study. Application development for the Internet of Things that is scalable and adheres to the principles of data security, dependable connectivity, and resource efficiency is the goal of this project. The hybrid computing architecture is utilized in the research project in order to reduce the quantity of data that is collected at the edge as a result of Internet of Things sensors. This is done prior to the transmission of the raw data to the cloud for further analysis. Differential privacy, homomorphic encryption, secure multi-party computation, and federated learning are all examples of techniques that can maintain the usefulness of the information that is extracted while simultaneously protecting sensitive material. These measures lower the danger of unauthorized access and data loss, especially in limited environments with poor security. The proposed method was tested using simulated IoT networks. Poor bandwidth, unpredictable connectivity, and varied device capabilities plagued these networks. We assessed latency, energy, data reduction, prediction accuracy, and privacy. Edge-based preprocessing, adaptive compression, and encrypted feature extraction cut transmission load by 60% without compromising accuracy. Privacy-enhanced approaches were hard to eavesdrop, guess, and analyze metadata. The collaborative architecture makes the system more scalable and less cloud-dependent, allowing data processing virtually in real time even with poor networks. This study emphasises privacy-preserving and resource-efficient communication in modern IoT systems. Collaborative edge-cloud computing and strengthened data transfer protocols are used to build strong IoT infrastructures in resource-constrained contexts. The findings enable safe, rapid, and easy IoT ecosystem growth for smart agriculture, remote healthcare, and smart transportation systems. © 2026 IEEE.</t>
  </si>
  <si>
    <t>R0487</t>
  </si>
  <si>
    <t>Privacy-Preserving Coalesced Learning: Techniques, Challenges, and Future Directions</t>
  </si>
  <si>
    <t>Dinesh Kumar, J.; Bansal, N.; Sethi, A.</t>
  </si>
  <si>
    <t>Found in: Scopus; IEEE · DOI: 10.1109/ICAC2N63387.2024.10895551</t>
  </si>
  <si>
    <t>Privacy-Preserving Coalesced Learning (PPCL) exist a distributed method to machine learning that allows various plans or administrations to collaboratively order models deficiency allocation raw source, shielding separable privacy. Unlike old-style centralized methodologies, PPCL uses methods like protected collections, other concealment, and homomorphic encryption en route for stopping subtle source leakage. Secure aggregation syndicates separate idea updates securely, discrepancy privacy vaccinates noise to avoid model re-identification, and homomorphic encryption allows encrypted calculations. Despite its assurance, PPCL faces several tests. Communication above from recurrent informs can be heavy, scalability problems arise as contributor number grows, and combative outbreaks may deed system susceptibilities. Additionally, device and data heterogeneity present hurdles to attaining steady truthfulness and impartiality. Future research in PPCL aims to address these tests by improving scalability, enhancing communication, and improving security. These progressions could enlarge PPCL's application to privacy-sensitive areas like healthcare and finance, supporting secure, decentralized data-driven inventions. © 2024 IEEE.</t>
  </si>
  <si>
    <t>R0488</t>
  </si>
  <si>
    <t>Retina-Mesh: A Reconfigurable Silicon-Immunity Architecture for Federated Vision</t>
  </si>
  <si>
    <t>Xinyi, L.; Zhongtao, C.; Hongze, Q.; Yunzhou, J.; Yanli, Y.</t>
  </si>
  <si>
    <t>Found in: Scopus; IEEE · DOI: 10.1109/ACCESS.2026.3705226</t>
  </si>
  <si>
    <t>Federated learning (FL) enables collaborative model training across hospitals without sharing patient data, yet model updates remain vulnerable to privacy attacks that can reconstruct sensitive medical images. This paper introduces Retina-Mesh, a hardware-software co-designed architecture that enforces patient privacy at the silicon level. Our key insight is that by executing all privacy-critical computations - feature extraction, attention modeling, and feature fusion - directly on reconfigurable FPGA hardware, we eliminate the software-side attack surfaces exploited by membership inference and model inversion attacks. The architecture operates in three stages: (1) a local objectness detector identifies diagnostically important regions without exposing raw images; (2) a secure attention mechanism collaboratively models radiologist gaze patterns across institutions under homomorphic encryption; and (3) an on-chip hypergraph module fuses high-order anatomical features entirely within the FPGA's secure boundary. Differential privacy with strict guarantees (ϵ =0.5, δ =10-5 ) is enforced at the aggregation stage. Evaluated on 12,000 CT scans across 10 simulated hospitals, Retina-Mesh reduces membership inference attack accuracy to near-random levels (52.3%) and increases model inversion error by 8.6×, while preserving 93.5% of diagnostically critical regions at 24.1 ms latency and 19.5 W power consumption. These results demonstrate that hardware-enforced privacy can meet the simultaneous demands of security, diagnostic accuracy, and real-time clinical performance.  © 2013 IEEE.</t>
  </si>
  <si>
    <t>R0489</t>
  </si>
  <si>
    <t>PRIVACY-PRESERVING CLOUD DATA MINING USING HOMOMORPHIC ENCRYPTION-BASED LOGISTIC REGRESSION</t>
  </si>
  <si>
    <t>SINGH, A.; ALPHY, A.</t>
  </si>
  <si>
    <t>Because scalable, secure machine learning in untrusted cloud environments is critical today, existing privacypreserving approaches—such as anonymization and differential privacy—often compromise model utility, and prior homomorphic encryption (HE) solutions for logistic regression suffer from high computational overhead, partial encryption, or poor scalability. To address these limitations, we propose a fully homomorphic encryption (FHE)-based logistic regression framework that ensures end-to-end data confidentiality without decryption and supports fully encrypted training and inference. We evaluate our approach on the UCI Heart Disease dataset, achieving 84.2% classification accuracy, with less than 2% degradation compared to plaintext models, while substantially reducing computational overhead relative to recent HE-based techniques. Our analysis explores privacy-accuracy-computation trade-offs and demonstrates a practical and efficient balance between these competing objectives. These results indicate that FHE-enabled logistic regression can deliver high accuracy in privacy-sensitive domains such as healthcare without prohibitive performance costs. This framework paves the way for broader adoption of secure, privacy-preserving machine learning on cloud platforms, offering a dependable solution for organizations seeking to analyse sensitive data securely. © Little Lion Scientific</t>
  </si>
  <si>
    <t>R0490</t>
  </si>
  <si>
    <t>ATHLETE HEALTH DATA MANAGEMENT FROM THE PERSPECTIVE OF PRIVACY PROTECTION</t>
  </si>
  <si>
    <t>Shaochen, Z.; Jiaxing, Y.</t>
  </si>
  <si>
    <t>Found in: Scopus · DOI: 10.15366/rimcafd2025.100.003</t>
  </si>
  <si>
    <t>In response to the problems of insufficient privacy protection and model performance in traditional athlete health data analysis models, this paper explored distributed model training methods based on the framework of federated learning. The paper first divided athlete data into time segmentation, body index segmentation, sports item segmentation, and environmental condition segmentation, and used transport layer security protocols and homomorphic encryption to protect data computation. When training the local model, a lightweight decision tree was selected for training; the dynamic weighted learning was used to aggregate the model; finally, differential privacy technology was applied to protect data privacy by adding Gaussian noise, and some optimization methods were used to improve model performance. In the third experiment of model performance, the precision of the model in this paper reached 98.45%. This indicated that the model had extremely high accuracy and reliability in classification and regression tasks. In the speedup ratio experiment, when the synchronization interval was 50 and the number of clients was 200, the speedup ratio of the model in this paper was 4.01, reflecting that the model can effectively improve training efficiency with the participation of multiple clients. In the privacy leakage risk test, the success rate of the model in this paper was the lowest under attack, at 1.5%, 2.3%, and 1.4%, respectively. Finally, in the model loss test, the model in this paper experienced the fastest decline in the initial stage, with a final convergence value of 0.3, which was the smallest among the tested models. The data showed that the model studied in this paper had good performance and privacy protection ability. © 2025, Universidad Autonoma de Madrid y CV Ciencias del Deporte. All rights reserved.</t>
  </si>
  <si>
    <t>R0491</t>
  </si>
  <si>
    <t>A Secure Alignment Algorithm for Mapping Short Reads to Human Genome</t>
  </si>
  <si>
    <t>Zhao, Y.; Wang, X.; Tang, H.</t>
  </si>
  <si>
    <t>Found in: Scopus; PubMed · DOI: 10.1089/cmb.2017.0094 · PMID: 29741956</t>
  </si>
  <si>
    <t>The elastic and inexpensive computing resources such as clouds have been recognized as a useful solution to analyzing massive human genomic data (e.g., acquired by using next-generation sequencers) in biomedical researches. However, outsourcing human genome computation to public or commercial clouds was hindered due to privacy concerns: even a small number of human genome sequences contain sufficient information for identifying the donor of the genomic data. This issue cannot be directly addressed by existing security and cryptographic techniques (such as homomorphic encryption), because they are too heavyweight to carry out practical genome computation tasks on massive data. In this article, we present a secure algorithm to accomplish the read mapping, one of the most basic tasks in human genomic data analysis based on a hybrid cloud computing model. Comparing with the existing approaches, our algorithm delegates most computation to the public cloud, while only performing encryption and decryption on the private cloud, and thus makes the maximum use of the computing resource of the public cloud. Furthermore, our algorithm reports similar results as the nonsecure read mapping algorithms, including the alignment between reads and the reference genome, which can be directly used in the downstream analysis such as the inference of genomic variations. We implemented the algorithm in C++ and Python on a hybrid cloud system, in which the public cloud uses an Apache Spark system. © 2018, Mary Ann Liebert, Inc.</t>
  </si>
  <si>
    <t>R0492</t>
  </si>
  <si>
    <t>Research on Intelligent Prediction Model of Big Data Mining and Cloud Computing Based on Deep Learning</t>
  </si>
  <si>
    <t>Zou, Y.; Zhu, K.</t>
  </si>
  <si>
    <t>Found in: Scopus; IEEE · DOI: 10.1049/icp.2025.3141</t>
  </si>
  <si>
    <t>With the explosive growth of data volume, how to efficiently mine and utilize the value in massive data has become a key issue. This paper proposes an intelligent prediction model of big data mining and cloud computing based on deep learning, aiming at improving prediction accuracy and efficiency, ensuring data security and optimizing resource allocation. On the data level, the hybrid cloud storage architecture combined with Apache Arrow memory data format conversion module is adopted to realize the fusion and efficient preprocessing of multi-source heterogeneous data. Distributed feature engineering uses Spark MLlib to build a parallel pipeline and integrate data enhancement technologies such as SMOTE and MixUp. At the model level, a hybrid framework of Transformer-CNN is designed, which integrates the attention-gating mechanism, and realizes lightweight deployment through neural architecture search and knowledge distillation. In terms of privacy protection, we combine vertical federated learning and differential privacy technology, and use Paillier homomorphic encryption to ensure the security of multi-party cooperation. On the resource scheduling level, an elastic resource scheduling algorithm is designed based on deep reinforcement learning, and dynamic resource management is realized by combining Kubernetes and Istio. The experimental results show that the model performs well in financial risk control, medical imaging and traffic prediction scenarios, with AUC-ROC value of 0.951, reasoning delay of only 9.8ms, significantly shortened training time, greatly improved resource utilization and remarkable privacy protection effect. This research provides an efficient and safe solution for the wide application of artificial intelligence technology in many fields. © The Institution of Engineering &amp; Technology 2025.</t>
  </si>
  <si>
    <t>R0493</t>
  </si>
  <si>
    <t>Personalized and privacy-preserving federated heterogeneous medical image analysis with PPPML-HMI</t>
  </si>
  <si>
    <t>Zhou, J.; Zhou, L.; Wang, D.; Xu, X.; Li, H.; Chu, Y.; Han, W.; Gao, X.</t>
  </si>
  <si>
    <t>Found in: Scopus; PubMed · DOI: 10.1016/j.compbiomed.2023.107861 · PMID: 38141449</t>
  </si>
  <si>
    <t>Heterogeneous data is endemic due to the use of diverse models and settings of devices by hospitals in the field of medical imaging. However, there are few open-source frameworks for federated heterogeneous medical image analysis with personalization and privacy protection without the demand to modify the existing model structures or to share any private data. Here, we proposed PPPML-HMI, a novel open-source learning paradigm for personalized and privacy-preserving federated heterogeneous medical image analysis. To our best knowledge, personalization and privacy protection were discussed simultaneously for the first time under the federated scenario by integrating the PerFedAvg algorithm and designing the novel cyclic secure aggregation with the homomorphic encryption algorithm. To show the utility of PPPML-HMI, we applied it to a simulated classification task namely the classification of healthy people and patients from the RAD-ChestCT Dataset, and one real-world segmentation task namely the segmentation of lung infections from COVID-19 CT scans. Meanwhile, we applied the improved deep leakage from gradients to simulate adversarial attacks and showed the strong privacy-preserving capability of PPPML-HMI. By applying PPPML-HMI to both tasks with different neural networks, a varied number of users, and sample sizes, we demonstrated the strong generalizability of PPPML-HMI in privacy-preserving federated learning on heterogeneous medical images. © 2023 Elsevier Ltd</t>
  </si>
  <si>
    <t>R0494</t>
  </si>
  <si>
    <t>LinGCN: Structural Linearized Graph Convolutional Network for Homomorphically Encrypted Inference</t>
  </si>
  <si>
    <t>Peng, H.; Ran, R.; Luo, Y.; Zhao, J.; Huang, S.; Thorat, K.; Geng, T.; Wang, C.; Xu, X.; Wen, W.; Ding, C.</t>
  </si>
  <si>
    <t>The growth of Graph Convolution Network (GCN) model sizes has revolutionized numerous applications, surpassing human performance in areas such as personal healthcare and financial systems. The deployment of GCNs in the cloud raises privacy concerns due to potential adversarial attacks on client data. To address security concerns, Privacy-Preserving Machine Learning (PPML) using Homomorphic Encryption (HE) secures sensitive client data. However, it introduces substantial computational overhead in practical applications. To tackle those challenges, we present LinGCN, a framework designed to reduce multiplication depth and optimize the performance of HE based GCN inference. LinGCN is structured around three key elements: (1) A differentiable structural linearization algorithm, complemented by a parameterized discrete indicator function, co-trained with model weights to meet the optimization goal. This strategy promotes fine-grained node-level non-linear location selection, resulting in a model with minimized multiplication depth. (2) A compact node-wise polynomial replacement policy with a second-order trainable activation function, steered towards superior convergence by a two-level distillation approach from an all-ReLU based teacher model. (3) an enhanced HE solution that enables finer-grained operator fusion for node-wise activation functions, further reducing multiplication level consumption in HE-based inference. Our experiments on the NTU-XVIEW skeleton joint dataset reveal that LinGCN excels in latency, accuracy, and scalability for homomorphically encrypted inference, outperforming solutions such as CryptoGCN. Remarkably, LinGCN achieves a 14.2× latency speedup relative to CryptoGCN, while preserving an inference accuracy of ~75% and notably reducing multiplication depth. Additionally, LinGCN proves scalable for larger models, delivering a substantial 85.78% accuracy with 6371s latency, a 10.47% accuracy improvement over CryptoGCN. The codes are shared on Github. © 2023 Neural information processing systems foundation. All rights reserved.</t>
  </si>
  <si>
    <t>R0495</t>
  </si>
  <si>
    <t>Research on medical data security sharing scheme based on homomorphic encryption</t>
  </si>
  <si>
    <t>Guo, L.; Gao, W.; Cao, Y.; Lai, X.</t>
  </si>
  <si>
    <t>Found in: Scopus; PubMed · DOI: 10.3934/mbe.2023106 · PMID: 36899533</t>
  </si>
  <si>
    <t>With the deep integration of “AI + medicine”, AI-assisted technology has been of great help to human beings in the medical field, especially in the area of predicting and diagnosing diseases based on big data, because it is faster and more accurate. However, concerns about data security seriously hinder data sharing among medical institutions. To fully exploit the value of medical data and realize data collaborative sharing, we developed a medical data security sharing scheme based on the C/S communication mode and constructed a federated learning architecture that uses homomorphic encryption technology to protect training parameters. Here, we chose the Paillier algorithm to realize the additive homomorphism to protect the training parameters. Clients do not need to share local data, but only upload the trained model parameters to the server. In the process of training, a distributed parameter update mechanism is introduced. The server is mainly responsible for issuing training commands and weights, aggregating the local model parameters from the clients and predicting the joint diagnostic results. The client mainly uses the stochastic gradient descent algorithm for gradient trimming, updating and transmitting the trained model parameters back to the server. In order to test the performance of this scheme, a series of experiments was conducted. From the simulation results, we can know that the model prediction accuracy is related to the global training rounds, learning rate, batch size, privacy budget parameters etc. The results show that this scheme realizes data sharing while protecting data privacy, completes the accurate prediction of diseases and has a good performance. © 2023 the Author(s)</t>
  </si>
  <si>
    <t>R0496</t>
  </si>
  <si>
    <t>Optimizing Security and Scalability in Machine Learning for Cloud-Based Healthcare Systems</t>
  </si>
  <si>
    <t>Chunawala, H.; Chunawala, P.; Gautam, P.; Yadav, L.N.; Dhaygude, A.D.; Swarnkar, S.K.; Baghel, A.S.</t>
  </si>
  <si>
    <t>Found in: Scopus · DOI: 10.1007/978-981-96-6254-8_8</t>
  </si>
  <si>
    <t>Cloud-based healthcare systems offer significant advantages in scalability and flexibility, yet integrating machine learning (ML) into these systems introduces critical challenges, particularly concerning data confidentiality. Unauthorized access to sensitive medical information can lead to privacy breaches and other severe consequences. This paper presents an optimized framework focusing on advanced encryption methods to address this critical issue. In particular, we suggest using homomorphic encryption, which enables processing of data without decryption, preserving confidentiality throughout computation. By reviewing current methodologies and identifying potential vulnerabilities, we demonstrate that homomorphic encryption effectively ensures data security while enabling scalable ML applications. Our evaluation shows that this solution mitigates confidentiality risks and supports efficient data processing, paving the way for more secure and scalable ML implementations in cloud-based healthcare systems. © The Author(s), under exclusive license to Springer Nature Singapore Pte Ltd. 2025.</t>
  </si>
  <si>
    <t>R0497</t>
  </si>
  <si>
    <t>Theoretical developments and clinical experiments of measuring blood flow volume (BFV) at arteriovenous fistula (AVF) using a photoplethysmography (PPG) sensor</t>
  </si>
  <si>
    <t>Chiang, P.-Y.; Chao, P.C.-P.; Yang, C.-Y.; Tarng, D.-C.</t>
  </si>
  <si>
    <t>Found in: Scopus · DOI: 10.1007/s00542-018-3892-4</t>
  </si>
  <si>
    <t>A new theoretical developments of measuring blood flow volume at arteriovenous fistula (AVF) using a photoplethysmography (PPG) sensor is presented in this work. The mathematical equation is derived under the practical perspective, aiming at applying to small-size, portable, inexpensive and easy-to-use PPG sensor, in order to replace bulky, expensive Doppler machines which is the commonly used instruments for accessing AVF noninvasively nowadays. Furthermore, a new, portable and wireless PPG sensor with ambient light compensation and motion artifact detection, is designed for performing clinical validation of the proposed equation. After neural network calibration with the gold standard, dilution concentration sensor, the experiment result reveals that the PPG sensors implementing the proposed equation successfully achieve much higher correlation (R2 = 0.8064) and much lower error (RMSE = 171.68 ml/min, MAPE = 15.84%) compared to the commercial Doppler machine and other previous works. © 2018, Springer-Verlag GmbH Germany, part of Springer Nature.</t>
  </si>
  <si>
    <t>R0498</t>
  </si>
  <si>
    <t>Federated Learning Approach for Secured Medical Recommendation in Internet of Medical Things Using Homomorphic Encryption</t>
  </si>
  <si>
    <t>Mantey, E.A.; Zhou, C.; Anajemba, J.H.; Arthur, J.K.; Hamid, Y.; Chowhan, A.; Otuu, O.O.</t>
  </si>
  <si>
    <t>Found in: Scopus; PubMed · DOI: 10.1109/JBHI.2024.3350232 · PMID: 38190666</t>
  </si>
  <si>
    <t>The concept of Federated Learning (FL) is a distributed-based machine learning (ML) approach that trains its model using edge devices. Its focus is on maintaining privacy by transmitting gradient updates along with users' learning parameters to the global server in the process of training as well as preserving the integrity of data on the user-end of internet of medical things (IoMT) devices. Instead of a direct use of user data, the training which is performed on the global server is done on the parameters while the model modification is performed locally on IoMT devices. But the major drawback of this federated learning approach is its inability to preserve user privacy complete thereby resulting in gradients leakage. Thus, this study first presents a summary of the process of learning and further proposes a new approach for federated medical recommender system which employs the use of homomorphic cryptography to ensure a more privacy-preservation of user gradients during recommendations. The experimental results indicate an insignificant decrease with respect to the metrics of accuracy, however, a greater percentage of user-privacy is achieved. Further analysis also shows that performing computations on encrypted gradients at the global server scarcely has any impact on the output of the recommendation while guaranteeing a supplementary secure channel for transmitting user-based gradients back and forth the global server. The result of this analysis indicates that the performance of federated stochastic modification minimized gradient (FSMMG) algorithm is greatly increased at every given increase in the number of users and a good convergence is achieved as well. Also, experiments indicate that when compared against other existing techniques, the proposed FSMMG outperforms at 98.3% encryption accuracy.  © 2013 IEEE.</t>
  </si>
  <si>
    <t>R0499</t>
  </si>
  <si>
    <t>Privacy Preserving Machine Learning: Secure Training and Deployment of Models on Sensitive Data</t>
  </si>
  <si>
    <t>Ganesh, N.; Kumar Reddy, M.T.; Gnana Selvi, G.S.</t>
  </si>
  <si>
    <t>Found in: Scopus; IEEE · DOI: 10.1109/ICICCS65191.2025.10984800</t>
  </si>
  <si>
    <t>Privacy-Preserving Machine Learning (PPML) is essential for securing sensitive data during model training and deployment. This paper proposes an integrated framework combining Federated Learning (FL), Differential Privacy (DP), Secure Multi-Party Computation (SMPC), and Homomorphic Encryption (HE) to enhance data privacy while maintaining model utility. FL enables decentralized training without data sharing, DP ensures individual data anonymity, SMPC facilitates collaborative learning without exposing private data, and HE allows computations on encrypted data. We analyze the computational complexity, privacy guarantees, and model effectiveness through empirical evaluation. Results demonstrate that FL and DP achieve an optimal balance of privacy and accuracy, while HE ensures maximum security at a higher computational cost. Privacy audits confirm strong resilience against membership inference and model inversion attacks. The study also highlights practical limitations and trade-offs, offering insights into scalable and efficient deployment of PPML techniques in healthcare, finance, and IoT applications.  © 2025 IEEE.</t>
  </si>
  <si>
    <t>R0500</t>
  </si>
  <si>
    <t>Personalized Medical Approach in Gastrointestinal Surgical Oncology: Current Trends and Future Perspectives</t>
  </si>
  <si>
    <t>Kim DH</t>
  </si>
  <si>
    <t>Found in: PubMed · DOI: 10.3390/jpm15050175 · PMID: 40423047</t>
  </si>
  <si>
    <t>Advances in artificial intelligence (AI), multi-omic profiling, and sophisticated imaging technologies have significantly advanced personalized medicine in gastrointestinal surgical oncology. These technological innovations enable precise patient stratification, tailored surgical strategies, and individualized therapeutic approaches, thereby significantly enhancing clinical outcomes. Despite remarkable progress, challenges persist, including the standardization and integration of diverse data types, ethical concerns regarding patient privacy, and rigorous clinical validation of predictive models. Addressing these challenges requires establishing international standards for data interoperability, such as Fast Healthcare Interoperability Resources, and adopting advanced security methods, such as homomorphic encryption, to facilitate secure multi-institutional data sharing. Moreover, ensuring model transparency and explainability through techniques such as explainable AI is critical for fostering trust among clinicians and patients. The successful integration of these advanced technologies necessitates strong multidisciplinary collaboration among surgeons, radiologists, geneticists, pathologists, and oncologists. Ultimately, the continued development and effective implementation of these personalized medical strategies complemented by human expertise promise a transformative shift toward patient-centered care, improving long-term outcomes for patients with gastrointestinal cancer.</t>
  </si>
  <si>
    <t>R0501</t>
  </si>
  <si>
    <t>Federated Learning With Deep Learning: A Comprehensive Survey</t>
  </si>
  <si>
    <t>Mnkash, S.H.; Alawy, F.A.; Ali, I.T.</t>
  </si>
  <si>
    <t>Found in: Scopus · DOI: 10.33103/2617-3352.1524</t>
  </si>
  <si>
    <t>Federated Learning (FL) introduces a decentralized machine learning paradigm where model training occurs directly on user devices, ensuring data privacy by keeping sensitive information local. This approach ensures data privacy and security by keeping all sensitive or personally identifiable information local to the device, thereby eliminating the need to transfer or centralize raw data. In this survey, we examine federated deep learning — its challenges, recent developments, application domains, privacy preservation strategies, and future trends. We will give some primitive reference papers of the heterogeneity of statistics and systems, communication cost, fairness, and trust. Applications in health, Internet of Things (IoT), Natural Language Processing (NLP), computer vision, and finance will be discussed. Modern approaches to enhancing privacy – differential privacy, secure aggregation, or homomorphic encryption – will be outlined. Finally, we talk about open problems and future directions for scalability, lifelong learning, and large foundation models. This paper helps researchers and professionals to set out the domain of the federated learning. © 2026, University of Technology - Iraq. All rights reserved.</t>
  </si>
  <si>
    <t>R0502</t>
  </si>
  <si>
    <t>Exploring the Preprocessing of a Time-Series Healthcare Administrative Dataset on Deep Learning to Improve Prediction</t>
  </si>
  <si>
    <t>Found in: Scopus; IEEE · DOI: 10.1109/ACCESS.2024.3520425</t>
  </si>
  <si>
    <t>Preprocessing methods are important in enhancing prediction performance for time-series administrative data. This study underscores the importance of preprocessing methods by comparing two data representation techniques, that can be used with sliding window techniques for time-series administrative healthcare data, for use with gated recurrent unit (GRU) networks. The first method uses a sequence event representation and the second employs a sequence matrix representation. The evaluation was conducted through a retrospective administrative healthcare data case study to predict multiple outcomes. The target outcomes were cases where a person's First Healthcare Encounter indicated they were experiencing Homelessness (FHE-H) or involved Police (FHE-P), as recorded in the healthcare data. Results reveal that the GRU combined with sequence matrix representation and sliding window outperformed the sequence of events with the sliding window by over 20% in the area under the curve (AUC) and sensitivity for both outcomes. Given the data used in this analysis, sequence matrix representation was superior to sequence event representation while using GRU models. The results remained consistent across the evaluation in real-world clinical frameworks using two trigger methods for prediction time, such as the sliding window and clinical demand window structures. © 2013 IEEE.</t>
  </si>
  <si>
    <t>R0503</t>
  </si>
  <si>
    <t>Uterine artery flow velocity waveform, arterial flow indices, follicular dynamics, and sex hormones during preovulatory period in synchronized ovulatory cycle of Bos indicus beef cows</t>
  </si>
  <si>
    <t>Moonmanee, T.; Navanukraw, C.; Yama, P.; Jitjumnong, J.</t>
  </si>
  <si>
    <t>Found in: Scopus · DOI: 10.1016/j.repbio.2018.01.008</t>
  </si>
  <si>
    <t>A greater understanding of the uterine artery's (UtA) biology is essential to the increase in female reproductive abilities. The UtA flow velocity waveform, blood flow volume (BFV), pulsatility and resistance indices (PI and RI), blood flow velocities, dynamics of the dominant follicle (DF), and estradiol (E2) and progesterone (P4) levels in an induced ovulatory cycle were evaluated in Thai native cattle. Twenty cows were induced with synchronized ovulation through a P4-releasing device, from Day −9 to Day −4, concurrent with the administration of two doses of a gonadotropin-releasing hormone on Day −9 and Day −1, and two doses of prostaglandin F2α on Day −4 and 8 h later. Day 0 was designated as the day of ovulation. The cows underwent Doppler sonographic determination and blood collection from Day −4 to Day 0. The cows were classified in the non-ovulating (n = 5) and ovulating groups (n = 15). The ovulating cows presented higher BFV values, blood flow velocities, DF growth rates, and E2 levels; yet lower PI values and P4 concentrations, than those of the non-ovulating cows. The BFV values and the blood flow velocities were greater, but the RI and PI values were lower in the ovulatory side UtA than in the contraovulatory side UtA. The BFV values were positively correlated with blood flow velocities, DF growth rates and E2 concentrations in the ovulating cows; confirming the importance of UtA blood flow, follicular growth, and E2-vasodilation during preovulatory phase in the induced ovulatory cycle of Bos indicus beef cows. © 2018 Society for Biology of Reproduction &amp; the Institute of Animal Reproduction and Food Research of Polish Academy of Sciences in Olsztyn</t>
  </si>
  <si>
    <t>R0504</t>
  </si>
  <si>
    <t>Outsourced privacy-preserving decision tree classification service over encrypted data</t>
  </si>
  <si>
    <t>Wang, C.; Wang, A.; Xu, J.; Wang, Q.; Zhou, F.</t>
  </si>
  <si>
    <t>Found in: Scopus · DOI: 10.1016/j.jisa.2020.102517</t>
  </si>
  <si>
    <t>The classification is one of the important machine learning technologies, which plays an important role in the fields of medical treatment, image processing, and cyberspace security. In recent years, the popularity of cloud computing has caused many data owners to seek outsourced storage computing, which has become a new trend in the development of classification. Although it can be used in several research areas, such as medical and financial, this paradigm introduces new security and privacy problems. In response to the ciphertext classification requirements in different scenarios in outsourcing environments, this paper proposed an outsourced privacy-preserving decision tree classification model based on homomorphic encryption, which can hide sensitive inputs (model and query) and outputs (analytic result) from a counterparty. A secure exclusive OR (XOR) protocol is created; it intelligently computes the XOR of two bit-encrypted data to obtain another bit-encrypted result. The experimental results show that the proposed protocols are particularly efficient for outsourced decision trees, which are encrypted and stored in the cloud. These decision trees are typical of classification models trained from real datasets, ranging from heart disease to cancer classification. © 2020</t>
  </si>
  <si>
    <t>R0505</t>
  </si>
  <si>
    <t>Privacy Preserving Services for Intelligent Transportation Systems with Homomorphic Encryption</t>
  </si>
  <si>
    <t>Boudguiga, A.; Stan, O.; Fazzat, A.; Labiod, H.; Clet, P.-E.</t>
  </si>
  <si>
    <t>Found in: Scopus · DOI: 10.5220/0010349706840693</t>
  </si>
  <si>
    <t>With the advent of intelligent transportation systems, vehicles will connect continuously to the Internet via the vehicular core network or the cellular network. Opening vehicles systems to the Internet aims at improving vehicles safety and comfort via the development of remote services for drivers assistance. Such services are for example infotainment applications, software update over the air, remote diagnostics and adaptive insurance. However, some of these services come with an inherent problem of privacy as they require as inputs the private data from the vehicles. In this work, we investigate the use of homomorphic encryption for ensuring the confidentiality of vehicles private data. We study the confidentiality of data, which are treated by external service providers such as cars manufacturers, their stakeholders and insurances. Our protocol ensures, by design, the private treatment of vehicles data thanks to homomorphic encryption properties. We validate our proposal by studying drivers behaviour using a simple neural network that takes as input drivers pictures and tells whether a driver is concentrated or distracted. Indeed, we rely on a 3 layers network for classifying drivers behavior in 10 different classes from normal to dangerous. We use a quadratic activation function for intermediate layers which contain 20 and 10 units, respectively. Meanwhile, we use a sigmoid activation function for the last layer which contains 10 units, one per label. Our classification takes 11 seconds with a classification accuracy of 86% and 25 seconds with a classification accuracy of 92%. © 2021 by SCITEPRESS – Science and Technology Publications, Lda. All rights reserved.</t>
  </si>
  <si>
    <t>R0506</t>
  </si>
  <si>
    <t>Privacy-Preserving Breast Density Classification in Mammograms Using Fuzzy C-Means and Homomorphic Encryption</t>
  </si>
  <si>
    <t>Mongkolluksamee, S.; Khonthapagdee, S.</t>
  </si>
  <si>
    <t>Found in: Scopus; IEEE · DOI: 10.1109/KST65016.2025.11003367</t>
  </si>
  <si>
    <t>Breast density is a significant risk factor for breast cancer, making its accurate assessment crucial for personalized screening strategies and improved patient outcomes. This study presents a privacy-preserving automated method for breast density classification using craniocaudal (CC) view mammograms from the VinDr-Mammo dataset. The approach combines Fuzzy C-Means clustering for tissue segmentation and morphological and texture feature extraction. Random Forest and XGBoost classifiers were trained on these features, achieving an accuracy of approximately 82 %. To address privacy concerns associated with sensitive medical data, the study employs Fully Homomorphic Encryption (FHE) via the Concrete-ml library. This allows encrypted models to perform secure computations directly on encrypted data, ensuring data privacy without sacrificing classification performance. Results demonstrate that privacy-preserving classifiers achieve accuracy comparable to traditional models, underscoring the feasibility of applying secure machine learning in clinical workflows. A practical workflow is also proposed to enable collaborative use between centralized hospitals and resource-limited health centers.  © 2025 IEEE.</t>
  </si>
  <si>
    <t>R0507</t>
  </si>
  <si>
    <t>Blockchain-orchestrated machine learning for privacy preserving federated learning in electronic health data</t>
  </si>
  <si>
    <t>Passerat-Palmbach, J.; Farnan, T.; McCoy, M.; Harris, J.D.; Manion, S.T.; Flannery, H.L.; Gleim, B.</t>
  </si>
  <si>
    <t>Found in: Scopus; IEEE · DOI: 10.1109/Blockchain50366.2020.00080</t>
  </si>
  <si>
    <t>Machine learning and blockchain technology have been explored for potential applications in medicine with only modest success to date. Focus has shifted to exploring the intersection of these technologies along with other privacy preserving encryption techniques for better utility. This combination applied to federated learning, which allows remote execution of function and analysis without the need to move highly regulated personal health information, seems to be the key to successful applications of these technologies to rapidly advance evidence-based medicine. We give a brief history of these technologies in medicine, outlining some of the challenges with successful use. We then explore a more detailed combination of usage with an emphasis on decentralizing or federating the learning process along with auditability and incentivization blockchain can allow in the machine learning process. Based on the cost-benefit analysis of previous efforts, we provide the framework for an advanced blockchain-orchestrated machine learning system for privacy preserving federated learning in medicine and a new utility in health. Six critical elements for this approach in the future will be:(a) Data and analytic processes discoverable on secure public blockchain while retaining privacy of the data and analytic processes(b) Value fabricated by generating data/compute matches that were previously illegal, unethical and infeasible(c) Compute guarantees provided by federated learning and advanced cryptography(d) Privacy guarantees provided by software (e.g., Homomorphic Encryption, Secure Multi-Party Computation,...) and hardware (e.g., Intel SGX and AMD SEV-SNP) cryptography(e) Data quality incentivized via tokenized reputation-based rewards(f) Discarding of poor data accomplished via model poisoning attack prevention techniques  © 2020 IEEE.</t>
  </si>
  <si>
    <t>R0508</t>
  </si>
  <si>
    <t>KmerCrypt: private k-mer search with homomorphic encryption</t>
  </si>
  <si>
    <t>Provatas, K.; Mouratidis, I.; Georgakopoulos-Soares, I.</t>
  </si>
  <si>
    <t>Found in: Scopus; PubMed · DOI: 10.1093/bib/bbaf648 · PMID: 41359546</t>
  </si>
  <si>
    <t>Outsourcing the storage and analysis of genomic data to third-party servers is often necessary due to the scale of modern datasets, but it introduces significant privacy challenges that must be addressed to ensure secure handling. K-mer-based analyses offer broad applications across genomics research, clinical diagnostics, pathogen surveillance, and metagenomic classification, though implementation requires careful ethical and technical considerations, particularly when processing human genomic data in clinical settings. We present a novel protocol utilizing homomorphic encryption that enables a client to store a fully encrypted version of a genome on an untrusted server and perform private k-mer searches. The protocol ensures the server never gains access to the client’s non-encrypted genome sequence, nor does it learn the content of any k-mer query. After a one-time client-side encryption of the genome, the server performs all computations on ciphertext, returning only encrypted results that can be decrypted solely by the data owner. This framework transforms an honest but curious cloud server into a secure storage and computation system, enabling practical and confidential querying of encrypted, client-owned genomic data. The system supports exact k-mer searches on genomic data, as well as position weight matrix searches. Finally, we provide KmerCrypt, a private k-mer search toolkit that implements this protocol, offering researchers an efficient and secure solution for querying encrypted genomic datasets without compromising privacy. © The Author(s) 2025. Published by Oxford University Press.</t>
  </si>
  <si>
    <t>R0509</t>
  </si>
  <si>
    <t>Development of Privacy-preserving Deep Learning Model with Homomorphic Encryption: A Technical Feasibility Study in Kidney CT Imaging</t>
  </si>
  <si>
    <t>Lee, S.-W.; Choi, J.; Park, M.-J.; Kim, H.; Eo, S.-H.; Lee, G.; Kim, S.; Suh, J.</t>
  </si>
  <si>
    <t>Found in: Scopus; PubMed · DOI: 10.1148/ryai.240798 · PMID: 40862694</t>
  </si>
  <si>
    <t>Purpose: To evaluate the technical feasibility of implementing homomorphic encryption in deep learning models for privacy-preserving CT image analysis of kidney masses. Materials and Methods: A privacy-preserving deep learning system was developed through three sequential technical phases: a reference convolutional neural network (CNN) model (Ref-CNN) based on ResNet architecture, modification for encryption compatibility (Approx-CNN) by replacing rectified linear unit with polynomial approximation and max-pooling with average-pooling, and implementation of fully homomorphic encryption (HE-CNN). The Cheon-Kim-Kim-Song encryption scheme was used for its capability to perform arithmetic operations on encrypted real numbers. Using 12 446 CT images from a public dataset (3709 images of renal cysts, 5077 images of normal kidneys, and 2283 images of kidney tumors), authors evaluated model performance using area under the receiver operating characteristic curve (AUC) and area under the precision-recall curve (AUPRC). Results: All models demonstrated high diagnostic accuracy, with AUC ranging from 0.89 to 0.99 and AUPRC from 0.67 to 0.99. The diagnostic performance trade-off was minimal from Ref-CNN to Approx-CNN (AUC, 0.99–0.97 for normal category), with no evidence of differences between models. However, encryption substantially increased storage and computational demands: A 256 × 256–pixel image expanded from 65 KB to 32 MB, requiring 50 minutes for central processing unit inference but only 90 seconds with graphics processing unit acceleration. Conclusion: This technical development demonstrates that privacy-preserving deep learning inference using homomorphic encryption is feasible for classifying kidney masses on CT images, achieving diagnostic performance similar to that of nonencrypted models while maintaining data privacy through end-to-end encryption. ©RSNA, 2025.</t>
  </si>
  <si>
    <t>R0510</t>
  </si>
  <si>
    <t>Privacy-preserving genotype imputation with fully homomorphic encryption</t>
  </si>
  <si>
    <t>Gürsoy, G.; Chielle, E.; Brannon, C.M.; Maniatakos, M.; Gerstein, M.</t>
  </si>
  <si>
    <t>Found in: Scopus; PubMed · DOI: 10.1016/j.cels.2021.10.003 · PMID: 34758288</t>
  </si>
  <si>
    <t>Genotype imputation is the inference of unknown genotypes using known population structure observed in large genomic datasets; it can further our understanding of phenotype-genotype relationships and is useful for QTL mapping and GWASs. However, the compute-intensive nature of genotype imputation can overwhelm local servers for computation and storage. Hence, many researchers are moving toward using cloud services, raising privacy concerns. We address these concerns by developing an efficient, privacy-preserving algorithm called p−Impute. Our method uses homomorphic encryption, allowing calculations on ciphertext, thereby avoiding the decryption of private genotypes in the cloud. It is similar to k-nearest neighbor approaches, inferring missing genotypes in a genomic block based on the SNP genotypes of genetically related individuals in the same block. Our results demonstrate accuracy in agreement with the state-of-the-art plaintext solutions. Moreover, p−Impute is scalable to real-world applications as its memory and time requirements increase linearly with the increasing number of samples. p−Impute is freely available for download here: https://doi.org/10.5281/zenodo.5542001. © 2021 The Author(s)</t>
  </si>
  <si>
    <t>R0511</t>
  </si>
  <si>
    <t>TrustGWAS: A full-process workflow for encrypted GWAS using multi-key homomorphic encryption and pseudorandom number perturbation</t>
  </si>
  <si>
    <t>Yang, M.; Zhang, C.; Wang, X.; Liu, X.; Li, S.; Huang, J.; Feng, Z.; Sun, X.; Chen, F.; Yang, S.; Ni, M.; Li, L.; Cao, Y.; Mu, F.</t>
  </si>
  <si>
    <t>Found in: Scopus; PubMed · DOI: 10.1016/j.cels.2022.08.001 · PMID: 36041458</t>
  </si>
  <si>
    <t>The statistical power of genome-wide association studies (GWASs) is affected by the effective sample size. However, the privacy and security concerns associated with individual-level genotype data pose great challenges for cross-institutional cooperation. The full-process cryptographic solutions are in demand but have not been covered, especially the essential principal-component analysis (PCA). Here, we present TrustGWAS, a complete solution for secure, large-scale GWAS, recapitulating gold standard results against PLINK without compromising privacy and supporting basic PLINK steps including quality control, linkage disequilibrium pruning, PCA, chi-square test, Cochran-Armitage trend test, covariate-supported logistic regression and linear regression, and their sequential combinations. TrustGWAS leverages pseudorandom number perturbations for PCA and multiparty scheme of multi-key homomorphic encryption for all other modules. TrustGWAS can evaluate 100,000 individuals with 1 million variants and complete QC-LD-PCA-regression workflow within 50 h. We further successfully discover gene loci associated with fasting blood glucose, consistent with the findings of the ChinaMAP project. © 2022 Elsevier Inc.</t>
  </si>
  <si>
    <t>R0512</t>
  </si>
  <si>
    <t>Federated Learning with Homomorphic Encryption for Ensuring Privacy in Medical Data</t>
  </si>
  <si>
    <t>Mohandas, R.; Veena, S.; Kirubasri, G.; Thusnavis Bella Mary, I.; Udayakumar, R.</t>
  </si>
  <si>
    <t>Found in: Scopus · DOI: 10.51983/ijiss-2024.14.2.03</t>
  </si>
  <si>
    <t>Federated Learning (FL) is a machine learning methodology that allows remote devices to collectively train a learning system without sharing their data. FL-based methods provide enhanced secure privacy by transmitting only localized model variables, learned with local information, from dispersed devices to a centralized controller. There is a potential for a centralized server or malicious individuals to deduce or get sensitive private data by analyzing the structure and variables of regional learning networks. This study incorporates the FL process into the deep learning process of medical prototypes in an Internet of Things (IoT)-based medical facility. A Secured Medical Homomorphic Encryption Algorithm (SMHEA) is proposed in this research to ensure medical data privacy. Cryptographic primitives, such as masking and homomorphic cryptography, are used to enhance the security of local modeling. This prevents adversaries from deducing confidential health information via assaults like model restoration or modeling inversion. The primary determinant for assessing the regional modeling's contributions to the universal model during each training stage is the quality of the databases possessed by various individuals rather than the typically used metric of database dimension in deep learning. A dropout-tolerant approach is suggested, where the FL procedure would continue as long as the total amount of online customers remains over a certain level. By doing a security evaluation, it is evident that the suggested approach effectively ensures data privacy. Theoretical analysis is conducted on accuracy, computation time, and communication error. An example of clinical applications is the categorization of skin lesions using training photos from the HAM10000 medical database. The experimental findings demonstrate that the suggested system had favorable performance and privacy preservation outcomes compared to current methods. © The Research Publication, www.trp.org.in.</t>
  </si>
  <si>
    <t>R0513</t>
  </si>
  <si>
    <t>DPSHE: A privacy-preserving federated learning scheme based on homomorphic encryption and differential privacy for medical image</t>
  </si>
  <si>
    <t>Liu, X.; Sun, H.; Sun, N.; Jia, B.; Xiao, D.</t>
  </si>
  <si>
    <t>Found in: Scopus · DOI: 10.1016/j.neucom.2025.131931</t>
  </si>
  <si>
    <t>The rapid advancement of data-driven AI technologies has facilitated the integration of big data applications across various industries, particularly in healthcare, where data has experienced unprecedented growth. While healthcare data possesses substantial value, it also contains sensitive information, leading the industry to exercise caution regarding data sharing due to the potentially serious repercussions of privacy breaches, which hinder the collaborative training of AI. To address this challenge, federated learning has emerged as a promising solution that enables distributed data sharing while ensuring privacy. However, federated learning is susceptible to various threats such as poisoning attacks, inference attacks, and collusion attacks from different entities, all of which may disrupt training process or compromise private information. In response to these threats, this paper proposes a novel defense mechanism called DPSHE, which enhances the robustness of federated learning by employing differential privacy and threshold homomorphic encryption. DPSHE utilizes a hybrid policy to detect and distinguish malicious clients attempting poisoning attacks. At the same time, threshold homomorphic encryption is used to encrypt model parameters and achieve directional aggregation. Furthermore, a threshold for the number of collaborative decryption clients is used to ensure the security of the model under collusive attacks. Experimental results demonstrate that DPSHE effectively mitigates the impact of poisoning attacks launched by malicious clients, safeguards model privacy, and provides robust protection against collusion threats among participants. Simultaneously, it ensures the convergence speed of the training process while enhancing model accuracy, achieving improvements of up to 82.62 %. © 2025 Elsevier B.V.</t>
  </si>
  <si>
    <t>R0514</t>
  </si>
  <si>
    <t>Privacy-preserving genomic testing in the clinic: A model using HIV treatment</t>
  </si>
  <si>
    <t>Mclaren, P.J.; Raisaro, J.L.; Aouri, M.; Rotger, M.; Ayday, E.; Bartha, I.; Delgado, M.B.; Vallet, Y.; Günthard, H.F.; Cavassini, M.; Furrer, H.; Doco-Lecompte, T.; Marzolini, C.; Schmid, P.; Di Benedetto, C.; Decosterd, L.A.; Fellay, J.; Hubaux, J.-P.; Telenti, A.</t>
  </si>
  <si>
    <t>Found in: Scopus; PubMed · DOI: 10.1038/gim.2015.167 · PMID: 26765343</t>
  </si>
  <si>
    <t>Purpose:The implementation of genomic-based medicine is hindered by unresolved questions regarding data privacy and delivery of interpreted results to health-care practitioners. We used DNA-based prediction of HIV-related outcomes as a model to explore critical issues in clinical genomics.Methods:We genotyped 4,149 markers in HIV-positive individuals. Variants allowed for prediction of 17 traits relevant to HIV medical care, inference of patient ancestry, and imputation of human leukocyte antigen (HLA) types. Genetic data were processed under a privacy-preserving framework using homomorphic encryption, and clinical reports describing potentially actionable results were delivered to health-care providers.Results:A total of 230 patients were included in the study. We demonstrated the feasibility of encrypting a large number of genetic markers, inferring patient ancestry, computing monogenic and polygenic trait risks, and reporting results under privacy-preserving conditions. The average execution time of a multimarker test on encrypted data was 865 ms on a standard computer. The proportion of tests returning potentially actionable genetic results ranged from 0 to 54%.Conclusions:The model of implementation presented herein informs on strategies to deliver genomic test results for clinical care. Data encryption to ensure privacy helps to build patient trust, a key requirement on the road to genomic-based medicine. © 2015 American College of Medical Genetics and Genomics.</t>
  </si>
  <si>
    <t>R0515</t>
  </si>
  <si>
    <t>Privacy-Preserving Healthcare Data Analysis Using Blockchain and Homomorphic Encryption</t>
  </si>
  <si>
    <t>Krishnasrija, R.; Ghosh, S.; Chaitanya Subhash, S.K.; Yogesh, D.; Mandal, A.K.</t>
  </si>
  <si>
    <t>Found in: Scopus · DOI: 10.1007/978-981-95-0701-6_29</t>
  </si>
  <si>
    <t>The rapid growth of IoT in healthcare results in large volume of healthcare data, analyzing such data helps in determining the patient health condition, identifying the disease etc. These data are distributed across various places and private in nature. InterPlanetary File System (IPFS) is often used by healthcare providers to securely store the raw data and Content Identifier (CID) is used to share it across different blockchain network. However, if CID is shared then the stored plaintext data will be available which is undesirable for highly sensitive healthcare data. Again, if we analyze data from a single healthcare provider it may result in a biased learning model. Thus, it necessitates robust privacy-preserving solutions for sensitive data sharing without depriving the analytics aspects of it. Traditional techniques based on encryption and decryption are not suitable as it is not scalable and does not support analytics on encrypted data. For this purpose, we proposed a system integrating Homomorphic encryption with blockchain technology to address these challenges. It allows us to securely share the sensitive health data in encrypted format across various healthcare provider network. This heterogeneous data is utilized to create a robust machine learning model while maintaining data privacy. The system is implemented using Hyperledger Fabric and the TenSEAL library. The devised architecture supports multiple Health Service Provider (HSP) networks which utilizes chaincodes and homomorphic encryption for data logging and storing it in IPFS enabling privacy preserving decentralized storage. The experimental results demonstrates that the proposed model exhibits high throughput and low latency and also maintains high accuracy while preserving the data privacy. This shows the effectiveness of the proposed approach in enhancing data security and privacy in digital healthcare environments. © The Author(s), under exclusive license to Springer Nature Singapore Pte Ltd. 2026.</t>
  </si>
  <si>
    <t>R0516</t>
  </si>
  <si>
    <t>Training and Test Machine Learning Models on Encrypted Data: Initial Results and Challenges</t>
  </si>
  <si>
    <t>Kruger, R.; Barddal, J.P.; Souza, V.M.A.</t>
  </si>
  <si>
    <t>Found in: Scopus · DOI: 10.1007/978-3-032-15984-7_38</t>
  </si>
  <si>
    <t>Privacy is critical when using Machine Learning (ML) models over sensitive data, like healthcare, finance, and legal systems. Many of these models are trained or executed on cloud services, meaning sensitive data is transmitted over the network, or third-party services operate directly on unprotected data during training and inference, increasing exposure to potential leaks. Data encryption is a promising solution that guarantees high privacy levels. An adequate cryptography solution for ML is Homomorphic Encryption, a cryptographic method that allows mathematical operations on ciphertexts, i.e., encrypted data, producing encrypted models and outputs that only authorized parties can decrypt. However, the protection offered by Homomorphic Encryption comes at a significant computational overhead. Additionally, only specific mathematical operations (typically additions and multiplications) are allowed, and encrypted computations accumulate noise that reduces the result’s precision. This paper discusses the challenges of using encrypted data in training and test steps of ML models. It experimentally analyzes the impact on error rates and processing times when traditional classifiers, such as Artificial Neural Network and Logistic Regression, are adapted to process encrypted data. We adopt the CKKS scheme, a Homomorphic Encryption method that supports approximate computations over real numbers and adapted the activation functions of the classifiers using three approximation methods in an experimental evaluation with five medical datasets. © The Author(s), under exclusive license to Springer Nature Switzerland AG 2026.</t>
  </si>
  <si>
    <t>R0517</t>
  </si>
  <si>
    <t>Privacy-Preserving Brain Tumor Classification Using Homomorphic Encryption and Patterned Noise Injection</t>
  </si>
  <si>
    <t>Dilip, D.; Harini, V.K.; Bhavadharini, R.M.</t>
  </si>
  <si>
    <t>Found in: Scopus; IEEE · DOI: 10.1109/CICT67193.2025.11398973</t>
  </si>
  <si>
    <t>Brain tumor categorization is a vital step in early detection and treatment planning. Yet, forwarding medical images to cloud models poses serious privacy issues. This paper introduces a privacy-preserving brain tumor classification method using Cheon-Kim-Kim-Song(CKKS) homomorphic encryption and patterned noise injection. The method encrypts preprocessed MRI scans with CKKS for encrypted inference on a Convolutional Neural Network (CNN) without decryption. Gaussian noise is added to the encrypted images to provide additional security, and a denoising process is then performed to retrieve classification accuracy. Encrypted CNN uses im2col transformation, encrypted matrix multiplication, and ciphertext rotation for safe inference. Experimental results show an encrypted test accuracy of 90.61%, highlighting homomorphic encryption's viability for secure medical image classification in research settings. The proposed model serves valuable insights for developing privacy-preserving deep learning models in real-world applications. © 2025 IEEE.</t>
  </si>
  <si>
    <t>R0518</t>
  </si>
  <si>
    <t>Utilizing Federated Learning for Accurate Prediction of covid-19 from CT Scan Images</t>
  </si>
  <si>
    <t>Patel, J.; Patel, S.; Thakkar, S.; Saraswat, D.</t>
  </si>
  <si>
    <t>Found in: Scopus; IEEE · DOI: 10.1109/ICICT57646.2023.10134193</t>
  </si>
  <si>
    <t>Recently, the COVID-19 outbreak has spread across the world, leading the World Health Organization to classify it as a global pandemic. To save the patient's life, the COVID-19 symptoms have to be identified. But using an AI (Artificial Intelligence) model to identify COVID-19 symptoms within the allotted time was challenging. The RT-PCR test was found to be inadequate in determining the COVID status of a patient. To determine if the patient has COVID-19 or not, a Computed Tomography Scan (CT scan) of the patient is a better alternative. The challenging task such as dealing with the overfitting problem, handling large training data and accurate prediction of model. Apart from this, it will be challenging to compile and store all the data from various hospitals on the server, though. Federated learning therefore aids in resolving this problem. Certain deep learning models helps to classify the Covid-19. The main objective of this research study is to accurately predict the covid-19 while using federated learning approach with Homomorphic encryption. This research study will have a detailed analysis of certain deep learning models like VGG19, ResNet50, MobileNEtv2, Deep Learning Aggregation (DLA) along with maintaining privacy with encryption. © 2023 IEEE.</t>
  </si>
  <si>
    <t>R0519</t>
  </si>
  <si>
    <t>Secure Federated Learning with Blockchain and Homomorphic Encryption for Healthcare Data Sharing</t>
  </si>
  <si>
    <t>Firdaus, M.; Rhee, K.-H.</t>
  </si>
  <si>
    <t>Found in: Scopus; IEEE · DOI: 10.1109/CW64301.2024.00036</t>
  </si>
  <si>
    <t>Healthcare data is often fragmented across various institutions due to its highly sensitive and private nature. In this sense, hospitals and clinics maintain electronic health records (EHRs) independently; hence, valuable data is siloed within individual organizations, preventing comprehensive analysis that could benefit from diverse data sources. Federated learning (FL) addresses these challenges by enabling the training of a shared global model using data distributed across multiple institutions without moving the data from its source. By leveraging FL, healthcare institutions can combine their data assets to improve predictive analytics, personalized medicine, and overall healthcare outcomes, ultimately benefiting patients and the healthcare system. However, the current FL model with a central server presents several challenges within healthcare, including the risk of malicious attacks, regulatory compliance, and privacy vulnerabilities. To overcome these issues, this paper introduces the FL framework with blockchain and homomorphic encryption (HE). Our framework aims to minimize the role of the central server, enable collaborative model training across healthcare organizations, and enhance data security and privacy. In this sense, blockchain ensures the integrity and transparency of the process, while homomorphic encryption ensures that the data remains private. This framework can potentially enable institutions to enrich medical knowledge while securely keeping patient data collaboratively and facilitating healthcare analytics in practical settings. © 2024 IEEE.</t>
  </si>
  <si>
    <t>R0520</t>
  </si>
  <si>
    <t>Improved Multileader Optimization with Shadow Encryption for Medical Images in IoT Environment</t>
  </si>
  <si>
    <t>Duhayyim, M.A.; Maray, M.; Qahmash, A.; Alrayes, F.S.; Alshuqayran, N.; Alzahrani, J.S.; Alghamdi, M.; Mohamed, A.</t>
  </si>
  <si>
    <t>Found in: Scopus · DOI: 10.32604/cmc.2023.032740</t>
  </si>
  <si>
    <t>Nowadays, security plays an important role in Internet of Things (IoT) environment especially in medical services’ domains like disease prediction and medical data storage. In healthcare sector, huge volumes of data are generated on a daily basis, owing to the involvement of advanced health care devices. In general terms, health care images are highly sensitive to alterations due to which any modifications in its content can result in faulty diagnosis. At the same time, it is also significant to maintain the delicate contents of health care images during reconstruction stage. Therefore, an encryption system is required in order to raise the privacy and security of healthcare data by not leaking any sensitive data. The current study introduces Improved Multileader Optimization with Shadow Image Encryption for Medical Image Security (IMLOSIE-MIS) technique for IoT environment. The aim of the proposed IMLOSIE-MIS model is to accomplish security by generating shadows and encrypting them effectively. To do so, the presented IMLOSIE-MIS model initially generates a set of shadows for every input medical image. Besides, shadow image encryption process takes place with the help of Multileader Optimization (MLO) with Homomorphic Encryption (IMLO-HE) technique, where the optimal keys are generated with the help of MLO algorithm. On the receiver side, decryption process is initially carried out and shadow image reconstruction process is conducted. The experimentation analysis was carried out on medical images and the results inferred that the proposed IMLOSIE-MIS model is an excellent performer compared to other models. The comparison study outcomes demonstrate that IMLOSIE-MIS model is robust and offers high security in IoT-enabled healthcare environment. © 2023 Tech Science Press. All rights reserved.</t>
  </si>
  <si>
    <t>R0521</t>
  </si>
  <si>
    <t>AI-based Trip Planning System</t>
  </si>
  <si>
    <t>Manjula, J.; Challa, V.; Kayamkhani, T.; Gangalakunta, A.; Jollu, A.; Katika, M.</t>
  </si>
  <si>
    <t>Found in: Scopus; IEEE · DOI: 10.1109/ICOECA68095.2026.11485572</t>
  </si>
  <si>
    <t>The AI-Based Trip Planning system is a web application that will assist in improving the process of traveling planning by offering personalized recommendations based on the preferences of the users, their health condition, and interests. Using the Gemini API and machine learning, the system is capable of producing optimization travel recommendations, which enables a smooth travelling experience to the traveller. This application will have two key modules: the Admin Module, which is going to regulate and update the information about destinations, local cuisine, and activities, and the User Module, where travelers are going to be able to input their preferences and have a personalized set of recommendations. Another feature of the system that is implemented to assure the confidentiality of the information of different users is the homomorphic encryption, which allows to process the data without the necessity to reveal its contents, and, thus, gives the system high confidentiality. The system also makes travel booking, which is user-friendly and provides a convenient all-in-one travel planning system. The integration of AI, machine learning and homomorphic encryption will help to change the planning process of the users and how they plan their journey to real-time, safe and personalized suggestions that fulfill the needs and wishes of individually selected traveler. © 2026 IEEE.</t>
  </si>
  <si>
    <t>R0522</t>
  </si>
  <si>
    <t>Characteristics of Retinal Oxygen Kinetics and Blood Flow in Myopia of Different Degrees</t>
  </si>
  <si>
    <t>Ding, X.; Hu, J.; Ma, Y.; Yu, Y.; Xiao, Y.; Bao, Y.; Wang, Z.; Zhou, X.; Zhao, J.</t>
  </si>
  <si>
    <t>Found in: Scopus · DOI: 10.1167/iovs.66.15.52</t>
  </si>
  <si>
    <t>PURPOSE. To investigate the characteristics of retinal oxygen kinetics and blood flow across varying degrees of myopia and to explore associated factors. METHODS. This study included 146 eyes from 132 participants with varying refractive errors, classified by spherical equivalent (SE) into nonmyopia (NM; SE &gt; −0.25 D, n = 45), mild-to-moderate myopia (MM; −0.25 D ≥ SE &gt; −6.00 D, n = 48), and high myopia (HM; SE ≤ −6.00 D, n = 53). Retinal oxygen kinetics and blood flow were assessed in an optic-disc-centered annulus using a Multimodal Eye Functional Imaging and Analysis System. Group differences and correlation were evaluated with generalized estimating equations (GEEs), and nonlinear associations were examined using restricted cubic spline analysis. RESULTS. The mean age was 27.35 ± 8.61 years, and 47 participants were male (35.6%). Arterial and venous retinal external diameters decreased significantly and progressively from NM to HM (all P &lt; 0.05). Compared with NM, both MM and HM groups exhibited reduced venous blood flow velocity (BFVv) and venous retinal blood flow (RBFv). Significant reductions in arterial oxygen saturation (SaO2) were observed only in the HM group (NM, 90.38% ± 3.65%; MM, 91.60% ± 3.85%; HM, 86.30% ± 4.90%; all P &lt; 0.05). Hierarchical multivariable regression identified axial length (AL) as an independent factor associated with SaO2, BFV, and venous vascular diameters. Restricted cubic spline analysis revealed a nonlinear relationship between AL and SaO2, with an inflection point at 25.45 mm, beyond which SaO2 declined markedly. CONCLUSIONS. Reductions in retinal vessel diameter and blood flow velocity were evident even at the mild-to-moderate myopia stage, whereas significant declines in arterial oxygen saturation occurred only when AL reached ≥25.45 mm. These results offer new insights into the mechanisms of fundus vascular complications in high myopia. Further longitudinal investigations are warranted to fully elucidate the underlying pathophysiological processes. © 2025 Association for Research in Vision and Ophthalmology Inc.. All rights reserved.</t>
  </si>
  <si>
    <t>R0523</t>
  </si>
  <si>
    <t>A Privacy-Preserving Computer-Aided Diagnosis Framework for Medical Applications Using Federated Learning and Homomorphic Encryption</t>
  </si>
  <si>
    <t>Xiong, J.; Chen, J.; Liu, H.; Zhou, G.; Cui, J.; Lin, J.; Jiao, D.</t>
  </si>
  <si>
    <t>Found in: Scopus · DOI: 10.1007/978-3-031-85593-1_6</t>
  </si>
  <si>
    <t>Skin cancer is one of the most common cancers worldwide, where early detection significantly reduces mortality rates. Integrating Internet of Things (IoT) technologies into healthcare enables continuous monitoring and early diagnosis through connected devices, offering new prospects for real-time medical assessment. Advanced machine learning classifiers have shown superior performance over human experts in diagnosing pigmented skin lesions, underscoring their potential for IoT-based applications. However, training high-precision computer-aided diagnosis (CAD) systems requires extensive data, and secure data sharing poses significant challenges due to privacy concerns in IoT healthcare networks. This paper introduces an IoT-oriented skin cancer CAD system combining federated learning and homomorphic encryption to address these issues. Federated learning supports collaborative model training across distributed IoT devices, mitigating data scarcity without compromising data privacy. Homomorphic encryption ensures that patient data remains encrypted during diagnosis, enhancing security within IoT frameworks. To achieve an efficient and high-accuracy model suited for IoT, we implemented Self-Learnable Activation Functions (SLAF), optimized for homomorphic encryption and resource constraints of IoT devices. Our system, validated using the HAM10000 dataset, achieved 94.39% accuracy with dual privacy protection, enhancing both diagnostic precision and data security. Comprehensive evaluations and comparisons with state-of-the-art frameworks confirmed the effectiveness of our approach. Results demonstrate the strong potential and practicality of our IoT-based solution for real-world healthcare, providing a secure, efficient, and accurate diagnostic tool that supports the wider adoption of IoT in medical applications. © The Author(s), under exclusive license to Springer Nature Switzerland AG 2025.</t>
  </si>
  <si>
    <t>R0524</t>
  </si>
  <si>
    <t>Pneumonia Risk Assessment on Data Encrypted using a Homomorphic Cryptosystem</t>
  </si>
  <si>
    <t>Prasetya, F.M.W.; Sari, A.K.</t>
  </si>
  <si>
    <t>Found in: Scopus · DOI: 10.1109/BioMIC48413.2019.9034705</t>
  </si>
  <si>
    <t>Cloud system offers several advantages compared to the use of local server. However, for data that requires high level of security, including medical records, privacy issue becomes a problem, especially when the data needs to be analyzed/manipulated. This includes the analysis of patient's medical record to predict Pneumonia risk level. In this paper, a model to solve the problem is proposed. The patient's medical record is first encrypted using Paillier cryptosystem before it is uploaded to the cloud. Then, the record is analyzed, while still being encrypted, to predict the patient's Pneumonia risk level. Modification on the rules of Pneumonia Severity Index (PSI) must be conducted to allow the rules to operate on encrypted data as their input. The evaluation shows that the proposed model can classify all classes, i.e. class I II, III, IV and V, correctly with exactly the same PSI score, reaching the accuracy of 100%. © 2019 IEEE.</t>
  </si>
  <si>
    <t>R0525</t>
  </si>
  <si>
    <t>Practical and Robust Federated Learning With Highly Scalable Regression Training</t>
  </si>
  <si>
    <t>Han, S.; Ding, H.; Zhao, S.; Ren, S.; Wang, Z.; Lin, J.; Zhou, S.</t>
  </si>
  <si>
    <t>Found in: Scopus; PubMed; IEEE · DOI: 10.1109/TNNLS.2023.3271859 · PMID: 37289609</t>
  </si>
  <si>
    <t>Privacy-preserving federated learning, as one of the privacy-preserving computation techniques, is a promising distributed and privacy-preserving machine learning (ML) approach for Internet of Medical Things (IoMT), due to its ability to train a regression model without collecting raw data of data owners (DOs). However, traditional interactive federated regression training (IFRT) schemes rely on multiple rounds of communication to train a global model and are still under various privacy and security threats. To overcome these problems, several noninteractive federated regression training (NFRT) schemes have been proposed and applied in a variety of scenarios. However, there are still several challenges: 1) how to protect the privacy of DOs' local dataset; 2) how to realize highly scalable regression training without linear dependence on sample dimension; 3) how to tolerate DOs' dropout; and 4) how to enable DOs to verify the correctness of aggregated results returned from the cloud service provider (CSP). In this article, we propose two practical noninteractive federated learning schemes with privacy-preserving for IoMT, named homomorphic encryption based NFRT (HE-NFRT) and double-masking protocol based NFRT (Mask-NFRT), respectively, which are based on a comprehensive consideration of NFRT, privacy concerns, high-efficiency, robustness, and verification mechanism. The security analyses display that our proposed schemes are able to protect the privacy of DOs' local training data, resist collusion attack, and support strong verification to each DO. The performance evaluation results demonstrate that our proposed HE-NFRT scheme is desirable for a high-dimensional and high-security IoMT application while Mask-NFRT scheme is desirable for a high-dimensional and large-scale IoMT application.  © 2012 IEEE.</t>
  </si>
  <si>
    <t>R0526</t>
  </si>
  <si>
    <t>Armoring Motor Imagery EEG Systems: A PSNR Optimized Differentially Private Topographic Mapping Mechanism</t>
  </si>
  <si>
    <t>Zhang, Z.; Mo, S.</t>
  </si>
  <si>
    <t>Found in: Scopus · DOI: 10.1109/HPSC66065.2025.00026</t>
  </si>
  <si>
    <t>The rapid proliferation of Brain-Computer Interfaces (BCIs) has introduced critical security vulnerabilities in neural data processing pipelines. While Motor Imagery (MI)-based EEG systems enable direct neural control of assistive devices, current frameworks remain susceptible to spectral leakage attacks, adversarial perturbations, and signal spoofing threats. To address these challenges, we propose a privacy-preserving Electroencephalogram (EEG) processing framework that integrates three novel components: A differentially private topographic mapping mechanism achieving a reduction in μ-rhythm reidentification risk while maintaining signal fidelity loss; An encrypted epoch fusion protocol utilizing lattice-based homomorphic encryption to ensure 79.50% average classification accuracy under adaptive white-box attacks; A PSNR-optimized dual metric system that enhances inter-class separability while compressing intra-class variance. Experiments conducted on BCI Competition IV-2a datasets demonstrate that our method establishes new benchmarks for trustworthy neural interface development.  © 2025 IEEE.</t>
  </si>
  <si>
    <t>R0527</t>
  </si>
  <si>
    <t>Federated Security for Privacy Preservation of Healthcare Data in Edge-Cloud Environments</t>
  </si>
  <si>
    <t>Jayaweera, R.; Agrawal, H.; Karie, N.M.</t>
  </si>
  <si>
    <t>Found in: Scopus; PubMed · DOI: 10.3390/s25165108 · PMID: 40871971</t>
  </si>
  <si>
    <t>Digital transformation in healthcare has introduced data privacy challenges, as hospitals struggle to protect patient information while adopting digital technologies such as AI, IoT, and cloud more rapidly than ever before. The adoption of powerful third-party Machine Learning as a Service (MLaaS) solutions for disease prediction has become a common practice. However, these solutions offer significant privacy risks when sensitive healthcare data are shared externally to a third-party server. This raises compliance concerns under regulations like HIPAA, GDPR, and Australia’s Privacy Act. To address these challenges, this paper explores a decentralized, privacy-preserving approach to train the models among multiple healthcare stakeholders, integrating Federated Learning (FL) with Homomorphic Encryption (HE), ensuring model parameters remain protected throughout the learning process. This paper proposes a novel Homomorphic Encryption-based Adaptive Tuning for Federated Learning (HEAT-FL) framework to select encryption parameters based on model layer sensitivity. The proposed framework leverages the CKKS scheme to encrypt model parameters on the client side before sharing. This enables secure aggregation at the central server without requiring decryption, providing an additional layer of security through model-layer-wise parameter management. The proposed adaptive encryption approach significantly improves runtime efficiency while maintaining a balanced level of security. Compared to the existing frameworks (non-adaptive) using 256-bit security settings, the proposed framework offers a 56.5% reduction in encryption time for 10 clients and 54.6% for four clients per epoch. © 2025 by the authors.</t>
  </si>
  <si>
    <t>R0528</t>
  </si>
  <si>
    <t>Quality Evaluation via PPG on the AVFs of Hemodialysis Patients Based on Both Blood Flow Volume and Degree of Stenosis</t>
  </si>
  <si>
    <t>Chiang, P.-Y.; Chao, P.C.-P.; Tu, T.-Y.; Kao, Y.-H.; Yang, C.-Y.; Tarng, D.-C.; Wey, C.-L.; Nguyen, D.H.</t>
  </si>
  <si>
    <t>Found in: Scopus; IEEE · DOI: 10.1109/SENSORS43011.2019.8956895</t>
  </si>
  <si>
    <t>The classifier of support vector machine (SVM) learning for assessing quality of arteriovenous fistula (AVF) at hemodialysis (HD) patients using a new photoplethysmography (PPG) sensor are presented in this work. Based on current medical standard, there are two important indices for assessing AVF quality, the blood flow volume (BFV) and the degree of stenosis (DOS). In current clinical practice, BFV and DOS of AVFs are assessed by using an ultrasound Doppler machine, which is bulky, expensive, hard-to-use and time-consuming. Therefore, a new PPG sensor module is designed to provide patients and doctors an inexpensive and small-sized solution to assess AVF quality. The readout of the sensor is successfully optimized to increase the signal to noise ratio (SNR) and reduce the environment interference, the readout circuitries are designed to fit the full dynamic range of analog-digital converter (ADC) and to filter out the noise. To assess quality of AVF, three different machine learning classifiers are developed, where the input features are selected based on optical Beer Lambert's law and hemodynamic model. Finally, the clinical experiment results show that the proposed PPG sensor successfully achieves an accuracy of 87.838% in assessing AVF quality based on satisfactory DOS and BFV measured. © 2019 IEEE.</t>
  </si>
  <si>
    <t>R0529</t>
  </si>
  <si>
    <t>Enhancing privacy-preserving cancer classification with convolutional neural networks</t>
  </si>
  <si>
    <t>Colombo, A.A.F.; Colombo, L.; Falcetta, A.; Roveri, M.</t>
  </si>
  <si>
    <t>Found in: Scopus; PubMed · DOI: 10.1142/9789819807024-0040 · PMID: 39670396</t>
  </si>
  <si>
    <t>Precision medicine significantly enhances patients prognosis, offering personalized treatments. Particularly for metastatic cancer, incorporating primary tumor location into the diagnostic process greatly improves survival rates. However, traditional methods rely on human expertise, requiring substantial time and financial resources. To address this challenge, Machine Learning (ML) and Deep Learning (DL) have proven particularly effective. Yet, their application to medical data, especially genomic data, must consider and encompass privacy due to the highly sensitive nature of data. In this paper, we propose OGHE, a convolutional neural network-based approach for privacy-preserving cancer classification designed to exploit spatial patterns in genomic data, while maintaining confidentiality by means of Homomorphic Encryption (HE). This encryption scheme allows the processing directly on encrypted data, guaranteeing its confidentiality during the entire computation. The design of OGHE is specific for privacy-preserving applications, taking into account HE limitations from the outset, and introducing an efficient packing mechanism to minimize the computational overhead introduced by HE. Additionally, OGHE relies on a novel feature selection method, VarScout, designed to extract the most significant features through clustering and occurrence analysis, while preserving inherent spatial patterns. Coupled with VarScout, OGHE has been compared with existing privacy-preserving solutions for encrypted cancer classification on the iDash 2020 dataset, demonstrating their effectiveness in providing accurate privacy-preserving cancer classification, and reducing latency thanks to our packing mechanism. The code is released to the scientific community.  © 2024 The Authors.</t>
  </si>
  <si>
    <t>R0530</t>
  </si>
  <si>
    <t>Pivacy-preserving federated learning based on multi-key fully homomorphic encryption and trusted execution environment</t>
  </si>
  <si>
    <t>Liu, G.; He, Z.; Cheng, L.; Luo, Y.; Su, S.; Su, J.; Zhang, K.</t>
  </si>
  <si>
    <t>Found in: Scopus · DOI: 10.1007/s12083-025-01986-x</t>
  </si>
  <si>
    <t>With the rapid development of machine learning (ML) technologies, Federated Learning (FL), as a privacy-preserving distributed learning approach, has been widely applied in fields such as healthcare, finance, and the IoT. However, a major challenge in the application of FL remains how to simultaneously protect user privacy and prevent model parameter leakage during the aggregation and training processes. Currently, Homomorphic Encryption (HE) and Trusted Execution Environment (TEE) are key technologies for building Privacy-preserving Federated Learning (PPFL) solutions. However, mainstream FL methods based on single-key HE cannot resist collusion attacks between users and the server, while those based on multi-key HE (MKHE) require that users remain online during the FL process. To address this issue, this paper proposes a PPFL based on MKHE and TEE. In this scheme, the server uses TEE to uniformly generate the public and private keys for all users and ensures secure key distribution through quantum key distribution, allowing the decryption process to proceed smoothly even if users are offline, thus avoiding decryption failures. The proposed scheme not only effectively prevents collusion attacks among users and between users and the server, but also ensures the computational and aggregation capabilities of the FL system when users are offline, thereby enhancing the robustness and security of the system. Experimental evaluation results show that the proposed scheme can maintain high computational efficiency in large-scale data environments while ensuring privacy protection. © The Author(s), under exclusive licence to Springer Science+Business Media, LLC, part of Springer Nature 2025.</t>
  </si>
  <si>
    <t>R0531</t>
  </si>
  <si>
    <t>Federated and Homomorphic Encryption-Enabled Lightweight Cryptography for Secure IoT Environments</t>
  </si>
  <si>
    <t>Parmar, P.K.; Prajapati, R.T.</t>
  </si>
  <si>
    <t>Found in: Scopus · DOI: 10.1109/IETACS68750.2025.11385626</t>
  </si>
  <si>
    <t>The rapid growth of Internet of Things (IoT) ecosystems in domains such as healthcare, transportation, industrial automation, and smart cities has created an urgent need for secure, efficient, and privacy-preserving communication methods. Conventional cryptographic techniques impose excessive computational, memory, and energy overhead on resource-constrained IoT devices, limiting their practical adoption. This paper presents a hybrid security framework that integrates Federated Learning (FL), Homomorphic Encryption (HE), and Lightweight Cryptography (LWC) into a unified pipeline for privacy-preserving IoT environments. FL enables decentralized training without exposing raw data, HE allows secure computation over encrypted updates, and LWC ensures low-complexity cryptographic operations suitable for constrained devices. Experimental evaluation using the NSL-KDD dataset shows that the proposed FL+HE+LWC framework achieves 91.63% accuracy, an F1-score of 92.72%, and reduces privacy risk to 0.08, with minimal overhead in communication and latency compared to existing solutions. Preliminary validation on the UNSW-NB15 dataset further demonstrates adaptability across diverse IoT benchmarks. The results confirm that combining FL, HE, and LWC enhances communication security, efficiency, and attack resistance, making the framework a novel and practical solution for scalable and privacy-preserving IoT deployments. © 2025 IEEE.</t>
  </si>
  <si>
    <t>R0532</t>
  </si>
  <si>
    <t>MKXGB: Privacy-preserving XGBoost training over encrypted multi-source data via multi-key homomorphic encryption</t>
  </si>
  <si>
    <t>Lv, H.; Wang, H.; Xu, L.; Su, Y.; Pang, T.</t>
  </si>
  <si>
    <t>Found in: Scopus · DOI: 10.1016/j.csi.2026.104160</t>
  </si>
  <si>
    <t>The effective integration of multi-sourced data is crucial for enhancing decision-making capabilities in complex systems such as intelligent healthcare and finance. The XGBoost model, known for its high precision, is an ideal model for such fused data. However, privacy regulations and risks restrict the centralized use of multi-party data. To overcome this issue, we propose MKXGB, a secure, non-interactive XGBoost training scheme based on multi-key homomorphic encryption (MKHE), which can safely integrate encrypted multi-sourced data with the model training process. MKXGB allows multiple users to encrypt their data locally with their private keys. Subsequently, the Cloud Server (CS) can complete the model training directly on the aggregated ciphertexts without decryption or frequent interactions. We have designed secure algorithms for core operations such as gradient and gain computation. A key advantage of MKXGB is its unified support for both horizontal and vertical data partitioning within a single framework, allowing it to adapt to diverse multi-source data scenarios. Furthermore, users can go offline after a single round of data upload, supporting dynamic participation. Experiments show that MKXGB maintains accuracy comparable to plaintext training while ensuring strong privacy protection and reducing communication overhead, providing possibilities for future applications in privacy-sensitive scenarios. © 2026 Elsevier B.V.</t>
  </si>
  <si>
    <t>R0533</t>
  </si>
  <si>
    <t>Activate Me!: Designing Efficient Activation Functions for Privacy-Preserving Machine Learning with Fully Homomorphic Encryption</t>
  </si>
  <si>
    <t>Njungle, N.B.; Kinsy, M.A.</t>
  </si>
  <si>
    <t>Found in: Scopus · DOI: 10.1007/978-3-031-97260-7_3</t>
  </si>
  <si>
    <t>The rapid integration of machine learning into applications in sensitive domains like healthcare and defense raises serious privacy and security concerns. These applications require strong privacy protections, as they rely on large amounts of sensitive data for both training and inference. Fully Homomorphic Encryption (FHE) offers a promising solution by allowing computations on encrypted data, thereby preserving confidentiality throughout the entire machine-learning pipeline. However, FHE only supports linear operations natively. This makes it hard to implement non-linear activation functions - an essential component of modern machine learning applications - under FHE constraints. In this study, we design, implement, and evaluate activation functions optimized for FHE-based machine learning applications. We focus on two widely used functions: the Square function and the Rectified Linear Unit (ReLU). Our experiments utilize the LeNet-5 and ResNet-20 architectures implemented with the CKKS scheme from the OpenFHE library. For ReLU, we compare two approaches. First, we explore the popular low-degree polynomial approximation approach. Second, we introduce a novel scheme-switching technique that also securely evaluates ReLU under FHE constraints. Our results show that the square function is highly effective in shallow models like LeNet-5, achieving 99.4% accuracy with an inference time of 128 s per image. In deeper networks like ResNet-20, ReLU is more appropriate. The FHE-based ResNet-20 model implemented with ReLU polynomial approximation resulted in an accuracy of 83.8% and an inference time of 1,145 s per image. Further, our proposed scheme-switching algorithm achieved a higher accuracy of 89.8%, with an increased inference time of 1,697 s per image on a ResNet-20 model as well. These results highlight the key trade-off to be considered when selecting activation functions for FHE-based machine learning applications. The activation functions that reduce computation time tend to significantly lower accuracy, while those that preserve accuracy incur higher computational costs. © The Author(s), under exclusive license to Springer Nature Switzerland AG 2026.</t>
  </si>
  <si>
    <t>R0534</t>
  </si>
  <si>
    <t>FedAvgM-Based Privacy-Preserving Federated Learning for Retinal Blood Vessel Segmentation Using Enhanced U-Net Variants</t>
  </si>
  <si>
    <t>Avirneni, V.S.; Morampudi, M.K.; Boyapati, B.L.; Tangirala, J.L.</t>
  </si>
  <si>
    <t>Found in: Scopus · DOI: 10.1007/978-3-032-19981-2_29</t>
  </si>
  <si>
    <t>Retinal blood vessel segmentation is crucial for early detection of diseases such as diabetic retinopathy, glaucoma, and retinal vein occlusion. Centralized deep learning approaches raise privacy concerns and risk violating regulations like Health Insurance Portability and Accountability Act (HIPAA) and General Data Protection Regulation (GDPR). Federated learning (FL) enables collaborative training without raw data sharing but remains vulnerable to gradient leakage, model poisoning, and communication interception. Moreover, the widely used FedAvg aggregation algorithm often suffers from slow convergence, oscillations, and reduced performance in the presence of heterogeneous client data. Researchers have proposed many U-Net variants for medical image segmentation; however, existing models often fail to balance multi-scale feature extraction, long-range context modeling, and fine vessel continuity, leading to suboptimal results. To address these challenges, we propose FedFusion-U-Net, a privacy-preserving federated U-Net variant integrating: (i) Inception modules for multi-scale feature extraction, (ii) Ghost modules to generate efficient and less redundant feature maps,(iii) Residual connections for stable optimization, and (iv) Squeeze-and-Excitation blocks to recalibrate channel responses and emphasize vessel-specific features and (v) Pyramid Attention to capture long-range dependencies more effectively than conventional attention. These enhancements collectively improve continuity and recovery of thin vessels. Privacy is preserved through CKKS homomorphic encryption (HE), which secures transmission and aggregation of updates. For global aggregation, we employ the FedAvgM algorithm, an extension of FedAvg that incorporates server momentum, leading to faster and more stable convergence compared to vanilla FedAvg in heterogeneous environments. Experimental results demonstrate that FedFusion-U-Net with FedAvgM outperforms baseline U-Net models in accuracy, vessel continuity, and robustness, while ensuring privacy and regulatory compliance. This highlights the effectiveness of combining advanced U-Net modules, CKKS HE, and FedAvgM aggregation in a secure and collaborative framework for medical image segmentation. © The Author(s), under exclusive license to Springer Nature Switzerland AG 2026.</t>
  </si>
  <si>
    <t>R0535</t>
  </si>
  <si>
    <t>Advancing Breast Cancer Classification in Histopathological Images with a Federated Learning Framework</t>
  </si>
  <si>
    <t>Dharini, K.R.; Kavyashree, N.; Latha, D.U.</t>
  </si>
  <si>
    <t>Advanced cryptography integrates with federated learning in healthcare for privacy-preserving machine learning. The research aims to enable collaborative training across institutions for breast cancer classification, emphasizing data security with a secure federated learning architecture and homomorphic encryption. Raw data is kept decentralized and encrypted to protect sensitive medical information. The system uses federated learning and the OpenFHE library to securely aggregate model updates, allowing authorized hospitals to access the global model. Experiments with the BreakHis dataset show good performance, confirming the framework's effectiveness in balancing model performance and data security. This study demonstrates the potential of federated learning and homomorphic encryption in healthcare privacy and security, offering a scalable solution. Future work will explore broader datasets and real-world applications. © Grenze Scientific Society, 2025.</t>
  </si>
  <si>
    <t>R0536</t>
  </si>
  <si>
    <t>Private and Energy-Efficient Decision Tree-Based Disease Detection for Resource-Constrained Medical Users in Mobile Healthcare Network</t>
  </si>
  <si>
    <t>Found in: Scopus; IEEE · DOI: 10.1109/ACCESS.2022.3149771</t>
  </si>
  <si>
    <t>In mobile healthcare networks (MHN), outsourced disease detection services demand the privacy preservation of medical users and health service providers (health clouds). This necessitates the use of a fully homomorphic encryption (FHE) while providing disease detection services, such as decision tree-based disease detection. However, the existing homomorphic encryption schemes utilized in decision tree-based disease detection that ensure the privacy of the medical user and health cloud are computationally-intensive and energy-hungry at the edge devices. Hence the medical user finds it difficult to exploit the existing private decision tree-based disease detection services due to restrictions on battery capacity and computing resources. Therefore, this work proposes a protocol for private decision tree classification with low resource consumption (PDTC-LRC) on edge devices of medical users by considering decision tree parameters as confidential to the health cloud. An energy-efficient, additively homomorphic, symmetric key-based FHE-compatible Rivest scheme (FCRS) is developed for implementing PDTC-LRC. FCRS can be decrypted homomorphically at the health cloud to support additive and multiplicative homomorphism. Also, an energy and bandwidth-efficient secure integer comparison protocol is developed for realizing PDTC-LRC. Experiments on the Raspberry Pi 3B+ board validate the improved energy efficiency and real-time applicability of the proposed secure integer comparison protocol and decision tree classifier compared with similar schemes available in the literature. Simulation and mathematical analysis ensure that user and health cloud privacy requirements are achieved by maintaining the classification accuracy same as that of decision tree classification in the plain domain.  © 2013 IEEE.</t>
  </si>
  <si>
    <t>R0537</t>
  </si>
  <si>
    <t>AI-Enhanced Privacy Preservation Using Homomorphic Federated Models</t>
  </si>
  <si>
    <t>Das, N.; Sultana, S.; Sikder, M.S.; Himel, H.U.; Saha, U.S.; Rashed, R.A.M.; Uddin, M.S.</t>
  </si>
  <si>
    <t>Found in: Scopus; IEEE · DOI: 10.1109/ICAFT66710.2025.11453096</t>
  </si>
  <si>
    <t>The explosive growth of intelligent edge devices has motivated the desire to have privacy sensitive machine learning models that can securely share knowledge without letting the raw data leak out. The conventional federated learning (FL) models reduce the risks of central data aggregation but still can be susceptible to inference, reconstruction, and model inversion attacks because of unencrypted gradient exchange. The paper suggests an AI-Enhanced Homomorphic Federated Model (AE-HFM) to combine the concept of fully homomorphic encryption (FHE) with adaptive privacy-aware optimization to be able to perform secure computations on encrypted model parameters. The framework uses encrypted gradient aggregation, differential-noise reinforcement, and lightweight key-rotation protocol to minimize the possibility of leakage without compromising the performance of learning. Also, an AI-based optimization controller balances the encryption overhead, communication frequency, and computation budget of heterogeneous nodes dynamically. Experimental analysis of benchmark healthcare and smart-city datasets, experimental results show that AE-HFM can offer privacy resilience through inference attacks, on par with state-of-the-art FL approaches, and with only less than 9% computational cost. These findings affirm that the solution suggested is an important step in the right direction in terms of providing privacy-sensitive distributed learning applications with high confidentiality, scalability and robustness. © 2025 IEEE.</t>
  </si>
  <si>
    <t>R0538</t>
  </si>
  <si>
    <t>A Federated Deep Learning Paradigm for Privacy-Preserving Cloud Applications</t>
  </si>
  <si>
    <t>Mohanty, S.; Gupta, P.; Singh, A.P.; Shankar, S.; Shamila, M.; Verma, A.K.</t>
  </si>
  <si>
    <t>Found in: Scopus · DOI: 10.1109/ICETICS69505.2026.11651117</t>
  </si>
  <si>
    <t>Deep learning is becoming popular in cloud applications and serves to provide intelligent services; data aggregation in a central location makes sensitive information vulnerable to privacy breaches, regulatory infractions, and adversarial manipulation. All modern privacy mechanisms offer partial protection and frequently lack accuracy, scalability, or practicality in their operations. To overcome these limitations, a federated deep learning model is formulated so that secure joint learning can occur without transferring raw data across the domains of ownership. The framework incorporates training that is decentralized, training that uses differential privacy, training that uses secure aggregation, training that uses encrypted communication, and training that uses trust-based anomaly defense to defend against leakage, poisoning, and inference attacks. It also supports heterogeneous and highly non-IID datasets using adaptive coordination and stability-relevant participation regulation and meets emerging data protection requirements. The methods of resource-conscious orchestration and the optimization of communication eliminate overhead without obstructing the effectiveness of learning. The paradigm has therefore formed a privacy-by-design intelligent cloud ecosystem which ensures confidentiality, maintains performance, enhances robustness, and ensures responsible AI implementation in privacy-related sectors of healthcare, finance, governance, and smart infrastructure. © 2026 IEEE.</t>
  </si>
  <si>
    <t>R0539</t>
  </si>
  <si>
    <t>ENHANCING DATA PRIVACY AND OPTIMIZING LONGDISTANCE DATA TRANSMISSION USING MACHINE LEARNING IN WIRELESS SENSOR NETWORK</t>
  </si>
  <si>
    <t>Paul, S.P.; Shieh, S.-S.; Vetrithangam, D.; Shankar, S.</t>
  </si>
  <si>
    <t>Wireless Sensor Networks (WSNs) have emerged as a transformative technology that enables real-time data acquisition and communication across sectors such as healthcare, environmental monitoring, and smart transportation. WSNs have achieved notable progress in micro-electro-mechanical systems, low-power communication, and digital electronics, yet remain burdened by two ongoing issues: data privacy preservation and resource optimization for data transmission. The proposed research establishes a unified framework that combines Homomorphic Encryption (HE) with Federated Learning (FL) and Q-learningbased Reinforcement Learning (RL) to overcome existing challenges. The methodology is organized into three layers that support encrypted data acquisition, distributed model development, and optimized intelligent network routing. The Homomorphic Encryption system provides strong protection for encrypted sensor data, and the Federated Learning method prevents the transmission of raw information during model training. Through Q-Learning, the system achieves energy-efficient routing by dynamically adjusting paths based on network conditions. In addition to performance monitoring, the system provides real-time feedback loops that adaptively control encryption and routing parameters. The experimental tests conducted with NS-3 simulations and benchmark datasets showed that the HE-FL framework achieved a 0% success rate in data reconstruction under adversarial attacks, while maintaining acceptable model accuracy. QLearning- based routing improved network lifetime by 27% over LEACH, while delivering packets at 98.2%. The system operated with high computational efficiency using limited resources from microcontrollers. This research develops an extended, secure, and efficient WSN architecture that meets real-time requirements in healthcare and transportation networks. Edge intelligence benefits from this work because it integrates privacy-protecting algorithms and self-operating routing methods, overcoming standard WSN limitations. This framework demonstrates potential for general use in extensive securitycritical sensor-based systems that need reliable information protection. © Little Lion Scientific</t>
  </si>
  <si>
    <t>R0540</t>
  </si>
  <si>
    <t>privateST: a feasible framework for privacy-preserving spatial transcriptomics prediction from histopathology images</t>
  </si>
  <si>
    <t>Kim, H.; Kim, M.; Han, B.</t>
  </si>
  <si>
    <t>Found in: Scopus; PubMed · DOI: 10.1038/s41598-026-55961-4 · PMID: 42236846</t>
  </si>
  <si>
    <t>Predicting spatial transcriptomics from histology images offers cost-effective insights but faces privacy barriers preventing cross-institutional data sharing. To address this, we present privateST, a homomorphic-encryption-optimized framework that substantiates the feasibility of secure spatial transcriptomics prediction. To accommodate the computational constraints of homomorphic encryption, we downsampled the input images using bilinear interpolation. To improve prediction accuracy for the 100 target genes, we incorporated predictions for an auxiliary set of 150 highly expressed genes. This approach enables the model to learn from a more diverse genomic context, thereby refining the feature representations for the high-priority target genes. To adapt the architecture for homomorphic encryption, we replaced Max-Pooling and ReLU with Average-Pooling and polynomial approximation, respectively. These modifications eliminate non-linear comparison operations, significantly reducing the multiplicative depth. We also implemented multiplexed packing to optimize the efficiency of encrypted data processing. Remarkably, our results demonstrate that despite the reduced input resolution, this proposed approach achieves accuracy comparable to the original ResNet-18 configurations without downsampling. © The Author(s) 2026.</t>
  </si>
  <si>
    <t>R0541</t>
  </si>
  <si>
    <t>Deep Learning Based CNN Model for Privacy Preserving Techniques in Health Care Imaging</t>
  </si>
  <si>
    <t>Kumar, S.; Modh, N.N.; Shuaib, M.; Alsalami, Z.; Roy, S.; William, P.</t>
  </si>
  <si>
    <t>Found in: Scopus; IEEE · DOI: 10.1109/ICCETM66557.2025.11557895</t>
  </si>
  <si>
    <t>The exponential growth of big data in healthcare, finance, and other critical sectors has amplified the need for advanced privacy-preserving data mining (PPDM) techniques. This study presents a comprehensive evaluation of four major PPDM methods - Differential Privacy, Homomorphic Encryption, Data Masking, and Secure Aggregation - by assessing their performance across metrics such as accuracy, latency, utility, privacy score, and computational cost. Special emphasis is given to their application in encrypted electrocardiogram (ECG) signal classification within cloud-based machine learning environments. Through comparative analysis, descriptive statistics, and ANOVA testing, the findings reveal that while Homomorphic Encryption offers the highest level of privacy, it imposes substantial computational overhead. In contrast, lightweight techniques like Data Masking maintain data utility and performance but with lower privacy guarantees. The study also visualizes industry adoption trends and user trust scores, revealing significant trade-offs between confidentiality, usability, and processing speed. The results suggest that no single method satisfies all requirements, making hybrid approaches essential for scalable, privacy-compliant big data analytics in sensitive domains.  © 2025 IEEE.</t>
  </si>
  <si>
    <t>R0542</t>
  </si>
  <si>
    <t>Blockchain based Anomaly Detection System using CNN</t>
  </si>
  <si>
    <t>Qureshi, M.A.; Asghar, A.; Hassan, T.</t>
  </si>
  <si>
    <t>Found in: Scopus · DOI: 10.1109/ICIC68258.2025.11413011</t>
  </si>
  <si>
    <t>The detection of anomalies is a foundational component of modern security and risk management systems. Traditional anomaly detection approaches lack built-in mechanisms for data privacy and accountability. This paper presents a privacy-protected anomaly detection system that combines Convolutional Neural Networks (CNNs) with blockchain technology to ensure secure and trustworthy surveillance monitoring. The system identifies unusual or suspicious activities in video frames, using data from the UCSD Pedestrian Dataset. To protect privacy, the video frames are encrypted using AES-128. The CNN is trained to accurately classify each encrypted frame as either normal or anomalous. After classification, the results, along with the hash of the encrypted frame and the timestamp, are stored on a private Ethereum blockchain using smart contracts. This step ensures that the results are not only secure but also cannot be altered which provides traceability and transparency. The proposed system achieved over 92% accuracy and an AUC score of 0.91. It also showed low latency and acceptable performance for real-time use. The blockchain component added minimal overhead while ensuring data security and auditability. Lastly, this research offering a solution that combines artificial intelligence with secure data handling. The system is especially useful for applications in smart surveillance, healthcare monitoring, and critical infrastructure, where both accuracy and data privacy are essential. ©2025 IEEE.</t>
  </si>
  <si>
    <t>R0543</t>
  </si>
  <si>
    <t>Enhancing pollution detection with nanosensors and AI: the AEPM-Net approach</t>
  </si>
  <si>
    <t>Nagineni, S.; Nandhinidevi, S.; Manjulaadevi, K.; Sakthidharan, G.R.; Musale, V.</t>
  </si>
  <si>
    <t>Found in: Scopus · DOI: 10.1007/s41204-026-00566-5</t>
  </si>
  <si>
    <t>Accurate air pollution prediction needs systems that monitor diverse environmental data, adapt to changing pollution patterns, and ensure secure real-time communication. Existing systems struggle to capture distributed sensor interactions and dynamic environmental variations effectively. To address this problem, the study proposes an Adaptive and Efficient Air Pollution Monitoring Network (AEPM-Net) incorporating Metal Oxide Semiconductor (MOS) nanosensors with an average particle size ranging from 20 to 40 nm for sensitive air-quality monitoring. The system monitors levels of Carbon Monoxide, Nitrogen Dioxide, Sulfur Dioxide, Nitric Oxide, Volatile Organic Compound, and Particulate Matter, which includes fine particulate matter and coarse particulate matter, in different locations. The system uses SPECK encryption and additive Lightweight Homomorphic Encryption (LHE) to protect collected pollutant data, while noise filtering and modified Z-score normalization methods help to stabilize the data. The Spatio-Temporal Data Processing Module (ST-DPM) analyzes nanosensor data across time and space by capturing correlations among distributed sensors and environmental variations. The Hierarchical Attention Mechanism (HAM) prioritizes important spatio-temporal features to improve prediction accuracy. The Dynamic Adaptation Module (DAM) adjusts parameters in real time, while the Pollution Level Prediction Module (PLPM) forecasts pollutant levels with uncertainty handling. Over 90 days, the model achieved R² values of 0.973, 0.974, 0.975, 0.978, 0.971, 0.969, and 0.967. The proposed framework supports environmental sustainability by enabling early detection of hazardous pollutants, improving urban air quality monitoring, and assisting effective pollution control to protect public health. © The Author(s), under exclusive licence to Springer Nature Switzerland AG 2026.</t>
  </si>
  <si>
    <t>R0544</t>
  </si>
  <si>
    <t>Dynamic Forecasting Method of Multi-Dimensional Potential of Green Electricity Industrial Parks Considering Privacy Preserving</t>
  </si>
  <si>
    <t>Zhang, R.; Kong, X.; Huo, X.; Yu, J.; Pang, C.</t>
  </si>
  <si>
    <t>Found in: Scopus · DOI: 10.23919/CCC64809.2025.11178496</t>
  </si>
  <si>
    <t>The green electricity industrial park (GEIP) serves as a critical approach for energy conservation and carbon reduction, effectively enhancing the proportion of renewable energy in terminal energy consumption and improving the stability of the new-type power system. Currently, GEIPs are in a nascent developmental stage characterized by ambiguous interaction mechanisms and lacking a comprehensive evaluation system and potential forecasting methodology for green development. In this context, this study proposes a dynamic forecasting method of multi-dimensional potential to provide theoretical support for the development of GEIPs. Firstly, a multi-dimensional evaluation index system and forecasting model are established to quantitatively assess the renewable energy absorption ratio and regulation potential of GEIPs. Considering the substantial privacy-sensitive data involved, the Cheon-Kim-Kim-Song (CKKS) scheme is implemented to address user privacy concerns while streamlining encryption procedures. Subsequently, a Multi-head Attention-Multilayer Perceptron (MA-MLP) training framework based on fully homomorphic encryption is developed to enhance the accuracy of the potential forecasting model. Case studies demonstrate that the proposed method effectively measures the developmental potential of GEIPs. The CKKS-MAMLP method significantly improves the reliability and accuracy of potential forecasting across various parks, providing empirical evidence for their sustainable development. This approach offers actionable guidance for efficient operation and healthy evolution of the new-type power system under the 'dual carbon' goals. © 2025 Technical Committee on Control Theory, Chinese Association of Automation.</t>
  </si>
  <si>
    <t>R0545</t>
  </si>
  <si>
    <t>Discovery of three toxic proteins of klebsiella phage fHe-Kpn01</t>
  </si>
  <si>
    <t>Spruit, C.M.; Wicklund, A.; Wan, X.; Skurnik, M.; Pajunen, M.I.</t>
  </si>
  <si>
    <t>Found in: Scopus; PubMed · DOI: 10.3390/v12050544 · PMID: 32429141</t>
  </si>
  <si>
    <t>The lytic phage, fHe-Kpn01 was isolated from sewage water using an extended-spectrum beta-lactamase-producing strain of Klebsiella pneumoniae as a host. The genome is 43,329 bp in size and contains direct terminal repeats of 222 bp. The genome contains 56 predicted genes, of which proteomics analysis detected 29 different proteins in purified phage particles. Comparison of fHe-Kpn01 to other phages, both morphologically and genetically, indicated that the phage belongs to the family Podoviridae and genus Drulisvirus. Because fHe-Kpn01 is strictly lytic and does not carry any known resistance or virulence genes, it is suitable for phage therapy. It has, however, a narrow host range since it infected only three of the 72 tested K. pneumoniae strains, two of which were of capsule type KL62. After annotation of the predicted genes based on the similarity to genes of known function and proteomics results on the virion-associated proteins, 22 gene products remained annotated as hypothetical proteins of unknown function (HPUF). These fHe-Kpn01 HPUFs were screened for their toxicity in Escherichia coli. Three of the HPUFs, encoded by the genes g10, g22, and g38, were confirmed to be toxic. © 2020 by the authors.</t>
  </si>
  <si>
    <t>R0546</t>
  </si>
  <si>
    <t>MOSAIC-FL, a Micro-Service Based Privacy-Preserving Framework with Application to Genomics</t>
  </si>
  <si>
    <t>Largillier, P.; Paygambar, K.; Gouy-Pailler, C.; Meyer, V.; Mziou, M.; Stan, O.</t>
  </si>
  <si>
    <t>Found in: Scopus · DOI: 10.5220/0015159200004103</t>
  </si>
  <si>
    <t>Security and privacy are primordial requirements for Federated Learning (FL) especially in fields such as healthcare and genomics when sensitive information has to be analyzed. Our FL framework is designed to address these challenges while proposing a modular, flexible and micro-service architecture. More precisely, it integrates an efficient gRPC communication layer and a Finite State Machine to ensure robust component synchronization and threat detection while based on a fault-tolerant secure aggregation protocol using a Threshold variant of CKKS homomorphic cryptosystem. This allows blind model aggregation by an orchestration server, requiring a minimum of t-out-of-N active clients for decryption while minimizing communication overhead thanks to both cryptographic and network protocols. We demonstrate the framework’s effectiveness through diverse use cases, ranging from standard image recognition (EMNIST) to complex genomic classification including breast cancer subtyping on TCGA, evaluating system performance across different threshold value and model scales. © 2026 by SCITEPRESS – Science and Technology Publications, Ltd.</t>
  </si>
  <si>
    <t>R0547</t>
  </si>
  <si>
    <t>Oppositional Jellyfish Search Optimizer with Deep Transfer Learning Enabled Secure Content-Based Biomedical Image Retrieval</t>
  </si>
  <si>
    <t>Ashary, E.B.; Jambi, S.; Ashari, R.B.; Ragab, M.</t>
  </si>
  <si>
    <t>Found in: Scopus; IEEE · DOI: 10.1109/ACCESS.2023.3305368</t>
  </si>
  <si>
    <t>Recently, a drastic increase in medical imaging such as X-rays, Magnetic Resonance Imaging (MRI), and Computed Tomography (CT) offers essential anatomical and functional details related to different body parts for monitoring, treatment planning, detection, and classification. The use of Content-Based Medical Image Retrieval (CBMIR) technologies helps to handle massive amounts of medical images, and also encryption can be considered an effective solution to attain security in the CBMIR process. In this regard, this research develops an optimal deep transfer learning enabled secure CBMIR technique, called ODTL-SCBMIR model. The proposed ODTL-SCBMIR prototype aim is to provide image encryption techniques with retrieval procedures. To accomplish this, the presented ODTL-SCBMIR model initially employs multikey homomorphic encryption (MKHE) with an oppositional jellyfish search optimizer (OJSO) algorithm for security. Next, the image retrieval process includes a series of processes namely capsule network (CapsNet) based feature extraction, chaos game optimization (CGO) based hyperparameter optimizer, and Manhattan distance based similar measurement. The performance validation of the ODTL-SCBMIR prototype is experimented with by employing a set of medical images. The investigational results implied the enhanced performance of the ODTL-SCBMIR prototype over current approaches.  © 2013 IEEE.</t>
  </si>
  <si>
    <t>R0548</t>
  </si>
  <si>
    <t>Development of AI Models Driven by Blockchain for Privacy-Preserving Data Exchange in Personal Data Management and Healthcare Systems</t>
  </si>
  <si>
    <t>Khan, S.A.; Khan, F.A.; Srinivasan, S.</t>
  </si>
  <si>
    <t>Found in: Scopus; IEEE · DOI: 10.1109/ICACT67549.2025.11351450</t>
  </si>
  <si>
    <t>As reliance on AI in personal data management and health care systems increases, concerns about data privacy and security grow. Conventional AI models improve their predictions and performance by access to sensitive personal information, placing users at the risk of privacy concerns and data breaches. Blockchain is a decentralized, secure, and transparent framework for managing data - one that holds potential for answering these privacy challenges. This work looks into forming up AI models based on blockchain technology to support privacy-preserving data interchange in personal data management and healthcare systems. We aim to develop a system that embeds privacy in data sharing - to do so, we will leverage the benefits of blockchain, such as encryption, immutability and no central controller, augmented with advanced AI techniques. They proposed a framework based on smart contracts that can automatically grant data access and verify if the AI model was working on the encrypted data without showing personal or sensitive information. To address this challenge, federated learning and homomorphic encryption techniques are introduced to facilitate the training of distributed AI models while ensuring data privacy in decentralized networks. Finally, the research investigates blockchainpowered AI models in healthcare systems, which necessitate data privacy due to stringent regulatory frameworks, to assess their performance, scalability, and security. This research helps pave the way for more responsible, transparent and impactful AI-driven solutions for personal data management and healthcare systems by illustrating the synergistic capabilities of AI and blockchain supporting secure and privacy-respecting data exchange. The findings indicate that by leveraging the power of blockchain, it is possible to bolster the confidence and trustworthiness of Artificial Intelligence systems, without breaching data protection regulations while not impacting the advantages of AI innovation in crucial sectors.  © 2025 IEEE.</t>
  </si>
  <si>
    <t>R0549</t>
  </si>
  <si>
    <t>Securing Tuberculosis Disease Detection with IoT-Driven Improved AlexNet and RSA Encryption</t>
  </si>
  <si>
    <t>Kavitha, S.; Nagamani, H.S.; Rallapalli, S.; Sumanth, S.; Pareek, P.K.</t>
  </si>
  <si>
    <t>Found in: Scopus · DOI: 10.1109/ICDCOT61034.2024.10516004</t>
  </si>
  <si>
    <t>This study provides tuberculosis (TB) disease detection method that protects patient data and is accurate. It uses homomorphic filtering to improve chest X-ray images using the Shenzhen dataset, which rallies classification. The advised Improved AlexNet model extracts complex features from pre-processed images to detect tuberculosis. In addition to image processing and classification advances, this paper incorporates Rivest-Shamir-Adleman (RSA) encryption to secure patient data. This RSA algorithms. Guaranteeing patient record confidentiality and integrity ensures ethical and privacy compliance. This method has a Peak Signal-to-Noise Ratio (PSNR) of 49.84, a minimized Bit Error Rate (BER) of 0.39, an SSI of 0.93, model.  © 2024 IEEE.</t>
  </si>
  <si>
    <t>R0550</t>
  </si>
  <si>
    <t>Intelligent Beta-Based Polynomial Approximation of Activation Functions for a Robust Data Encryption System</t>
  </si>
  <si>
    <t>Issaoui, H.; Eladel, A.; Zaied, M.</t>
  </si>
  <si>
    <t>Found in: Scopus · DOI: 10.18178/joig.12.3.259-268</t>
  </si>
  <si>
    <t>Deep neural network-based machine learning algorithms are widely used within different sectors and produce excellent results. However, their use requires access to private, often confidential, and sensitive information (financial, medical, etc). This requires precise measures and particular attention to data security and confidentiality. In this paper, we propose a new solution to this problem by integrating a proposed Convolutional Neural Network (CNN) model on encrypted data within the constraints of homomorphic encryption techniques. Specifically, we focus on the approximate activation functions ReLU, Sigmoid, and Tanh, which appear to be the key functions of CNNs. We start by developing new low-degree polynomials, which are essential for successful Homomorphic Encryption (HE). The activation functions will be replaced by these polynomials, which are based on the Beta function and its primitive. To make certain that the data is contained within a given range, the next step is to build a new CNN model using batch normalization. Finally, our methodology and the effectiveness of the proposed strategy are evaluated using Mnist and Cifar10. The experimental results support the proposed approach’s efficiency. © 2024 by the authors.</t>
  </si>
  <si>
    <t>R0551</t>
  </si>
  <si>
    <t>Research on Medical Image Classification Based on Improved FedAvg Algorithm</t>
  </si>
  <si>
    <t>Li, R.; Wang, H.; Lu, Q.; Yan, J.; Ji, S.; Ma, Y.</t>
  </si>
  <si>
    <t>Found in: Scopus · DOI: 10.26599/TST.2024.9010184</t>
  </si>
  <si>
    <t>Federated learning (FL) technology has significant advantages in solving data silos and user privacy problems, but the traditional federal average (FedAvg) algorithm is ineffective in classifying and faces the risk of refactoring attacks when dealing with non-independent and identically distributed (Non-IID) data, which is especially prominent since medical data involves sensitive personal health information. Therefore, optimizing FedAvg to adapt to Non-IID data distribution and enhancing privacy protection are urgent problems that need to be solved, and this paper investigates these two aspects. In order to enhance the classification performance of FedAvg under Non-IID distribution, this paper combines the optimized deep learning model SE-ResNet18-E with FedAvg to obtain the FedAvg(SE-ResNet18-E) algorithm. The algorithm takes advantage of the SEResNet18-E model in feature extraction and classification tasks, fully uses the data resources of each participant, and improves the classification performance of FedAvg under Non-IID distribution. In addition, the algorithm achieves high communication performance. Second, in order to enhance the security of FL in the medical domain, threshold Paillier encryption is further introduced on top of FedAvg(SE-ResNet18-E) to form the Safe-FedAvg(SE-ResNet18-E) algorithm, which solves the threat of reconstruction attack and private key leakage in medical FL. After experimental validation, the Safe-FedAvg (SE-ResNet18-E) algorithm effectively improves the accuracy of disease classification and effectively protects the privacy and security of medical data, and enhances the trust of medical organizations participating in FL. © The author(s) 2025.</t>
  </si>
  <si>
    <t>R0552</t>
  </si>
  <si>
    <t>Smart battery management in EVs using IoT, blockchain, and machine learning</t>
  </si>
  <si>
    <t>Kavitha, D.; Sharmila, B.</t>
  </si>
  <si>
    <t>Found in: Scopus · DOI: 10.1038/s41598-025-21605-2</t>
  </si>
  <si>
    <t>Electric Vehicles (EVs) have gained significant attention in recent years, mostly owing to the advancements in electric motors and minimal impact on the environment. In the same way, the rapid development of the Internet of Things (IoT) facilitated the interconnection of an increasing number of devices. A significant challenge that EVs have presently is the restricted battery range and a shortage of charging or battery switching facilities. The Battery Management System (BMS) is significant in EVs since it regulates and monitors battery functionality, providing optimal efficiency and prolonging battery lifespan. Integrating IoT and Blockchain (BC) in BMS offers a promising approach to enhance energy efficiency and battery state evaluation. In this research, a BMS model for EVs using IoT, blockchain and machine learning (ML) is developed. The IoT sensors have been equipped to the electric vehicles to gather data such as the level of charging, the distance to be travelled, and the EVs location. For determining the cost of charging, this information is stored and processed by a database, and then it is given as input to the Extreme Gradient Boosting (XGBoost) classifier. After that, the power scheduling based on the Grey Wolf Optimization (GWO) technique processes it to determine the location of the charging station, as well as the time and space of charging that is closest. Finally, this data is stored in blocks to prevent intruders from gaining access to electric vehicles and to ensure that pricing transactions between users and charging stations are carried out in a secure manner. For these secure transactions, a permissioned blockchain with homomorphic encryption (HE) is implemented. The results show that the research work produced an enhanced BMS model with an accuracy rate of 97.36% in detecting close charging station and that it maintains a communication overhead with 35 ms, which was 14% lower than the compared models. © The Author(s) 2025.</t>
  </si>
  <si>
    <t>R0553</t>
  </si>
  <si>
    <t>Privacy-Preserving Federated Vision Transformer Learning Leveraging Lightweight Homomorphic Encryption in Medical AI</t>
  </si>
  <si>
    <t>Amin, A.; Hasan, K.; Hong, L.; Ullah, S.</t>
  </si>
  <si>
    <t>Found in: Scopus; IEEE · DOI: 10.1109/ICNC68183.2026.11416875</t>
  </si>
  <si>
    <t>Collaborative machine learning across healthcare institutions promises improved diagnostic accuracy by leveraging diverse datasets, yet privacy regulations such as HIPAA prohibit direct patient data sharing. While federated learning (FL) enables decentralized training without raw data exchange, recent studies demonstrate that model gradients in conventional FL remain vulnerable to reconstruction attacks, potentially exposing sensitive medical information. This paper presents a privacy-preserving federated learning framework combining Vision Transformers (ViT) with homomorphic encryption (HE) for secure multiinstitutional histopathology classification. This approach leverages the ViT's [CLS] token as a compact 768-dimensional feature representation as the unit of secure aggregation, encrypting these tokens using CKKS homomorphic encryption before server transmission. We demonstrate that encrypting [CLS] tokens achieves a 30-fold communication reduction compared to gradient encryption while maintaining strong privacy guarantees. Through evaluation on a three-client federated setup for lung cancer histopathology classification, we show that Gradients are highly susceptible to model inversion attacks (PSNR: 52.26 dB, SSIM: 0.999, NMI: 0.741), enabling near-perfect image reconstruction. In contrast, the proposed CLS-protected HE approach prevents such attacks while enabling encrypted inference directly on ciphertexts, requiring only 326 KB encrypted data transmission per aggregation round. The framework achieves 96.12% global classification accuracy in the unencrypted domain and 90.02% in the encrypted domain. © 2026 IEEE.</t>
  </si>
  <si>
    <t>R0554</t>
  </si>
  <si>
    <t>Privacy-Preserving CNN Inference for Image Super-Resolution Cross Multiple Ciphertexts</t>
  </si>
  <si>
    <t>Zheng, P.; Mo, D.; Zhou, Y.; Gao, X.; Cao, X.; Huang, J.</t>
  </si>
  <si>
    <t>Found in: Scopus · DOI: 10.1109/TIP.2025.3641310</t>
  </si>
  <si>
    <t>Online image super-resolution (SR) services have been widely used in applications such as Remini and DeepAI. However, the exposure of plaintext images raises serious privacy concerns. While secure CNN inference techniques are employed to protect images in image classification, they are not applicable to the unique challenges posed by image SR: the output resolution is significantly higher than that of the input image. In this paper, we present a secure CNN inference scheme for image SR by employing a multiple ciphertext encapsulation method. We begin by designing fundamental homomorphic operations, including addition, multiplication, and rotation across ciphertexts. Recognizing that image SR typically involves an upsampling layer—unlike image classification—we propose a fast algorithm for secure upsampling. This technique leverages pre-weight block masking and cross-ciphertext rotation, resulting in a significant speedup compared to direct homomorphic upsampling. We then present an efficient batched homomorphic two-dimensional convolution method across ciphertexts, incorporating kernel rearrangement and merging strategies. We also design a polynomial activation function specifically optimized for image SR, further enhancing performance. Extensive experiments demonstrate that our HE-friendly SR network outperforms existing secure solutions, while the proposed multiple ciphertext encapsulation technique achieves at least a 2x improvement in both computational efficiency and memory usage. © 1992-2012 IEEE.</t>
  </si>
  <si>
    <t>R0555</t>
  </si>
  <si>
    <t>Privacy-preserving collaborative machine learning in biomedical applications</t>
  </si>
  <si>
    <t>Kim, W.; Seok, J.</t>
  </si>
  <si>
    <t>Found in: Scopus; IEEE · DOI: 10.1109/ICAIIC54071.2022.9722703</t>
  </si>
  <si>
    <t>Machine learning (ML) algorithms are now widely used to tackle computational problems in diverse domains. In biomedicine, the rapidly growing amounts of experimental data increasingly necessitate the use of ML to discern complex data patterns. However, biomedical data is often considered sensitive, and the privacy of individuals behind the data is increasingly put at risk as a result. Traditional methods such as anonymization and pseudonymization are not always applicable and have limited effectiveness with respect to risk mitigation. Privacy researchers are actively developing alternative approaches to privacy protection, including strategies based on cryptography, such as homomorphic encryption and secure multiparty computation. This paper discusses recent advances in biomedical applications of these privacy techniques. We first review the key privacy techniques, then provide an overview of their applications in biomedical machine learning. Finally, we highlight the remaining challenges of current approaches and suggest directions for future work.  © 2022 IEEE.</t>
  </si>
  <si>
    <t>R0556</t>
  </si>
  <si>
    <t>Hybrid Privacy-preserving Histopathological Image Classification Using Fully Homomorphic Encryption</t>
  </si>
  <si>
    <t>Moskalewicz, D.; Cyganek, B.</t>
  </si>
  <si>
    <t>Found in: Scopus · DOI: 10.1007/978-3-032-29909-3_38</t>
  </si>
  <si>
    <t>Automated analysis of histopathological scans allows for cancer diagnosis, yet deploying deep learning models for automated classification brings the risk of misuse of patient data and privacy violations. Fully homomorphic encryption (FHE) is a cryptographic paradigm that allows for computation to be performed on encrypted data by untrusted parties, without decrypting the data. While FHE solves the problem of preserving privacy for remote computation on sensitive data, it is prohibitively computationally expensive when used with deep neural networks. To address this bottleneck, this study proposes a hybrid architecture that distributes computation between the client and the server. Our method utilizes a pretrained DINO ViT model for local image feature extraction on the client, followed by dimensionality reduction using the principal and neighborhood component analysis methods. These reduced features are then encrypted and classified remotely by a support vector machine (SVM), that can be executed in untrusted environments using FHE. We evaluated this approach on demonstrating that feature dimensions can be reduced by approximately 50% with less than one percentage point decrease in classification accuracy, while dramatically reducing encrypted model inference time. © The Author(s), under exclusive license to Springer Nature Switzerland AG 2026.</t>
  </si>
  <si>
    <t>R0557</t>
  </si>
  <si>
    <t>Tri-level attention boosted sliced recurrent neural network for secure and scalable blockchain-based healthcare data management</t>
  </si>
  <si>
    <t>Alajlan, A.M.; Almasri, M.M.</t>
  </si>
  <si>
    <t>Found in: Scopus · DOI: 10.1007/s00521-026-11994-4</t>
  </si>
  <si>
    <t>The enhancement of security for sensitive healthcare data stored in cloud environments has become crucial due to growing concerns about data privacy and security. Traditional centralized systems face limitations in terms of data integrity and access control. In this paper, we propose a novel blockchain-based infrastructure integrated with decentralized network nodes to safeguard healthcare data and improve transmission performance. Smart contracts are employed to ensure secure data access and facilitate reliable data transmission to the destination. Medical records, including images and treatment details, are stored securely using off-chain storage solutions such as the InterPlanetary File System and validated through a consensus mechanism. To address malicious threats and enhance data privacy, we introduce the Tri-level Attention Boosted Sliced Recurrent Neural Network, which effectively detects and mitigates security breaches. Furthermore, the Federated Learning model is incorporated to preserve privacy while training models on distributed data, avoiding the need to share sensitive information. The security framework is strengthened with Differential Privacy and Homomorphic Encryption techniques to ensure higher scalability and privacy. The experimental outcome of the Tri-level Attention Boosted Sliced Recurrent Neural Network-based blockchain improves the throughput and diminishes the generation time to 1000 Transaction per second as well as 5 s. Further, the efficiency is maximized, and the accuracy achieves 95%. Thus, the proposed method outperformed all other traditional approaches that improve the security and enhance the transmission process with better privacy in real-time applications. © The Author(s), under exclusive licence to Springer-Verlag London Ltd., part of Springer Nature 2026.</t>
  </si>
  <si>
    <t>R0558</t>
  </si>
  <si>
    <t>Method for Distributed Data Security Sharing and Recovery of Electric Power Information System</t>
  </si>
  <si>
    <t>Feng, B.; Zhang, Q.; Zhang, Z.; Tan, H.</t>
  </si>
  <si>
    <t>Found in: Scopus; IEEE · DOI: 10.1109/CICSE70286.2026.11620867</t>
  </si>
  <si>
    <t>With the deep integration of smart grids and the power Internet of Things, power information system data exhibits distributed storage, multi-agent interaction and high sensitivity, making traditional centralized data management unsuitable for secure sharing and reliable recovery. To address data leakage, illegal tampering, node failures and data loss caused by malicious attacks, this paper proposes a secure data sharing and recovery method integrating biostatistical modeling, distributed collaborative optimization, network security protection and AI-enabled cloud computing services. A three-layer wireless sensor network-fog-cloud distributed framework is constructed, where edge devices perform data sensing and preprocessing, fog nodes support collaborative caching and local repair, and cloud platforms provide AI-based node health prediction, access behavior identification and recovery resource scheduling. For secure sharing, consortium blockchain, attribute-based encryption, hash functions and CKKS homomorphic encryption are combined to realize fine-grained access control, encrypted computation and traceable multi-agent data sharing. For reliable recovery, failure probability modeling and survival analysis from biostatistics are introduced to quantify node availability, data survival rate and repair priority. Erasure codes, regenerating codes and an optimal repair tree algorithm are further integrated to optimize distributed redundant storage and data repair paths. Simulation results on typical power multimedia data show that the proposed method reduces synchronization delay and cloud response frequency, improves privacy protection, tamper resistance, fault tolerance and recovery capability, and achieves coordinated optimization of security, reliability and efficiency in distributed smart grid data management. © 2026 IEEE.</t>
  </si>
  <si>
    <t>R0559</t>
  </si>
  <si>
    <t>COLA-GLM: collaborative one-shot and lossless algorithms of generalized linear models for decentralized observational healthcare data</t>
  </si>
  <si>
    <t>Wu, Q.; Reps, J.M.; Li, L.; Zhang, B.; Lu, Y.; Tong, J.; Zhang, D.; Lumley, T.; Brand, M.T.; Van Zandt, M.; Falconer, T.; He, X.; Huang, Y.; Li, H.; Yan, C.; Tang, G.; Williams, A.E.; Wang, F.; Bian, J.; Malin, B.; Hripcsak, G.; Schuemie, M.J.; Lu, Y.; Drew, S.; Zhou, J.; Asch, D.A.; Chen, Y.</t>
  </si>
  <si>
    <t>Found in: Scopus · DOI: 10.1038/s41746-025-01781-1</t>
  </si>
  <si>
    <t>Clinical insights from real-world data often require aggregating information from institutions to ensure sufficient sample sizes and generalizability. However, patient privacy concerns only limit the sharing of patient-level data, and traditional federated learning algorithms, relying on extensive back-and-forth communications, can be inefficient to implement. We introduce the Collaborative One-shot Lossless Algorithm for Generalized Linear Models (COLA-GLM), a novel federated learning algorithm that supports diverse outcome types via generalized linear models and achieves results identical to a pooled patient-level data analysis (lossless) with only a single round of aggregated data exchange (one-shot). To further protect aggregated institutional data, we developed a secure extension, secure-COLA-GLM, utilizing homomorphic encryption. We demonstrated the effectiveness and lossless property of COLA-GLM through applications to an international influenza cohort and a decentralized U.S. COVID-19 mortality study. COLA-GLM and secure-COLA-GLM offer a scalable, efficient solution for decentralized collaborative learning involving multiple data partners and diverse security requirements. © The Author(s) 2025.</t>
  </si>
  <si>
    <t>R0560</t>
  </si>
  <si>
    <t>Alveolar Bone Morphologic Predictors for Guided Bone Regeneration Outcome in Anterior Maxilla</t>
  </si>
  <si>
    <t>Gan, L.-M.; Zhou, Q.-R.; Zhang, Y.; Yu, Y.-C.; Yu, Z.-Z.; Sun, Y.; Li, R.-X.; Wu, X.-W.; Yang, F.</t>
  </si>
  <si>
    <t>Found in: Scopus; PubMed · DOI: 10.1016/j.identj.2023.07.007 · PMID: 37714716</t>
  </si>
  <si>
    <t>Objectives: This study aimed to explore the influence of alveolar bone morphologic variables on the outcome of guided bone regeneration (GBR) in the anterior maxilla region. Methods: Twenty-eight patients who received single maxillary anterior tooth delayed implant placed simultaneously with GBR were recruited. Baseline data including age, gender, implant site, implant brand, and bone graft materials were recorded. The resorption rate of the grafted bone (RRGB), labial bone width at 0 mm, 2 mm, and 4 mm apical to the implant platform at Tn (LBW0Tn, LBW2), implant angulation (IA), maximum bone graft thickness (MBGT), bone graft volume (BGV), and the initial bone morphologic variables bone concavity depth (BCD) and bone concavity angulation (BCA) were measured. The Pearson correlation analysis, analysis of variance (ANOVA), and optimal binning method were used to explore the potential predictors for GBR. Results: Among 28 patients, the labial bone width of implant and bone graft volume decreased significantly when measured 6 months after surgery. The mean percentage of RRGB was 49.78%. RRGB was not correlated with gender, age, bone graft material, IA, MBGT, bone graft volume at T1, implant site, and implant brand (P &gt; .05). BCD and BCA were each moderately correlated with RRGB (r = −0.872 [P &lt; .001] and r = 0.686 [P &lt; .001], respectively). A BCD ≥1.03 mm and a BCA &lt;155.30° resulted in a significantly lower percentage of RRGB (P &lt; .001). Conclusions: A significant grafted bone materials volume reduction was detected after GBR with collagen membrane and deproteinized bovine bone mineral (DBBM). The initial bone morphology can influence GBR outcome, and a bone concavity with a depth ≥1.03 mm and an angulation &lt;155.30° led to a lower RRGB. BCD and BCA can be used as variables to predict the outcome of GBR. © 2023 The Authors</t>
  </si>
  <si>
    <t>R0561</t>
  </si>
  <si>
    <t>A Federated Learning Methodology for Preserving Privacy in Healthcare Systems</t>
  </si>
  <si>
    <t>Swetha, S.; Sriharsha, A.V.</t>
  </si>
  <si>
    <t>Found in: Scopus · DOI: 10.1007/978-3-031-78940-3_23</t>
  </si>
  <si>
    <t>Federated learning (FL) is a distributed machine learning system that enables local data sharing for medical IoT devices and EHRs, streamlining healthcare processes and promoting user data privacy. However, FL faces privacy challenges due to model updates being shared between clients and servers, potentially breaching privacy requirements. Healthcare organizations need to address privacy issues in machine learning due to digitization of patient data. Federated learning allows medical institutions to train deep models collaboratively using homomorphic encryption. This study aims to improvise the erstwhile privacy-preserving systems with federated learning system for medical and healthcare data by implementing a realistic implementation of a preprint with a proposed encryption technique (MK-CKKS). The solution involves adjusting a basic “ring learning with error” method, forking a federated learning framework for Python, and incorporating a communication process with protocol buffers. Experimental assessments confirm the framework’s strong model performance despite these adjustments. © The Author(s), under exclusive license to Springer Nature Switzerland AG 2025.</t>
  </si>
  <si>
    <t>R0562</t>
  </si>
  <si>
    <t>Secure Multi-Party Computation for Magnetic Resonance Imaging Classification</t>
  </si>
  <si>
    <t>Lytvyn, O.; Nguyen, G.</t>
  </si>
  <si>
    <t>Found in: Scopus · DOI: 10.1016/j.procs.2023.03.006</t>
  </si>
  <si>
    <t>Accessing private data always requires a complex negotiation process. This process becomes even more challenging under privacy regulations such as the General Data Protection Regulation and the California Consumer Privacy Act. However, in most cases, the availability of greater amounts of data leads to significant technological breakthroughs. The perfect example is the ImageNet classification challenge, which leads to significant improvements in the image recognition area. The combination of these concerns raises the question of performing computations on data that cannot be seen, and a whole new research field that consolidates privacy-preserving concepts and modern data mining techniques comes into place. This is also the purpose of the work presented in this paper, the discovery of Secure Multi-Party Computation (SMPC) capabilities on protecting privacy during the machine learning process. The main attention is paid towards the combination of SMPC and image classification approach based on the convolutional neural network, especially the secure inference process on the encrypted magnetic resonance images. © 2023 Elsevier B.V.. All rights reserved.</t>
  </si>
  <si>
    <t>R0563</t>
  </si>
  <si>
    <t>Privacy-Preserving Artificial Intelligence: Application to Precision Medicine</t>
  </si>
  <si>
    <t>Vizitiu, A.; Nita, C.I.; Puiu, A.; Suciu, C.; Itu, L.M.</t>
  </si>
  <si>
    <t>Found in: Scopus; PubMed; IEEE · DOI: 10.1109/EMBC.2019.8857960 · PMID: 31947330</t>
  </si>
  <si>
    <t>Motivated by state-of-the-art performances across a wide variety of areas, over the last few years Machine Learning has drawn a significant amount of attention from the healthcare domain. Despite their potential in enabling person-alized medicine applications, the adoption of Deep Learning based solutions in clinical workflows has been hindered in many cases by the strict regulations concerning the privacy of patient health data. We propose a solution that relies on Fully Homomorphic Encryption, particularly on the MORE scheme, as a mechanism for enabling computations on sensitive health data, without revealing the underlying data. The chosen variant of the encryption scheme allows for the computations in the Neural Network model to be directly performed on floating point numbers, while incurring a reasonably small computational overhead. For feasibility evaluation, we demonstrate on the MNIST digit recognition task that Deep Learning can be performed on encrypted data without compromising the accuracy. We then address a more complex task by training a model on encrypted data to estimate the outputs of a whole-body circulation (WBC) model. These results underline the potential of the proposed approach to outperform current solutions by delivering comparable results to the unencrypted Deep Learning based solutions, in a reasonable amount of time. Lastly, the security aspects of the encryption scheme are analyzed, and we show that, even though the chosen encryption scheme favors performance and utility at the cost of weaker security, it can still be used in certain practical applications. © 2019 IEEE.</t>
  </si>
  <si>
    <t>R0564</t>
  </si>
  <si>
    <t>Homomorphic multi-label classification of virus strains</t>
  </si>
  <si>
    <t>Zhou, J.; Lei, B.; Lang, H.</t>
  </si>
  <si>
    <t>Found in: Scopus; IEEE · DOI: 10.1109/ISSREW55968.2022.00082</t>
  </si>
  <si>
    <t>Detecting the gene sequence of virus strains from patients and classifying them into specific strains are very important to provide effective treatment. However, there are significant barriers to sharing the virus strains' gene data in plaintext to the privacy concerns of the patients. Homomorphic encryption is a form of encryption that allows users to calculate encrypted data without decrypting it. Achieving highly accurate viral strain prediction while safeguarding user privacy is a challenge. We develop a secure multi-label virus strains classification method using the homomorphic encryption scheme. We first used the method of statistical genotype frequencies for preprocessing to reduce the gene dimension of viral strains. Second, we improved the TFHE library proposed by Chillotti et al. to accommodate the floating-point input of the neural network to make the homomorphic calculation result more accurate. Finally, we improve computational speed and reduce storage usage by a data packing method that packs multiple feature information into one ciphertext. We successfully calculated 2000 virus strains classification inference steps on 128-bit encrypted test data in 0.09 seconds, reaching an accuracy of 100 %. © 2022 IEEE.</t>
  </si>
  <si>
    <t>R0565</t>
  </si>
  <si>
    <t>Enhancing ECG Secure Authentication and Security of Wearable Implantable Medical Devices Using Martino Homomorphic Encryption with an Optimized Granger Causality Inspired Graph Neural Network</t>
  </si>
  <si>
    <t>Kumar, G.A.J.; Brindha, V.E.</t>
  </si>
  <si>
    <t>Found in: Scopus · DOI: 10.1142/S0218126626502208</t>
  </si>
  <si>
    <t>Research on personal authentication security is crucial for both cyber security and privacy. Combining fingerprint and facial recognition have proven to be invaluable for individual authentication. These technologies do have drawbacks, too, such the ability to fake fingerprints and external obstacles. In order to address the issues of forging or faking authentication, many techniques using artificial intelligence have been put forth. Researchers are becoming increasingly interested in user authentication based on electrocardiograms (ECG). In this paper, enhancing ECG secure authentication and security of wearable implantable medical devices using Martino Homomorphic Encryption with an Optimized Granger Causality In-spired Graph Neural Network (ECG-MHE-GCIGNN-TTAO) is proposed. Initially, data is taken from ECG-ID Dataset. Then, data is pre-processed using Implicit Bulk Surface Filtering (IBSF) for scaling and de noising. Then, pre-processing data is fed into extraction process using Signed Cumulative Distribution Transform (SCDT). It extracts relevant features such as name, shape, edge and color. Then, extracted features are given into Martino Homomorphic Encryption Algorithm (MHEA) to secure the historical data. Then, historical data are given into Causality-Inspired Graph Neural Network (GCIGNN) to identify the user Authentication based on ECG. The TTAO is implemented to optimize the hyper parameters of GCIGNN. The performance of the suggested ECG-MHE-GCIGNN-TTAO accurately displays the outcomes of Secure Authentication. The efficiency of the proposed method is evaluated utilizing some metrics, like Accuracy, Recall, F1-score, precision, specificity, computational time is analyzed. Performance of the ECG-MHE-GCIGNN-TTAO approach attains 32.34%, 31.45% and 25.31% higher Accuracy; 32.13%, 34.21% and 26.27% higher Precision; 22.34%, 21.54% and 27.56% higher specificity when analyzed with existing methods like ECG authentication Long Short-Term Memory for predictive health monitoring (ECG-LSTM-PHM), ECG biometric authentication-based self-supervised learning using Convolutional Neural Network (ECG-SSL-CNN) and Multi-Task Neural Network-dependent Patient Information Hiding for ECG authentication system (MTNN-PIH-ECG), respectively. © 2026 World Scientific Publishing Company.</t>
  </si>
  <si>
    <t>R0566</t>
  </si>
  <si>
    <t>Homomorphic encryption enables privacy preserving polygenic risk scores</t>
  </si>
  <si>
    <t>Knight, E.; Li, J.; Jensen, M.; Yolou, I.; Kockan, C.; Gerstein, M.</t>
  </si>
  <si>
    <t>Found in: Scopus; PubMed · DOI: 10.1016/j.crmeth.2025.101271 · PMID: 41512862</t>
  </si>
  <si>
    <t>Polygenic risk score models (PRSs) are important tools in precision medicine, enabling personalized risk prediction; however, they raise privacy concerns. Fully homomorphic encryption (FHE) provides a potential solution, allowing computation on encrypted genomic data. Here, we develop an open-source implementation of FHE for PRS (HEPRS), available online. HEPRS involves a three party system: clients (clinicians handling sensitive genetic data), modelers developing a PRS (academics), and evaluators (a local hospital running the models while maintaining confidentiality). We apply HEPRS to synthetic datasets and a 110,000 single-nucleotide-polymorphism (SNP) model for schizophrenia and show that encrypted and plaintext PRSs agree closely. We investigate encryption parameters that influence computational accuracy, memory, and time, demonstrating that HEPRS is practical to use on a single CPU. These results show that FHE enables realistic, privacy-preserving PRSs with negligible accuracy loss, supporting secure and scalable genomic analytics. © 2025 The Authors</t>
  </si>
  <si>
    <t>R0567</t>
  </si>
  <si>
    <t>Advancing Federated Learning Frameworks for Privacy-preserving Cyber Threat Detection in Healthcare Systems</t>
  </si>
  <si>
    <t>Ikegwu, A.C.; Alo, U.R.; Nweke, H.F.; Ebem, D.U.</t>
  </si>
  <si>
    <t>Found in: Scopus · DOI: 10.1007/s44196-026-01274-3</t>
  </si>
  <si>
    <t>Federated learning (FL) has emerged as a promising paradigm for privacy-preserving analytics in distributed healthcare systems, yet its deployment for real-time cybersecurity in mobile health (mHealth) environments remains insufficiently understood. This study presents a domain-specific federated threat detection framework that integrates differential privacy (DP) and homomorphic encryption (HE) within a unified FL pipeline for Internet-of-Medical-Things (IoMT) ecosystems. This study presents a domain-specific federated learning (FL) framework for privacy-preserving cyber threat detection in distributed mobile healthcare environments. The proposed framework integrates differential privacy (DP) and homomorphic encryption (HE) into the federated aggregation process, maintaining secure model training without exposing sensitive patient data or electronic health records (EHRs). Four neural network architectural models, such as Dense, a convolutional neural network (CNN), long short-term memory (LSTM), and Gated Recurrent Unit (GRU), were systematically evaluated under centralized and federated configurations, including hybrid methods, such as federated averaging (FedAvg), FedAvg + DP, FedAvg + HE, and FedAvg + DP+HE, which were deployed for an experiment. Additionally, experimental findings show that centralized models achieve near-perfect detection accuracy of &gt; 0.98 (98%); however, they lack data protection, although federated models exhibit marginal performance trade-offs of approx. 0.94 (95%) and 0.96 (96%) with significantly improved privacy guarantees. The incorporation of DP explores measurable reductions in precision and recall as HE introduces computational overhead with minimal accuracy loss. A combination of DP and HE configurations shows strong security guarantees, though at the cost of higher latency and complexity. From the evaluated architectures, LSTM and GRU under FedAvg + HE performed the most balanced trade-off between detection performance, privacy protection, and system scalability. Contrasting with the prior studies that investigate privacy-preserving FL mechanisms in isolation, this work provides a comprehensive system-level evaluation of differential privacy and homomorphic encryption within a unified mHealth cybersecurity context. The study emphasizes practical deployment considerations, including communication overhead, latency, model robustness, and heterogeneous edge environments, thereby offering actionable understandings for real-world healthcare systems. The findings further reveal the transformative potential of federated privacy-preserving learning in protecting the desired advanced healthcare ecosystems and enable a robust foundation for future research in reliable distributed cyber intelligence and defense systems. © The Author(s) 2026.</t>
  </si>
  <si>
    <t>R0568</t>
  </si>
  <si>
    <t>An efficient data mining technique and privacy preservation model for healthcare data using improved darts game optimizer-based weighted deep neural network and hybrid encryption</t>
  </si>
  <si>
    <t>Dhinakaran, D.; Srinivasan, L.; Gopalakrishnan, S.; Anish, T.P.</t>
  </si>
  <si>
    <t>Found in: Scopus · DOI: 10.1016/j.bspc.2024.107168</t>
  </si>
  <si>
    <t>In recent days, association rule mining techniques have been widely used in healthcare data to provide accurate records that are important to ensure the data privacy. However, making this information public leads to creating attacks on them. In this paper, a secure privacy-preservation scheme for healthcare data is implemented to protect the security of the information for disease prediction in the current healthcare applications. The health data is collected from the benchmark datasets. Initially, the data is encrypted using Fully Homomorphic Encryption and Hyperelliptic Curve Cryptography (FHE-HECC) for the privacy preservation process. This model is developed by combining the Fully Homomorphic Encryption (FHE) and Hyperelliptic Curve Cryptography (HECC). For this encryption, the optimal key is generated using the Improved Darts Game Optimizer (IDGO) leveraging the Darts Game Optimizer (DGO). In the case of data decryption, the above-mentioned cryptography is utilized. The optimally selected key encrypts the data with high security without any breaches. The stored encrypted data is monitored and the disease is recognized using the Weighted Deep Neural Network (W-DNN) method and here, Deep Neural Network (DNN) acts as the fundamental model. Finally, the privacy of health data is preserved and the type of disease is detected by the implemented model. The suggested model attained accuracy of 92.83 which is higher than the existing techniques like GRU with 86.97, RNN with 88.28, LSTM with 91.92, WDNN with 90.10, respectively. The key findings of the suggested approach Proved that it facilitates effective treatment to the patient. © 2024 Elsevier Ltd</t>
  </si>
  <si>
    <t>R0569</t>
  </si>
  <si>
    <t>Assessment of cerebral blood flow with magnetic resonance imaging in children with sickle cell disease: A quantitative comparison with transcranial Doppler ultrasonography</t>
  </si>
  <si>
    <t>Croal, P.L.; Leung, J.; Kosinski, P.; Shroff, M.; Odame, I.; Kassner, A.</t>
  </si>
  <si>
    <t>Found in: Scopus; PubMed · DOI: 10.1002/brb3.811 · PMID: 29201539</t>
  </si>
  <si>
    <t>Introduction: Transcranial Doppler ultrasonography (TCD) is a clinical tool for stratifying ischemic stroke risk by identifying abnormal elevations in blood flow velocity (BFV) in the middle cerebral artery (MCA). However, TCD is not effective at screening for subtle neurologic injury such as silent cerebral infarcts. To better understand this disparity, we compared TCD measures of BFV with tissue-level cerebral blood flow (CBF) using arterial spin-labeling MRI in children with and without sickle cell disease, and correlated these measurements against clinical hematologic measures of disease severity. Methods: TCD and MRI assessment were performed in 13 pediatric sickle cell disease patients and eight age-matched controls. Using MRI measures of MCA diameter and territory weight, TCD measures of BFV in the MCA [cm/s] were converted into units of CBF [ml min−1100 g−1] for comparison. Results: There was no significant association between TCD measures of BFV in the MCA and corresponding MRI measures of CBF in patients (r =.28, p =.39) or controls (r =.10, p =.81). After conversion from BFV into units of CBF, a strong association was observed between TCD and MRI measures (r =.67, p =.017 in patients, r =.86, p =.006 in controls). While BFV in the MCA showed a lack of correlation with arterial oxygen content, an inverse association was observed for CBF measurements. Conclusions: This study demonstrates that BFV in the MCA cannot be used as a surrogate marker for tissue-level CBF in children with sickle cell disease. Therefore, TCD alone may not be sufficient for understanding and predicting subtle pathophysiology in this population, highlighting the potential clinical value of tissue-level CBF. © 2017 The Authors. Brain and Behavior published by Wiley Periodicals, Inc.</t>
  </si>
  <si>
    <t>R0570</t>
  </si>
  <si>
    <t>Secure Federated Multimodal Learning with Attention-Weighted Transformers and Homomorphic Encryption for Privacy-Preserving Neuroimaging Analysis</t>
  </si>
  <si>
    <t>Balaji, N.; Sathya, V.; Sirenjeevi, P.; Sarveshwaran, V.</t>
  </si>
  <si>
    <t>Found in: Scopus · DOI: 10.1016/j.bspc.2026.110550</t>
  </si>
  <si>
    <t>Neuroimaging technologies such as magnetic resonance imaging (MRI), functional MRI (fMRI), and positron emission tomography (PET) play a critical role in diagnosing and monitoring neurological disorders. However, the growing scale and complexity of multimodal neuroimaging data, combined with the strict privacy requirements in healthcare, pose significant barriers to centralized machine learning approaches. This research work proposes a Federated Multimodal Transformer (FMT) architecture that aims to improve predictive modeling in distributed medical centers while maintaining data privacy. By utilizing attention-weighted fusion mechanisms, the model combines structural MRI (sMRI), resting-state fMRI (rs-fMRI), and diffusion MRI (dMRI) modalities to learn intricate inter-modal interactions. The architecture employs homomorphic encryption (HE) in secure federated learning protocols. Benchmarked on benchmark datasets and compared with recent state-of-the-art models like FedHealthNet, MMFL, and MedFuseFL, the introduced FMT has the best accuracy of 92.80% and AUC of 0.964, surpassing the current methods by as much as 7.4% in accuracy and 5.4% in AUC. These results validate the efficacy and robustness of FMT in processing privacy-sensitive, multimodal neuroimaging tasks. © 2026 Elsevier Ltd</t>
  </si>
  <si>
    <t>R0571</t>
  </si>
  <si>
    <t>Federated learning enabled multi-key homomorphic encryption</t>
  </si>
  <si>
    <t>Kumbhar, H.R.; Srinivasa Rao, S.</t>
  </si>
  <si>
    <t>Found in: Scopus · DOI: 10.1016/j.eswa.2024.126197</t>
  </si>
  <si>
    <t>The rapid advancement of digital healthcare systems has significantly increased the volume of medical data, raising concerns about its security and confidentiality. As patient information is highly sensitive, any compromise could have severe consequences in healthcare delivery. Federated Learning (FL) has emerged as a promising solution by enabling decentralized data processing through local training and global model aggregation. Despite its advantages, FL faces challenges in ensuring the secure transmission of data and preserving privacy during model updates. Homomorphic encryption (HE)-based security is a promising approach for secure data transmission. Hence, the Puzzle Archimedes Optimization Algorithm (PAOA)-based multi-key HE is designed in this research. The healthcare data is obtained from the dataset and shared among many parties using a multi-party data-sharing platform. All parties utilize noise-free HE to protect sensitive data and enhance communication security. The ideal multi-keys are created using the proposed PAOA. Moreover, the PAOA-trained deep residual network (DRN) (PAOA_DRN) is utilized for privacy data classification. The outcome from each of the local training is aggregated into the global training, and the weights of every local training model are updated. Furthermore, the training accuracy, training loss, mean average precision, and Mean Squared Error (MSE) metrics are utilized for computing the efficacy of the PAOA_DRN. On the Cleveland dataset, the model achieved superior results with a training accuracy of 0.946, training loss of 0.053, MAP of 0.951, and MSE of 0.182. This research provides a significant step forward in addressing critical issues in healthcare data security, with the potential for broad application in medical data sharing and privacy-preserving analytics. © 2024 Elsevier Ltd</t>
  </si>
  <si>
    <t>R0572</t>
  </si>
  <si>
    <t>Evaluation of ConcreteML for Secure Multi-class Tumour Classification with Homomorphic Encryption</t>
  </si>
  <si>
    <t>Rosario, G.R.; Chua, R.B.</t>
  </si>
  <si>
    <t>Found in: Scopus · DOI: 10.1007/978-3-031-73344-4_26</t>
  </si>
  <si>
    <t>Machine learning (ML) outsourcing to a third-party server is used to optimally build models that involves large data sets. This poses data privacy risk, especially if the data are genomic data. A solution to address this problem is with the use of homomorphic encryption. However, developing an application with homomorphic encryption for ML is not similar to a normal ML workflow as there are several challenges you need to address. In our work, we used ConcreteML to train multi-class tumour classification models using homomorphic encryption in a way that is similar to a normal ML workflow and avoids the challenges that come with developing applications with homomorphic encryption. We evaluated the performance of ConcreteML in running three ML algorithms: logistic regression, random forests and support vector classifier. In terms of prediction accuracy, the performance of the FHE model of logistic regression and support vector classifier is similar to that of the plaintext counterpart, while there are errors in the prediction of random forest due to the homomorphic encryption computation. However, in terms of the running times for training and prediction, the FHE model of ConcreteML is slower than its plaintext counterpart. © The Author(s), under exclusive license to Springer Nature Switzerland AG 2024.</t>
  </si>
  <si>
    <t>R0573</t>
  </si>
  <si>
    <t>New Constructions of Functional Adaptor Signatures: Broader Functions and Improved Efficiency</t>
  </si>
  <si>
    <t>Vanjani, N.; Greiner, G.; Thyagarajan, S.A.; Soni, P.</t>
  </si>
  <si>
    <t>Found in: Scopus; IEEE · DOI: 10.1109/SP63933.2026.00100</t>
  </si>
  <si>
    <t>Functional adaptor signatures (FAS) are a novel cryptographic primitive introduced at CCS'24 that enable privacy-preserving, fine-grained data-payment exchanges between a seller and a buyer in a trustless and atomic manner. In this setup, the seller holds sensitive data x (e.g., patient records, climate data), and the buyer specifies a function f (e.g., aggregate, sum). FAS guarantees that the buyer learns f(x) (and nothing beyond) if and only if the seller receives payment in blockchain-based tokens. Unlike generic smart contracts, FAS-powered solutions excel in privacy, efficiency, and compatibility with diverse blockchain systems. However, prior FAS constructions were limited to linear functions (where f was linear in x), restricting their applicability to more complex and prevalent applications including data analytics and ML model evaluations. In this work, we extend the capabilities of FAS to support higher-degree functions (deg ≥ 2), significantly broadening its range of applications. Our core contribution is a novel FAS design leveraging homomorphic encryption, which simultaneously achieves enhanced efficiency and compatibility for general functions. This approach diverges fundamentally from the restricted design in CCS'24 which relied on connections to functional encryption. We implement our homomorphic encryption-based FAS for functions arising in applications such as data analytics and machine learning inference. Remarkably, even for linear functions, our new design achieves an order-of-magnitude improvement in performance compared to CCS'24 constructions. Furthermore, our solutions seamlessly integrate with prominent blockchain systems, requiring only a basic signature verification script on standard transactions, thus ensuring practical deployability. As a conceptual contribution, we introduce the general paradigm of a blockchain-based functional fair exchange (FFE) protocol, rigorously define buyer and seller fairness, and show that FAS implies the general goal of FFE.  © 2026 IEEE.</t>
  </si>
  <si>
    <t>R0574</t>
  </si>
  <si>
    <t>A Privacy-Preserving Federated Learning Framework with Multiparty Threshold Homomorphic Encryption</t>
  </si>
  <si>
    <t>Boudko, S.; Gronvold, K.T.</t>
  </si>
  <si>
    <t>Found in: Scopus; IEEE · DOI: 10.1109/FLTA67013.2025.11336594</t>
  </si>
  <si>
    <t>Federated learning enables collaborative computation across multiple decentralized devices, minimizing data transfer overhead while enhancing privacy by keeping data local. However, it remains susceptible to inference attacks and potential data leakage. To strengthen privacy guarantees, especially for sensitive domains, advanced privacy-preserving techniques such as homomorphic encryption are recommended. This work proposes a privacy-preserving federated learning framework that integrates threshold homomorphic encryption into the federated learning pipeline to enable secure aggregation and protect intermediate computations. We employ threshold homomorphic encryption, a cryptographic technique well-suited for multiuser environments such as federated learning. We utilize the Cheon-Kim-Kim-Song (CKKS) scheme, as implemented in the OpenFHE library. Our approach extends the standard Federated Averaging (FedAvg) algorithm by homomorphically encrypting model updates and performing aggregation directly on encrypted data. To assess the trade-offs between efficiency and security, we evaluate the performance of the proposed method against a baseline. The design prioritizes practical constraints, including computational efficiency, making it suitable for deployment in privacy-sensitive domains such as healthcare and finance. To ensure compatibility with continuous integration and deployment (CI/CD) pipelines, all components of the solution are containerized using Docker. © 2025 IEEE.</t>
  </si>
  <si>
    <t>R0575</t>
  </si>
  <si>
    <t>Health Data Sharing towards Knowledge Creation</t>
  </si>
  <si>
    <t>Elvas, L.B.; Ferreira, J.C.; Dias, M.S.; Rosário, L.B.</t>
  </si>
  <si>
    <t>Found in: Scopus · DOI: 10.3390/systems11080435</t>
  </si>
  <si>
    <t>Data sharing and service reuse in the health sector pose significant privacy and security challenges. The European Commission recognizes health data as a unique and cost-effective resource for research, while the OECD emphasizes the need for privacy-protecting data governance systems. In this paper, we propose a novel approach to health data access in a hospital environment, leveraging homomorphic encryption to ensure privacy and secure sharing of medical data among healthcare entities. Our framework establishes a secure environment that enforces GDPR adoption. We present an Information Sharing Infrastructure (ISI) framework that seamlessly integrates artificial intelligence (AI) capabilities for data analysis. Through our implementation, we demonstrate the ease of applying AI algorithms to treated health data within the ISI environment. Evaluating machine learning models, we achieve high accuracies of 96.88% with logistic regression and 97.62% with random forest. To address privacy concerns, our framework incorporates Data Sharing Agreements (DSAs). Data producers and consumers (prosumers) have the flexibility to express their prefearences for sharing and analytics operations. Data-centric policy enforcement mechanisms ensure compliance and privacy preservation. In summary, our comprehensive framework combines homomorphic encryption, secure data sharing, and AI-driven analytics. By fostering collaboration and knowledge creation in a secure environment, our approach contributes to the advancement of medical research and improves healthcare outcomes. A real case application was implemented between Portuguese hospitals and universities for this data sharing. © 2023 by the authors.</t>
  </si>
  <si>
    <t>R0576</t>
  </si>
  <si>
    <t>A Healthcare Data Sharing Scheme Based on Homomorphic Encryption and Federated Metric Learning</t>
  </si>
  <si>
    <t>Zhang, H.; Liu, Z.; Wu, L.; Li, H.</t>
  </si>
  <si>
    <t>Found in: Scopus; IEEE · DOI: 10.1109/ICHCI63580.2024.10807931</t>
  </si>
  <si>
    <t>Medical data is highly sensitive, often leading to 'data silos' in sharing processes. To address this issue, this paper combines blockchain and federated metric learning technologies, and innovatively integrates them with homomorphic encryption technology to propose a privacy protection system suitable for application in medical data sharing scenarios. The system employs federated learning to train a global model across distributed client nodes without sharing raw data. Metric learning classifies clients as benign or malicious based on data similarity, only aggregating models from benign clients to improve efficiency and mitigate data distribution issues. Additionally, differential privacy and homomorphic encryption are used to further protect data privacy by preventing the original data from being reverse deduced and model parameter leakage during aggregation. Experimental results show that the system can achieve a prediction accuracy of 89.102564% under different data distributions, and its performance on medical datasets has been significantly improved compared to traditional federated learning.  © 2024 IEEE.</t>
  </si>
  <si>
    <t>R0577</t>
  </si>
  <si>
    <t>Fed-IoMT-Block: A Privacy-Preserving Framework for Secure Federated Learning in Consumer-Centric Internet of Medical Things</t>
  </si>
  <si>
    <t>Ahmad Khan, A.; Kumar Mahendran, R.; Ullah, F.; Ali, F.; Saleh Alghamdi, N.; Ali AlZubi, A.; Kwak, D.</t>
  </si>
  <si>
    <t>Found in: Scopus · DOI: 10.1109/TCE.2025.3582794</t>
  </si>
  <si>
    <t>The rapid proliferation of the Internet of Medical Things (IoMT) has enabled sophisticated, timely, and remote healthcare monitoring by leveraging advanced networking technologies. However, despite ongoing research, the IoMT paradigm still faces significant security and privacy challenges. To address these, this study introduces Fed-IoMT-Block, an end-to-end framework for securing IoMT devices. The framework first authenticates IoMT entities using the Quantum Authentication Protocol (QAP), which identifies communicating entities and secures their exchange using unique quantum particles, providing stronger protection than conventional protocols. Once authenticated, entities share data through federated learning, leveraging the Attention Capsule Network (Att-CapsNet) and a homomorphic algorithm. Network monitoring is then handled by a machine learning agent, the Vulnerability Analysis Agent (VAA), which inspects external traffic and classifies it using the Light Gradient Boosting Machine (LGBM). The associated risk is mathematically quantified based on multiple parameters. Finally, role-based access control is enforced via a Flexible Neuro-Fuzzy Inference System (FNFIS) to prevent unauthorized access. The proposed framework demonstrates notable improvements in packet delivery, security, and scalability compared to existing methods. These improvements include a 26% reduction in malicious traffic, 84.88% accuracy in disease severity detection, 12% lower latency, and a high packet throughput ratio. This study highlights the potential of federated learning and blockchain to create secure, scalable, and privacy-preserving IoMT systems for consumer healthcare. © 1975-2011 IEEE.</t>
  </si>
  <si>
    <t>R0578</t>
  </si>
  <si>
    <t>Skin lesions in 397 children referred for forensic medical examination on suspicion of physical abuse</t>
  </si>
  <si>
    <t>Frost, L.; Borreschmidt, L.Q.; Bindslev, D.A.</t>
  </si>
  <si>
    <t>Found in: Scopus; PubMed · PMID: 37615184</t>
  </si>
  <si>
    <t>INTRODUCTION. Physical child abuse is a well-known global health problem. Considerable efforts have been devoted to identifying predictors of physical abuse. METHODS. This study included all 397 cases in the cohort of children aged 0-18 years referred to the Department of Forensic Medicine, Aarhus University, Denmark, between 2000 and 2020 on suspicion of exposure to physical abuse. The number, character and location of skin lesions were described. Bone fractures were recorded. A total of 59 cases involving weapons and sharp force violence related to attack or fighting between young people were assessed as a separate group. RESULTS. The annual number of cases referred increased. The male-to-female ratio in the cohort was 6:4. Bruising was the most common skin manifestation in the blunt force violence (BFV) group; 72.2% of the individuals had skin lesions on the head and neck, thus visible on a normally dressed child. Lesions on the hands and arms were present in 69.8% of the BFV cases and may partially reflect defensive reactions. One or more bone fractures were recorded in 19.5% of the BFV group. Occult fractures were observed in 40% of the children in the BFV group ≤ 2 years of age. CONCLUSIONS. More than 70% of the children in the BFV group had lesions on the head and neck visible on a normally dressed child. Skin lesions on hands and arms, which are visible on a lightly dressed child, were just as frequent. Persons with close relation to children should be aware of this opportunity to spot non-accidental skin injuries. © 2023, Almindelige Danske Laegeforening. All rights reserved.</t>
  </si>
  <si>
    <t>R0579</t>
  </si>
  <si>
    <t>HEaaN-NB: Non-Interactive Privacy-Preserving Naive Bayes Using CKKS for Secure Outsourced Cloud Computing</t>
  </si>
  <si>
    <t>Han, B.; Shin, H.; Kim, Y.; Choi, J.; Lee, Y.</t>
  </si>
  <si>
    <t>Found in: Scopus; IEEE · DOI: 10.1109/ACCESS.2024.3438161</t>
  </si>
  <si>
    <t>Although there has been significant progress in homomorphic encryption (HE) technology, a fully homomorphic Naive Bayes (NB) classifier capable of training on HE-encrypted data without decryption has not yet been efficiently developed. This research introduces a new method for approximating homomorphic logarithm calculations with an average relative error under 0.01%. Leveraging the SIMD functionality of the HE framework and a GPU, this technique can compute logarithm values for thousands of encrypted probabilities in about 2.5 seconds. Building upon this, we present a more efficient fully homomorphic NB classifier. Our method can train on a breast cancer dataset in roughly 14.3 seconds and perform query inferences in 0.84 seconds. Compared to the recent privacy-protecting NB classifier from Liu et al. in 2017, which offers a similar security level, our method is estimated to be about 28 times faster.  © 2013 IEEE.</t>
  </si>
  <si>
    <t>R0580</t>
  </si>
  <si>
    <t>Secure Chronic Kidney Disease Classification: Homomorphic Encryption vs Differential Privacy in Federated Learning</t>
  </si>
  <si>
    <t>Jain, R.B.; Ruthvika, B.; Kamath, B.G.</t>
  </si>
  <si>
    <t>Found in: Scopus; IEEE · DOI: 10.1109/ICWITE64848.2025.11306903</t>
  </si>
  <si>
    <t>The digital transformation of healthcare has transitioned traditional medical records into Electronic Health Records (EHRs), offering rich potential for machine learning applications in disease prediction. However, safeguarding patient privacy remains a critical challenge. Federated Learning (FL) addresses this by enabling collaborative model training across distributed institutions without sharing raw data. In this study, we implement and compare two key privacy-preserving techniques-Homomorphic Encryption (HE) and Differential Privacy (DP)-within an FL framework for predicting Chronic Kidney Disease (CKD). Using data partitioned across multiple clients, we design parallel FL workflows with a unified neural architecture for both approaches. The HE-based system uses TenSEAL for secure encrypted aggregation of model updates, while the DP variant employs the Opacus library to inject calibrated noise during local training. Our results show that HE achieves high predictive accuracy (up to 97.25%) but introduces substantial computational and communication overhead. In contrast, DP offers lower resource consumption and faster convergence, with a reduction in accuracy. This work presents a practical evaluation of privacy-performance trade-offs in FL systems for sensitive healthcare applications and provides guidance for deploying secure, efficient AI in clinical environments.  © 2025 IEEE.</t>
  </si>
  <si>
    <t>R0581</t>
  </si>
  <si>
    <t>Deep Neural Networks for Encrypted Inference with TFHE</t>
  </si>
  <si>
    <t>Stoian, A.; Frery, J.; Bredehoft, R.; Montero, L.; Kherfallah, C.; Chevallier-Mames, B.</t>
  </si>
  <si>
    <t>Found in: Scopus · DOI: 10.1007/978-3-031-34671-2_34</t>
  </si>
  <si>
    <t>Fully homomorphic encryption (FHE) is an encryption method that allows to perform computation on encrypted data, without decryption. FHE preserves the privacy of the users of online services that handle sensitive data, such as health data, biometrics, credit scores and other personal information. A common way to provide a valuable service on such data is through machine learning and, at this time, neural networks are the dominant machine learning model for unstructured data. In this work we show how to construct Deep Neural Networks (DNN) that are compatible with the constraints of TFHE, an FHE scheme that allows arbitrary depth computation circuits. We discuss the constraints and show the architecture of DNNs for two computer vision tasks. We benchmark the architectures using the Concrete stack (https://github.com/zama-ai/concrete-ml ), an open-source implementation of TFHE. © 2023, The Author(s), under exclusive license to Springer Nature Switzerland AG.</t>
  </si>
  <si>
    <t>R0582</t>
  </si>
  <si>
    <t>A privacy-preserving cloud storage framework with hybrid encryption, homomorphic keyword search, and blockchain-based integrity verification</t>
  </si>
  <si>
    <t>Ahmed, H.M.A.; Zubair, S.; Tawfik, M.</t>
  </si>
  <si>
    <t>Found in: Scopus · DOI: 10.1038/s41598-026-48705-x</t>
  </si>
  <si>
    <t>Cloud storage outsourcing introduces critical privacy risks as Cloud Service Providers (CSPs) can access unencrypted user data, while encryption eliminates essential functionality such as searchability and remote integrity verification. Existing solutions face a trilemma: fully homomorphic encryption (FHE) remains impractical with seconds-per-operation overhead, searchable encryption leaks access patterns exploitable through inference attacks, and blockchain-based auditing schemes using public chains suffer from low throughput (7–15 TPS), high costs ($1–50 per transaction), and pseudonymous-but-traceable privacy. We present a privacy-preserving cloud storage framework that synergistically combines hybrid AES-ECC encryption for data confidentiality with HMAC-based authentication, Paillier homomorphic encryption (PHE) for probabilistic keyword encryption, and Ethereum-based smart contracts for decentralized integrity verification. Our hybrid protocol achieves IND-CPA security for bulk encryption with authenticated integrity through HMAC-SHA256, delivering 245.7ms encryption time for 1MB files and 7.3% storage overhead—21.2% faster than comparable systems. The Paillier-based keyword encryption prevents frequency analysis through probabilistic ciphertext generation, with search operations over 100 encrypted files completing in 847ms under the Decisional Composite Residuosity assumption. Leveraging Ethereum smart contracts with dynamic third-party auditor selection, our system achieves 287ms consensus latency on the Ganache test network with empirical collusion resistance measurements (, consistent with hypergeometric model predictions). The distributed architecture demonstrates 85 TPS per group throughput while maintaining O(n) encryption complexity and O(1) blockchain operations validated through empirical log-log regression () across file sizes from 1KB to 32KB, establishing feasibility for consortium-based privacy-critical cloud deployments. Production deployment on permissioned blockchain networks such as Hyperledger Fabric would provide additional privacy features including transaction unlinkability through identity management. © The Author(s) 2026.</t>
  </si>
  <si>
    <t>R0583</t>
  </si>
  <si>
    <t>Privacy preserving federated learning for proton exchange membrane fuel cell</t>
  </si>
  <si>
    <t>Zhang, Z.; He, N.; Huo, W.; Xu, X.; Sun, C.; Li, J.</t>
  </si>
  <si>
    <t>Found in: Scopus · DOI: 10.1016/j.rser.2025.115407</t>
  </si>
  <si>
    <t>Proton Exchange Membrane Fuel Cell (PEMFC) is a promising clean energy device with applications from mobile power stations to electric vehicles. To accelerate the application process, deep learning (DL) has been applied to develop various intelligent technologies for PEMFC such as performance prediction, fault diagnosis, etc., to reduce manufacturing cost and prolong service lifetime. However, a single research institution is difficult to obtain sufficient training data for developing DL-based models, since fuel cell system is still in the development stage, and its high cost makes the collection of experimental data too expensive. To tackle the challenges, this study designs a privacy-preserving federated learning framework for PEMFC (FedFC). The framework can support multiple research institutions to collaboratively train a high-performance DL model for PEMFC while preserving their local data information using homomorphic encryption and differential privacy technologies. The study empirically evaluates FedFC framework performance on real fuel cell datasets with performance predication and fault diagnosis tasks. Experiment results demonstrate that the FedFC framework can achieve excellent performance and holds promise for promoting the development of intelligent models associated with PEMFC. © 2025 Elsevier Ltd</t>
  </si>
  <si>
    <t>R0584</t>
  </si>
  <si>
    <t>Secure Federated Learning with Fully Homomorphic Encryption for IoT Communications</t>
  </si>
  <si>
    <t>Hijazi, N.M.; Aloqaily, M.; Guizani, M.; Ouni, B.; Karray, F.</t>
  </si>
  <si>
    <t>Found in: Scopus; IEEE · DOI: 10.1109/JIOT.2023.3302065</t>
  </si>
  <si>
    <t>The emergence of the Internet of Things (IoT) has revolutionized people's daily lives, providing superior quality services in cognitive cities, healthcare, and smart buildings. However, smart buildings use heterogeneous networks. The massive number of interconnected IoT devices increases the possibility of IoT attacks, emphasizing the necessity of secure and privacy-preserving solutions. Federated learning (FL) has recently emerged as a promising machine learning (ML) paradigm for IoT networks to address these concerns. In FL, multiple devices collaborate to learn a global model without sharing their raw data. However, FL still faces privacy and security concerns due to the transmission of sensitive data (i.e., model parameters) over insecure communication channels. These concerns can be addressed using fully homomorphic encryption (FHE), a powerful cryptographic technique that enables computations on encrypted data without requiring them to be decrypted first. In this study, we propose a secure FL approach in IoT-enabled smart cities that combines FHE and FL to provide secure data and maintain privacy in distributed environments. We present four different FL-based FHE approaches in which data are encrypted and transmitted over a secure medium. The proposed approaches achieved high accuracy, recall, precision, and F-scores, in addition to providing strong privacy and security safeguards. Furthermore, the proposed approaches effectively reduced communication overhead and latency compared to the baseline approach. These approaches yielded improvements ranging from 80.15% to 89.98% in minimizing communication overhead. Additionally, one of the approaches achieved a remarkable latency reduction of 70.38%. The implementation of these security models is nontrivial, and the code is publicly available at https://github.com/Artifitialleap-MBZUAI/Secure-Federated-Learning-with-Fully-Homomorphic-Encryption-for-IoT-Communications.  © 2014 IEEE.</t>
  </si>
  <si>
    <t>R0585</t>
  </si>
  <si>
    <t>Privacy-Preserving Machine Learning Techniques: Cryptographic Approaches, Challenges, and Future Directions</t>
  </si>
  <si>
    <t>Kucur, E.N.; Buyuktanir, T.; Ugurelli, M.; Yildiz, K.</t>
  </si>
  <si>
    <t>Found in: Scopus · DOI: 10.3390/app16010277</t>
  </si>
  <si>
    <t>Privacy-preserving machine learning (PPML) constitutes a core element of responsible AI by supporting model training and inference without exposing sensitive information. This survey presents a comprehensive examination of the major cryptographic PPML techniques and introduces a unified taxonomy covering technical models, verification criteria, and evaluation dimensions. The study consolidates findings from both survey and experimental works using structured comparison tables and emphasizes that recent research increasingly adopts hybrid and verifiable PPML designs. In addition, we map PPML applications across domains such as healthcare, finance, Internet of Things (IoT), and edge systems, indicating that cryptographic approaches are progressively transitioning from theoretical constructs to deployable solutions. Finally, the survey outlines emerging trends—including the growth of zero-knowledge proofs (ZKPs)-based verification and domain-specific hybrid architectures—and identifies practical considerations that shape PPML adoption in real systems. © 2025 by the authors.</t>
  </si>
  <si>
    <t>R0586</t>
  </si>
  <si>
    <t>Ethical AI in medical text generation: balancing innovation with privacy in public health</t>
  </si>
  <si>
    <t>Liang, M.</t>
  </si>
  <si>
    <t>Found in: Scopus; PubMed · DOI: 10.3389/fpubh.2025.1583507 · PMID: 40756387</t>
  </si>
  <si>
    <t>Introduction: The integration of artificial intelligence (AI) into medical text generation is transforming public health by enhancing clinical documentation, patient education, and decision support. However, the widespread deployment of AI in this domain introduces significant ethical challenges, including fairness, privacy protection, and accountability. Traditional AI-driven medical text generation models often inherit biases from training data, resulting in disparities in healthcare communication across different demographic groups. Moreover, ensuring patient data confidentiality while maintaining transparency in AI-generated content remains a critical concern. Existing approaches either lack robust bias mitigation mechanisms or fail to provide interpretable and privacy-preserving outputs, compromising ethical compliance and regulatory adherence. Methods: To address these challenges, this paper proposes an innovative framework that combines privacy-preserving AI techniques with interpretable model architectures to achieve ethical compliance in medical text generation. The method employs a hybrid approach that integrates knowledge-based reasoning with deep learning, ensuring both accuracy and transparency. Privacy-enhancing technologies, such as homomorphic encryption and secure multi-party computation, are incorporated to safeguard sensitive medical data throughout the text generation process. Fairness-aware training protocols are introduced to mitigate biases in generated content and enhance trustworthiness. Results and 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 Copyright © 2025 Liang.</t>
  </si>
  <si>
    <t>R0587</t>
  </si>
  <si>
    <t>Ensuring Secure Data Environment in IoT-Based Remote Monitoring</t>
  </si>
  <si>
    <t>Chauhan, M.; Khan, T.</t>
  </si>
  <si>
    <t>Found in: Scopus; IEEE · DOI: 10.1109/NETCRYPT65877.2025.11102236</t>
  </si>
  <si>
    <t>In the era of IoT-enabled healthcare that ensure the secure and efficient data handling is vital for the Remote Patient Monitoring (RPM) systems. The paper proposes a hybrid security framework that integrates the Homomorphic Encryption (HE) and Ciphertext-Policy Attribute-Based Encryption (CP-ABE) with the recurrent neural networks (RNNs) in order to preserve the data privacy while enabling an accurate health classification. The system employs the RNN for initial predictions and offloads the encrypted data to a centralized server to perform the deeper analysis. Experimental validation using the MIMIC-III Clinical Dataset shows the model that achieves of 85 % classification and demonstrates stable learning dynamics. This framework ensures a strong balance between data privacy, computational efficiency, and the real-time responsiveness, that make it well-suited for the deployment in a real-world IoT-based RPM environment.  © 2025 IEEE.</t>
  </si>
  <si>
    <t>R0588</t>
  </si>
  <si>
    <t>Recent Advances in Federated Multimodal Learning for Secure and Explainable Healthcare</t>
  </si>
  <si>
    <t>Varalakshmi, T.; Parameswaran, T.</t>
  </si>
  <si>
    <t>Found in: Scopus; IEEE · DOI: 10.1109/ICESC70182.2026.11687212</t>
  </si>
  <si>
    <t>Recent advancements in multimodal learning are revolutionizing high-stakes domains like healthcare by integrating medical imaging, genomics, and clinical text for holistic analysis. A key trend is the convergence with federated learning (FL) and privacy preservation, enabling model training on distributed sensitive data without centralization. Frameworks such as Federated Multimodal Transformers (FMT) and DermaGPT dynamically fuse modalities while maintaining data locality. To strengthen security, these systems integrate homomorphic encryption (HE) and differential privacy (DP) against inference attacks. Simultaneously, explainable AI (XAI) tools like SHAP and GradCAM are being embedded to ensure clinical transparency. Emerging frontiers include multimodal large language models (MLLMs) for report generation and quantum-entangled DP for future threats [6]. Despite progress, challenges like modality imbalance and regulatory hurdles persist. Collectively, these trends point toward distributed, interpretable, and robust systems that unlock sensitive data's potential while upholding the highest privacy and trust standards. © 2026 IEEE.</t>
  </si>
  <si>
    <t>R0589</t>
  </si>
  <si>
    <t>A privacy preserving machine learning framework for medical image analysis using quantized fully connected neural networks with TFHE based inference</t>
  </si>
  <si>
    <t>Selvakumar, S.; Senthilkumar, B.</t>
  </si>
  <si>
    <t>Found in: Scopus; PubMed · DOI: 10.1038/s41598-025-07622-1 · PMID: 40739149</t>
  </si>
  <si>
    <t>Medical image analysis using deep learning algorithms has become a basis of modern healthcare, enabling early detection, diagnosis, treatment planning, and disease monitoring. However, sharing sensitive raw medical data with third parties for analysis raises significant privacy concerns. This paper presents a privacy-preserving machine learning (PPML) framework using a Fully Connected Neural Network (FCNN) for secure medical image analysis using the MedMNIST dataset. The proposed PPML framework leverages a torus-based fully homomorphic encryption (TFHE) to ensure data privacy during inference, maintain patient confidentiality, and ensure compliance with privacy regulations. The FCNN model is trained in a plaintext environment for FHE compatibility using Quantization-Aware Training to optimize weights and activations. The quantized FCNN model is then validated under FHE constraints through simulation and compiled into an FHE-compatible circuit for encrypted inference on sensitive data. The proposed framework is evaluated on the MedMNIST datasets to assess its accuracy and inference time in both plaintext and encrypted environments. Experimental results reveal that the PPML framework achieves a prediction accuracy of 88.2% in the plaintext setting and 87.5% during encrypted inference, with an average inference time of 150 milliseconds per image. This shows that FCNN models paired with TFHE-based encryption achieve high prediction accuracy on MedMNIST datasets with minimal performance degradation compared to unencrypted inference. © The Author(s) 2025.</t>
  </si>
  <si>
    <t>R0590</t>
  </si>
  <si>
    <t>An Automated Diabetic Retinopathy Severity Level Classification using Vertically Stacked Squeeze Excitation Network with the Crayfish Optimization Algorithm</t>
  </si>
  <si>
    <t>Devi, G.I.; Madhavi, D.</t>
  </si>
  <si>
    <t>Found in: Scopus; IEEE · DOI: 10.1109/INCET64471.2025.11140280</t>
  </si>
  <si>
    <t>Diabetic retinopathy (DR) is a serious eye disease that can cause vision loss and blindness. This study proposes an advanced deep learning based DR classification approach for determining DR severity. Input images are collected from the APTOS-2019 dataset. Here, first images are pre-processed using adaptive Gaussian filter and then to increase quality of the images using the Modified Contrast Limited Interval-value Fuzzy Histogram Equalization (MCLI-FHE) method. Then, the image is segmented using a Patch Merging Swin Transformer (PMST). After segmentation, the important features get extracted using the Gray Level Dependence Matrix (GLDM) and Gray Level Co-occurrence Matrix (GLCM). Subsequently, the DR grouping is performed using Vertically Stacked Residual Convolutional Long short-term Enhanced Crayfish Squeeze Excitation Network (VSRCL-ECSEN). The Crayfish Optimization Algorithm (COA) is used for hyper parameter tuning. As a result, the proposed model accurately detects the corresponding lesions and classifies DR as mild, moderate, severe, proliferative, or no DR. For the APTOS-2019 dataset, the proposed approach achieved 99.4% accuracy, 98.6% precision, 98.1% sensitivity, 99% F1-score, 99.5% specificity, 0.00375 FPR, 0.015 FNR, 0.014 FDR, and 98.1% MCC results. © 2025 IEEE.</t>
  </si>
  <si>
    <t>R0591</t>
  </si>
  <si>
    <t>Collaborative privacy-preserving analysis of oncological data using multiparty homomorphic encryption</t>
  </si>
  <si>
    <t>Geva, R.; Gusev, A.; Polyakov, Y.; Liram, L.; Rosolio, O.; Alexandru, A.; Genise, N.; Blatt, M.; Duchin, Z.; Waissengrin, B.; Mirelman, D.; Bukstein, F.; Blumenthal, D.T.; Wolf, I.; Pelles-Avraham, S.; Schaffer, T.; Lavi, L.A.; Micciancio, D.; Vaikuntanathan, V.; Badawi, A.A.; Goldwasser, S.</t>
  </si>
  <si>
    <t>Found in: Scopus; PubMed · DOI: 10.1073/pnas.2304415120 · PMID: 37549296</t>
  </si>
  <si>
    <t>Real-world healthcare data sharing is instrumental in constructing broader-based and larger clinical datasets that may improve clinical decision-making research and outcomes. Stakeholders are frequently reluctant to share their data without guaranteed patient privacy, proper protection of their datasets, and control over the usage of their data. Fully homomorphic encryption (FHE) is a cryptographic capability that can address these issues by enabling computation on encrypted data without intermediate decryptions, so the analytics results are obtained without revealing the raw data. This work presents a toolset for collaborative privacy-preserving analysis of oncological data using multiparty FHE. Our toolset supports survival analysis, logistic regression training, and several common descriptive statistics. We demonstrate using oncological datasets that the toolset achieves high accuracy and practical performance, which scales well to larger datasets. As part of this work, we propose a cryptographic protocol for interactive bootstrapping in multiparty FHE, which is of independent interest. The toolset we develop is general-purpose and can be applied to other collaborative medical and healthcare application domains. Copyright © 2023 the Author(s).</t>
  </si>
  <si>
    <t>R0592</t>
  </si>
  <si>
    <t>Federated learning: Applications, challenges and future directions</t>
  </si>
  <si>
    <t>Bharati, S.; Mondal, M.R.H.; Podder, P.; Prasath, V.B.S.</t>
  </si>
  <si>
    <t>Found in: Scopus · DOI: 10.3233/HIS-220006</t>
  </si>
  <si>
    <t>Federated learning (FL) refers to a system in which a central aggregator coordinates the efforts of several clients to solve the issues of machine learning. This setting allows the training data to be dispersed in order to protect the privacy of each device. This paper provides an overview of federated learning systems, with a focus on healthcare. FL is reviewed in terms of its frameworks, architectures and applications. It is shown here that FL solves the preceding issues with a shared global deep learning (DL) model via a central aggregator server. Inspired by the rapid growth of FL research, this paper examines recent developments and provides a comprehensive list of unresolved issues. Several privacy methods including secure multiparty computation, homomorphic encryption, differential privacy and stochastic gradient descent are described in the context of FL. Moreover, a review is provided for different classes of FL such as horizontal and vertical FL and federated transfer learning. FL has applications in wireless communication, service recommendation, intelligent medical diagnosis system and healthcare, which we review in this paper. We also present a comprehensive review of existing FL challenges for example privacy protection, communication cost, systems heterogeneity, unreliable model upload, followed by future research directions.  © 2022 - IOS Press. All rights reserved.</t>
  </si>
  <si>
    <t>R0593</t>
  </si>
  <si>
    <t>Privacy protection and data security in intelligent recommendation systems</t>
  </si>
  <si>
    <t>Zheng, D.; Alkawaz, M.H.; Johar, M.G.M.</t>
  </si>
  <si>
    <t>Found in: Scopus · DOI: 10.1007/s00521-025-11189-3</t>
  </si>
  <si>
    <t>Data security and privacy have emerged as major areas of study for recommendation systems. This is crucial for enhancing system security given the quick advancement of Internet technology and its increased use. However, there are still issues with privacy protection and data security in current intelligent recommendation systems, such as a high probability of privacy leakage, low data security, and poor recommendation performance. To better promote the wider application of intelligent recommendation systems, this article introduces federated learning and differential privacy technology to conduct in-depth research on privacy protection and data security in intelligent recommendation systems. In the article, a federated learning framework is used to construct an intelligent recommendation system model, and the constructed model is trained. Furthermore, a differential privacy mechanism is introduced, which can protect the privacy of samples by analyzing the sensitivity of L1 and L2, gradient descent, gradient pruning, and other methods. Next, the secure multi-party computation (SMC) protocol can be used to achieve model parameter sharing and protect the privacy of participants; subsequently, there is the implementation of federated learning. Finally, this article also evaluates the practical application effects of federated learning and differential privacy technology in privacy protection and data security in intelligent recommendation systems. The study’s findings indicate that the approach suggested in this article has an average data security and privacy leakage risk of 5.35% and 96.64%; federated learning is 16.55% and 85.08%, respectively; differential privacy is 9.65% and 88.47%, respectively; deep learning is 21.08% and 77.92%, respectively; and homomorphic encryption is 10.69% and 82.43%, respectively. The combination of federal learning and differential privacy can effectively protect the privacy and data security of the intelligent recommendation system, reduce the risk of leakage, improve performance, and promote its healthy and sustainable development. © The Author(s), under exclusive licence to Springer-Verlag London Ltd., part of Springer Nature 2025.</t>
  </si>
  <si>
    <t>R0594</t>
  </si>
  <si>
    <t>Secure AI-Driven Attendance System with Privacy and Engagement Analytics</t>
  </si>
  <si>
    <t>Sai Janivarth, P.; Aarthi, B.; Kumaran, K.</t>
  </si>
  <si>
    <t>Found in: Scopus · DOI: 10.1109/ICEAMST67459.2025.11335874</t>
  </si>
  <si>
    <t>This paper proposes an Intelligent Attendance Management System proposed to improve classroom monitoring with AI-based facial recognition, engagement analysis, and privacy-preserving encryption. To avoid spoofing attendance without actual presence like printed pictures, video replays, and 3D mask attacks, the system includes anti-spoofing facial recognition based on Deep Neural Networks (DNNs) with FaceNet texture and blink-based liveness detection. ResNet-powered real-time emotion detection monitors the levels of attention among students, providing useful information on participation and effectiveness of learning. The mask detection module, deployed via YOLOv8 (a CNN method), provides accurate identification even when faces are partially masked, to facilitate health safety measures. The test accuracy of 94.0% by the proposed system represents a significant improvement from the baseline accuracy of 78.68%. Detection of forgeries and detection of duplicate attendance also increase transparency and accountability. For the sake of data security, Fully Homomorphic Encryption (FHE) based on the CKKS (Cheon-Kim-Kim-Song) scheme supports encrypted face comparison without revealing sensitive biometric information. Experimental outcomes under diverse conditions prove the reliability, effectiveness, and robust privacy protection of the system. © 2025 IEEE.</t>
  </si>
  <si>
    <t>R0595</t>
  </si>
  <si>
    <t>Secure PUF-Based Authentication Systems</t>
  </si>
  <si>
    <t>Tun, N.W.; Mambo, M.</t>
  </si>
  <si>
    <t>Found in: Scopus · DOI: 10.3390/s24165295</t>
  </si>
  <si>
    <t>The Internet of Things faces significant security challenges, particularly in device authentication. Traditional methods of PUF-based authentication protocols do not fully address IoT’s unique security needs and resource constraints. Existing solutions like Identity-Based Encryption with Physically Unclonable Functions enhance security but still struggle with protecting data during transmission. We show a new protocol that leverages PUFs for device authentication by utilizing Paillier homomorphic encryption or the plaintext equality test to enhance security. Our approach involves encrypting both the challenge–response pairs (CRPs) using Paillier homomorphic encryption scheme or ElGamal encryption for plaintext equality testing scheme. The verifier does not need access to the plaintext CRPs to ensure that sensitive data remain encrypted at all times and our approach reduces the computational load on IoT devices. The encryption ensures that neither the challenge nor the response can be deciphered by potential adversaries who obtain them during the transmission. The homomorphic property of the Paillier scheme or plaintext equality testing scheme allows a verifier to verify device authenticity without decrypting the CRPs, preserving privacy and reducing the computational load on IoT devices. Such an approach to encrypting both elements of the CRP provides resistance against CRP disclosure, machine learning attacks, and impersonation attacks. We validate the scheme through security analysis against various attacks and evaluate its performance by analyzing the computational overhead and the communication overhead. Comparison of average computational and communication time demonstrates Paillier scheme achieves approximately 99% reduction while the plaintext equality test achieves approximately 94% reduction between them. © 2024 by the authors.</t>
  </si>
  <si>
    <t>R0596</t>
  </si>
  <si>
    <t>Machine learning classification for assessing the degree of stenosis and blood flow volume at arteriovenous fistulas of hemodialysis patients using a new photoplethysmography sensor device</t>
  </si>
  <si>
    <t>Chiang, P.-Y.; Chao, P.C.-P.; Tu, T.-Y.; Kao, Y.-H.; Yang, C.-Y.; Tarng, D.-C.; Wey, C.-L.</t>
  </si>
  <si>
    <t>Found in: Scopus; PubMed · DOI: 10.3390/s19153422 · PMID: 31382707</t>
  </si>
  <si>
    <t>The classifier of support vector machine (SVM) learning for assessing the quality of arteriovenous fistulae (AVFs) in hemodialysis (HD) patients using a new photoplethysmography (PPG) sensor device is presented in this work. In clinical practice, there are two important indices for assessing the quality of AVF: The blood flow volume (BFV) and the degree of stenosis (DOS). In hospitals, the BFV and DOS of AVFs are nowadays assessed using an ultrasound Doppler machine, which is bulky, expensive, hard to use, and time consuming. In this study, a newly-developed PPG sensor device was utilized to provide patients and doctors with an inexpensive and small-sized solution for ubiquitous AVF assessment. The readout in this sensor was custom-designed to increase the signal-to-noise ratio (SNR) and reduce the environment interference via maximizing successfully the full dynamic range of measured PPG entering an analog–digital converter (ADC) and effective filtering techniques. With quality PPG measurements obtained, machine learning classifiers including SVM were adopted to assess AVF quality, where the input features are determined based on optical Beer–Lambert’s law and hemodynamic model, to ensure all the necessary features are considered. Finally, the clinical experiment results showed that the proposed PPG sensor device successfully achieved an accuracy of 87.84% based on SVM analysis in assessing DOS at AVF, while an accuracy of 88.61% was achieved for assessing BFV at AVF. © 2019 by the authors. Licensee MDPI, Basel, Switzerland.</t>
  </si>
  <si>
    <t>R0597</t>
  </si>
  <si>
    <t>A Faster Privacy-Preserving Medical Image Diagnosis Scheme with Machine Learning</t>
  </si>
  <si>
    <t>Ran, J.; Li, D.</t>
  </si>
  <si>
    <t>Found in: Scopus; PubMed · DOI: 10.1007/s10278-024-01384-4 · PMID: 39753830</t>
  </si>
  <si>
    <t>Convolutional neural networks (CNNs) have become indispensable to medical image diagnosis research, enabling the automated differentiation of diseased images from extensive medical image datasets. Due to their efficacy, these methods raise significant privacy concerns regarding patient images and diagnostic models. To address these issues, some researchers have explored privacy-preserving medical image diagnosis schemes using fully homomorphic encryption (FHE). However, these schemes often support and are suitable for only a limited number of non-linear layers, resulting in less effective diagnoses and potentially inaccurate results. To improve upon these limitations, we propose and design a robust privacy-preserving medical diagnosis scheme that maintains both diagnostic accuracy and effectiveness at the same time. First, we utilize FHE to encrypt both the image and the model to safeguard the confidentiality of medical data and the model itself. Then, we introduce batch normalization to facilitate the use of multiple non-linear layers in deep convolutional neural networks within a ciphertext context. Furthermore, we employ a 2-degree polynomial function to approximate the ReLU activation function effectively. Finally, we introduce two innovative network depth optimization techniques to solve the issue of CNN depth insufficiency. Both theoretical and empirical analyses confirm that our scheme not only protects the confidentiality of medical images and diagnostic models but also ensures practicality and efficiency. © The Author(s) under exclusive licence to Society for Imaging Informatics in Medicine 2024.</t>
  </si>
  <si>
    <t>R0598</t>
  </si>
  <si>
    <t>Smart Grid IoT Framework for Predicting Energy Consumption Using Federated Learning Homomorphic Encryption</t>
  </si>
  <si>
    <t>Jerkovic, F.; Sarkar, N.I.; Ali, J.</t>
  </si>
  <si>
    <t>Found in: Scopus · DOI: 10.3390/s25123700</t>
  </si>
  <si>
    <t>Homomorphic Encryption (HE) introduces new dimensions of security and privacy within federated learning (FL) and internet of things (IoT) frameworks that allow preservation of user privacy when handling data for FL occurring in Smart Grid (SG) technologies. In this paper, we propose a novel SG IoT framework to provide a solution for predicting energy consumption while preserving user privacy in a smart grid system. The proposed framework is based on the integration of FL, edge computing, and HE principles to provide a robust and secure framework to conduct machine learning workloads end-to-end. In the proposed framework, edge devices are connected to each other using P2P networking, and the data exchanged between peers is encrypted using Cheon–Kim–Kim–Song (CKKS) fully HE. The results obtained show that the system can predict energy consumption as well as preserve user privacy in SG scenarios. The findings provide an insight into the SG IoT framework that can help network researchers and engineers contribute further towards developing a next-generation SG IoT system. © 2025 by the authors.</t>
  </si>
  <si>
    <t>R0599</t>
  </si>
  <si>
    <t>ZK-FedMed: Privacy-Preserving Federated Learning for Cardiovascular and Renal Disease Prediction</t>
  </si>
  <si>
    <t>Byeon, H.</t>
  </si>
  <si>
    <t>Found in: Scopus · DOI: 10.14569/IJACSA.2026.0170523</t>
  </si>
  <si>
    <t>Protecting patient data confidentiality while enabling collaborative machine learning across distributed healthcare institutions remains a major challenge. This study presents ZK-FedMed, a privacy-preserving federated learning framework that combines CKKS partially homomorphic encryption for gradient protection, Rényi differential privacy with moments-accountant tracking, zk-SNARK-based integrity verification, TabTransformer feature extraction, SCAFFOLD aggregation, and an approximate federated unlearning procedure. The framework was evaluated on two public benchmark datasets: a cardiovascular disease dataset with 69,997 preprocessed records and a chronic kidney disease dataset expanded through SMOTE from 390 unique records to 4,200 balanced records. ZK-FedMed achieved 91.68% precision, 92.28% recall, and 96.73% AUC for cardiovascular prediction and 88.63% accuracy, 88.41% recall, and 94.52% AUC for renal disease classification. Because both datasets are Kaggle-derived and the CKD cohort is heavily augmented, the results are interpreted as benchmark and simulated-federation evidence rather than proof of real-world multi-hospital clinical efficacy. Additional privacy-budget sensitivity analysis showed that stricter budgets such as ε=1.0 and ε=3.0 substantially reduce utility, while ε=10.0 should be understood as a relaxed operational privacy setting rather than a strong practical privacy guarantee. The findings indicate that explicit cryptographic protection and variance-reduced aggregation can improve privacy-aware federated medical prediction while preserving clinically relevant predictive performance under clearly stated data-source and simulation limitations. © (2026), (Science and Information Organization). All right reserved.</t>
  </si>
  <si>
    <t>R0600</t>
  </si>
  <si>
    <t>Encrypted federated learning for secure decentralized collaboration in cancer image analysis</t>
  </si>
  <si>
    <t>Truhn, D.; Tayebi Arasteh, S.; Saldanha, O.L.; Müller-Franzes, G.; Khader, F.; Quirke, P.; West, N.P.; Gray, R.; Hutchins, G.G.A.; James, J.A.; Loughrey, M.B.; Salto-Tellez, M.; Brenner, H.; Brobeil, A.; Yuan, T.; Chang-Claude, J.; Hoffmeister, M.; Foersch, S.; Han, T.; Keil, S.; Schulze-Hagen, M.; Isfort, P.; Bruners, P.; Kaissis, G.; Kuhl, C.; Nebelung, S.; Kather, J.N.</t>
  </si>
  <si>
    <t>Found in: Scopus; PubMed · DOI: 10.1016/j.media.2023.103059 · PMID: 38104402</t>
  </si>
  <si>
    <t>Artificial intelligence (AI) has a multitude of applications in cancer research and oncology. However, the training of AI systems is impeded by the limited availability of large datasets due to data protection requirements and other regulatory obstacles. Federated and swarm learning represent possible solutions to this problem by collaboratively training AI models while avoiding data transfer. However, in these decentralized methods, weight updates are still transferred to the aggregation server for merging the models. This leaves the possibility for a breach of data privacy, for example by model inversion or membership inference attacks by untrusted servers. Somewhat-homomorphically-encrypted federated learning (SHEFL) is a solution to this problem because only encrypted weights are transferred, and model updates are performed in the encrypted space. Here, we demonstrate the first successful implementation of SHEFL in a range of clinically relevant tasks in cancer image analysis on multicentric datasets in radiology and histopathology. We show that SHEFL enables the training of AI models which outperform locally trained models and perform on par with models which are centrally trained. In the future, SHEFL can enable multiple institutions to co-train AI models without forsaking data governance and without ever transmitting any decryptable data to untrusted servers. © 2023 The Authors</t>
  </si>
  <si>
    <t>R0601</t>
  </si>
  <si>
    <t>Design of an improved model using federated learning and LSTM autoencoders for secure and transparent blockchain network transactions</t>
  </si>
  <si>
    <t>Vijay Anand, R.; Magesh, G.; Alagiri, I.; Brahmam, M.G.; Balusamy, B.; Selvan, C.P.; Alshahrani, H.M.; Getahun, M.; Soufiene, B.O.</t>
  </si>
  <si>
    <t>Found in: Scopus · DOI: 10.1038/s41598-024-83564-4</t>
  </si>
  <si>
    <t>With the advancement of this digital era and the emergence of DApps and Blockchain, secure, robust and transparent network transaction has become invaluable today. These traditional methods of securing the transactions and maintaining transparency have encountered many challenges. It includes some such issues as follows: data privacy, centralized vulnerability, inefficiency in fraud detection and much more. To that effect, and to address such limitations, this paper provides a blockchain technology framework that is driven by advanced machine learning techniques, which will enhance security and transparency throughout the network of transactions. We begin with a design framework based on Federated Learning for Blockchain Integration where distributed datasets across blockchain nodes contribute to a global machine learning model but do not share raw data samples. Different nodes learn their own models. After that, these local models are aggregated towards a common, global model using secure aggregation methods, which makes sure that there is nozza of data privacy and hence, in the process making sure that more accurate models can be obtained due to diversified data sets. With LSTMs Autoencoders, more excellent security protocols are created for anomaly detection and fraud. So, by training the autoencoder on normal transaction data, the system can alert transactions with high reconstruction errors, meaning real-time anomalies. This proactive detection of anomalies reduces fraudulent activities significantly as most of the threats are recognized early. To this end, this paper proposes Smart Contract-based Model Management for machine learning models in a decentralized environment. Smart contracts are responsible for the submission, validation, and execution of the locally updated models in a decentralized fashion such that the management process is transparent and tamper resistant. Integrity and authenticity requirements are fulfilled by enforcing consensus mechanisms. Privacy in Machine Learning is guaranteed through Differential Privacy and Homomorphic Encryption. Differential privacy techniques, so as to ensure individual transaction data privacy in the updates of the local model before aggregation. In homomorphic encryption, computations are made in the encrypted form so when forming privacy preserving global model, privacy is preserved. The Real-time analysis of the transactions can be done with CNNs to detect fraud. Streaming transaction data is analyzed by CNNs leveraging the privacy-preserving global model and producing immediate alerts and actions for detected fraud. This real timing makes the network even more reliable and trustworthy. Our proposed framework is effective according to the interim outcomes where the aggregation of local models occurred without data leakage, detected anomalies very efficiently, managed models very transparently, with privacy of data at a very high level, and easily detected fraudulent transactions. The work presented here provides a great boost to send secure and very easily transparent transactions across the network, and thus resulted in enhanced network trust and decentralization. © The Author(s) 2025.</t>
  </si>
  <si>
    <t>R0602</t>
  </si>
  <si>
    <t>Privacy-Preserving Ensemble Learning for Medical Image Diagnostics using Post-Quantum Cryptography</t>
  </si>
  <si>
    <t>O'Neill, J.; Bouzar-Benlabiod, L.; Zincir-Heywood, N.</t>
  </si>
  <si>
    <t>Found in: Scopus; IEEE · DOI: 10.1109/SysCon66367.2026.11503537</t>
  </si>
  <si>
    <t>The proliferation of machine learning (ML) in sensitive domains such as healthcare is severely hindered by increasing concerns over data privacy and stringent regulations. While Privacy-Preserving Machine Learning (PPML) techniques, particularly Homomorphic Encryption (HE), offer rigorous theoretical guarantees against data leakage, they frequently do so at the cost of degradation in model accuracy. This research proposes a novel system utilizing post-quantum cryptography and ensemble learning to mitigate accuracy loss and reduce the rate of false negatives. To achieve this, disjoint base learners are trained under strict HE guarantees and secure aggregation mechanisms are developed with the unique aim of reducing false negative predictions. The final system is a robust PPML framework that demonstrates state-of-the-art accuracy at 91% compared to existing single-model approaches while simultaneously reducing false negatives by an average of 66%. Additionally, the proposed system is capable of analyzing 7,500 images per hour, representing a 55% increase in performance.  © 2026 IEEE.</t>
  </si>
  <si>
    <t>R0603</t>
  </si>
  <si>
    <t>Secure Vertical Federated Learning: A Review of Privacy and Security Challenges</t>
  </si>
  <si>
    <t>Found in: Scopus · DOI: 10.1007/978-981-95-3486-9_22</t>
  </si>
  <si>
    <t>Vertical federated learning (VFL) has become a cutting-edge approach for collaborative machine learning, as it enables multiple organizations to jointly train models on vertically partitioned data where each party holds different features of a common dataset without revealing any of their sensitive data. This is particularly useful for purposes of driving business operations in sectors characterized by strict data confidentiality laws such as banking, health care, and telecommunications. Nevertheless, VFL comes with privacy and security issues that are more complex than one exists in conventional or horizontal federated learning systems. In this paper, we present an extensive review of these challenges, focusing consideration on the significance of communications protocols that serve for safeguarding information and model confidentiality. Different protocols like secure multiparty computation (SMPC), homomorphic encryption (HE), as well as differential privacy (DP), their virtues and demerits, and their influence on the level of security and communication are discussed. Moreover, we explore and examine about how existing advancements of VFL can help to improve the efficiency of model training, thus offering path for secure and scalable solutions to existing challenges. By identifying current gaps and reviewing effective solutions, this paper aims to guide future research in building VFL frameworks that are both secure and efficient. © The Author(s), under exclusive license to Springer Nature Singapore Pte Ltd. 2026.</t>
  </si>
  <si>
    <t>R0604</t>
  </si>
  <si>
    <t>Real-Time Encrypted Emotion Recognition Using Homomorphic Encryption</t>
  </si>
  <si>
    <t>Cha, G.; Park, D.; Choi, Y.; Park, E.; Lee, J.-W.</t>
  </si>
  <si>
    <t>Found in: Scopus · DOI: 10.1145/3770633</t>
  </si>
  <si>
    <t>Emotion recognition has been an actively researched topic in the field of HCI. However, multimodal datasets used for emotion recognition often contain sensitive personal information, such as physiological signals, facial images, and behavioral patterns, raising significant privacy concerns. In particular, the privacy issues become crucial in workplace settings because of the risks such as surveillance and unauthorized data usage caused by the misuse of collected datasets. To address this issue, we propose an Encrypted Emotion Recognition (EER) framework that performs real-time inference on encrypted data using the CKKS homomorphic encryption (HE) scheme. We evaluated the proposed framework using publicly available WESAD and Hide-and-seek datasets, demonstrating successful stress/emotion recognition under encryption. The results demonstrated that encrypted inference achieved similar accuracy to plaintext inference, with accuracy of 0.966 (plaintext) vs. 0.967 (ciphertext) on the WESAD dataset, and 0.868 for both cases on the Hide-and-Seek dataset. Encrypted inference was performed on a GPU, with average inference times of 333 milliseconds for the general model and 455 milliseconds for the personalized model. Furthermore, we validated the feasibility of semi-supervised learning and model personalization in encrypted environments, enhancing the framework's real-world applicability. Our findings suggest that the EER framework provides a scalable, privacy-preserving solution for emotion recognition in domains such as healthcare and workplace settings, where securing sensitive data is of critical importance. © 2025 Copyright held by the owner/author(s).</t>
  </si>
  <si>
    <t>R0605</t>
  </si>
  <si>
    <t>Private Epigenetic PaceMaker Detector Using Homomorphic Encryption - Extended Abstract</t>
  </si>
  <si>
    <t>Goldenberg, M.; Snir, S.; Akavia, A.</t>
  </si>
  <si>
    <t>Found in: Scopus · DOI: 10.1007/978-3-031-23198-8_6</t>
  </si>
  <si>
    <t>The Epigenetic Pacemaker (EPM) model uses DNA methylation data to predict human epigenetic age. The methylation values are collected from different individuals and are considered to be of medical importance. Sharing this data publicly among labs and other third parties for model calculation purposes may violate the privacy of personal medical records. The use of standard encryption approaches can prevent the exposure of these personal records to third parties, when at rest, but running computations on the data requires decrypting it first, and thus exposing the data to the computing party. This work proposes computing EPM while limiting data exposure by employing cryptographic secure computing techniques including homomorphic encryption. Our protocol has rigorous privacy guarantees against computationally bounded adversaries in the two-server model. We implemented a relaxed version of the protocol showing good correlation with low accuracy error between the model computed with and without encryption. © 2022, The Author(s), under exclusive license to Springer Nature Switzerland AG.</t>
  </si>
  <si>
    <t>R0606</t>
  </si>
  <si>
    <t>Optimizing Privacy-Preserving Outsourced Convolutional Neural Network Predictions</t>
  </si>
  <si>
    <t>Li, M.; Chow, S.S.M.; Hu, S.; Yan, Y.; Shen, C.; Wang, Q.</t>
  </si>
  <si>
    <t>Found in: Scopus · DOI: 10.1109/TDSC.2020.3029899</t>
  </si>
  <si>
    <t>Convolutional neural networks (CNN) is a popular architecture in machine learning for its predictive power, notably in computer vision and medical image analysis. Its great predictive power requires extensive computation, which encourages model owners to host the prediction service in a cloud platform. This article proposes a CNN prediction scheme that preserves privacy in the outsourced setting, i.e., the model-hosting server cannot learn the query, (intermediate) results, and the model. Similar to SecureML (S&amp;P'17), a representative work that provides model privacy, we employ two non-colluding servers with secret sharing and triplet generation to minimize the usage of heavyweight cryptography. We made the following optimizations for both overall latency and accuracy. 1) We adopt asynchronous computation and SIMD for offline triplet generation and parallelizable online computation. 2) As MiniONN (CCS'17) and its improvement by the generic EzPC compiler (EuroS&amp;P'19), we use a garbled circuit for the non-polynomial ReLU activation to keep the same accuracy as the underlying network (instead of approximating it in SecureML prediction). 3) For the pooling in CNN, we employ (linear) average-pooling, which achieves almost the same accuracy as the (non-linear, and hence less efficient) max-pooling exhibited by MiniONN and EzPC. Considering both offline and online costs, our experiments on the MNIST dataset show a latency reduction of 122×, 14.63×, and 36.69× compared to SecureML, MiniONN, and EzPC; and a reduction of communication costs by 1.09×, 36.69×, and 31.32×, respectively. On the CIFAR dataset, our scheme achieves a lower latency by 7.14× and 3.48× and lower communication costs by 13.88× and 77.46× when compared with MiniONN and EzPC, respectively.  © 2004-2012 IEEE.</t>
  </si>
  <si>
    <t>R0607</t>
  </si>
  <si>
    <t>Secure Federated Learning with Watermarking and Homomorphic Encryption: A Blockchain-Enhanced Framework</t>
  </si>
  <si>
    <t>Lansari, M.; Bellafqira, R.; Kapusta, K.; Thouvenot, V.; Bettan, O.; Coatrieux, G.</t>
  </si>
  <si>
    <t>Found in: Scopus · DOI: 10.1007/978-3-032-09598-5_9</t>
  </si>
  <si>
    <t>Federated Learning (FL) has gained considerable interest due to its capacity to allow multiple participants to train a model without centralizing their data. However, due to the number of entities involved and the data sensitivity (e.g., in healthcare or military fields), there is a need to ensure some security and privacy requirements using specific tools. The problem is that combining these different mechanisms is not trivial. In particular, protecting intellectual property, using watermarking, with encrypted parameters is a problem that has been recently investigated. Even if the technical issue behind the problem of embedding a watermark in the ciphertext is resolved, some facets of the problem have not been covered. Starting from the existing solution [23], we propose a FL watermarking framework compatible with homomorphic encryption as a privacy mechanism that integrates two important functionalities in such a way as to complete the previous framework. On one hand, using the blinding computation principle, we allow the server to compute the watermark success rate of the extracted encrypted watermark at each round allowing it to follow the correct course of the embedding. On the other hand, we consolidate the proof of ownership by incorporating saves of the watermarking and model information in the blockchain. To diversify our proof of concept, we conduct experiments on three classification models to demonstrate the generality of our framework. © The Author(s), under exclusive license to Springer Nature Switzerland AG 2026.</t>
  </si>
  <si>
    <t>R0608</t>
  </si>
  <si>
    <t>Federated learning for privacy-preserving iot data aggregation in smart healthcare applications</t>
  </si>
  <si>
    <t>Udayakumar, R.; Shaheen, H.; Vij, P.; Rajendran, M.; Xolmatov, M.</t>
  </si>
  <si>
    <t>Found in: Scopus · DOI: 10.1145/3789692.3789803</t>
  </si>
  <si>
    <t>Internet of Things (IoT) gadgets have transformed patient monitoring and individualised treatment through their incorporation into state-of-the-art healthcare systems. Concerns regarding data privacy and security are heightened by the decentralised nature of IoT data collection, as well as by the increasingly inadequate state of traditional centralised machine learning approaches that aggregate sensitive health data on central servers in response to strict privacy regulations such as GDPR and HIPAA. It examined the designs for safe data aggregation techniques like homomorphic encryption and secure multiparty computation, as well as differential privacy, which are safe data aggregation techniques. Also, we talk about incorporating edge and fog computing to improve FL efficiency and scalability within resource-constrained IoT devices. An approach that has some promise is federated learning (FL), which allows distributed devices to train models jointly without explicitly exchanging data. In order to collect data from the Internet of Things (IoT) while safeguarding patient privacy, this article focuses on how smart healthcare settings might utilise FL. The vision overhead, data diversity, and adversarial attacks are critical issues the research tackles that the vision overhead, data diversity, and adversarial attacks are essential issues the research tackles and offers solutions for. By reviewing past research and real-world instances, the study highlights how deeply transformative FL can be for the healthcare field, creating secure and compliant intelligent ecosystems. The results indicated the need for FL IoT frameworks to attain asymmetric efficiency targets focused on privacy, while the security and the obfuscation components are highly balanced and robust to maximize privacy.  © 2025 Copyright held by the owner/author(s).</t>
  </si>
  <si>
    <t>R0609</t>
  </si>
  <si>
    <t>Reduced small world brain connectivity in probands with a family history of epilepsy</t>
  </si>
  <si>
    <t>Bharath, R.D.; Chaitanya, G.; Panda, R.; Raghavendra, K.; Sinha, S.; Sahoo, A.; Gohel, S.; Biswal, B.B.; Satishchandra, P.</t>
  </si>
  <si>
    <t>Found in: Scopus · DOI: 10.1111/ene.13104</t>
  </si>
  <si>
    <t>Background and purpose: The role of inheritance in ascertaining susceptibility to epilepsy is well established, although the pathogenetic mechanisms are still not very clear. Interviewing for a positive family history is a popular epidemiological tool in the understanding of this susceptibility. Our aim was to visualize and localize network abnormalities that could be associated with a positive family history in a group of patients with hot water epilepsy (HWE) using resting-state functional magnetic resonance imaging (rsfMRI). Methods: Graph theory analysis of rsfMRI (clustering coefficient γ; path length λ; small worldness σ) in probands with a positive family history of epilepsy (FHE+, 25) were compared with probands without FHE (FHE−, 33). Whether a closer biological relationship was associated with a higher likelihood of network abnormalities was also ascertained. Results: A positive family history of epilepsy had decreased γ, increased λ and decreased σ in bilateral temporofrontal regions compared to FHE− (false discovery rate corrected P ≤ 0.0062). These changes were more pronounced in probands having first degree relatives and siblings with epilepsy. Probands with multiple types of epilepsy in the family showed decreased σ in comparison to only HWE in the family. Conclusion: Graph theory analysis of the rsfMRI can be used to understand the neurobiology of diseases like genetic susceptibility in HWE. Reduced small worldness, proportional to the degree of relationship, is consistent with the current understanding that disease severity is higher in closer biological relations. © 2016 EAN</t>
  </si>
  <si>
    <t>R0610</t>
  </si>
  <si>
    <t>HEbdMIA: Lightweight Logit Encryption for Membership Inference Defense</t>
  </si>
  <si>
    <t>Shah, A.; Wani, M.A.; Chaturvedi, R.P.; Kant, S.; Sindhwani, N.; Shakil, K.A.; Alshuhri, S.</t>
  </si>
  <si>
    <t>Found in: Scopus · DOI: 10.32604/cmc.2026.082713</t>
  </si>
  <si>
    <t>Membership Inference Attacks (MIAs) pose a significant privacy risk in machine learning by enabling adversaries to infer whether specific data samples were used during training, particularly in sensitive domains such as social media and mental health analytics. To address this challenge, this paper proposes HEbdMIA, a lightweight homomorphic encryption-based defense that operates at the post-inference stage by encrypting model output logits without requiring retraining or architectural modifications. The proposed approach preserves the relative ordering of predictions while obscuring confidence patterns exploited by MIAs. Experimental evaluation on DepInferAttack and BotInferAttack demonstrates that HEbdMIA achieves a reduction in MIA success rates of 31.0% and 27.3%, respectively, with an associated accuracy decrease of 29.3% and 26.4%, reflecting a controlled privacy and utility trade off. Additional analysis using precision, recall, F1-score, and ROC-AUC confirms a substantial decline in adversarial inference capability. These findings indicate that HEbdMIA provides an effective, scalable, and deployment-friendly solution for enhancing privacy in real-world machine learning systems. Copyright © 2026 The Authors.</t>
  </si>
  <si>
    <t>R0611</t>
  </si>
  <si>
    <t>The Podovirus ϕ80-18 Targets the Pathogenic American Biotype 1B Strains of Yersinia enterocolitica</t>
  </si>
  <si>
    <t>Filik, K.; Szermer-Olearnik, B.; Wernecki, M.; Happonen, L.J.; Pajunen, M.I.; Nawaz, A.; Qasim, M.S.; Jun, J.W.; Mattinen, L.; Skurnik, M.; Brzozowska, E.</t>
  </si>
  <si>
    <t>Found in: Scopus; PubMed · DOI: 10.3389/fmicb.2020.01356 · PMID: 32636826</t>
  </si>
  <si>
    <t>We report here the complete genome sequence and characterization of Yersinia bacteriophage vB_YenP_ϕ80-18. ϕ80-18 was isolated in 1991 using a Y. enterocolitica serotype O:8 strain 8081 as a host from a sewage sample in Turku, Finland, and based on its morphological and genomic features is classified as a podovirus. The genome is 42 kb in size and has 325 bp direct terminal repeats characteristic for podoviruses. The genome contains 57 predicted genes, all encoded in the forward strand, of which 29 showed no similarity to any known genes. Phage particle proteome analysis identified altogether 24 phage particle-associated proteins (PPAPs) including those identified as structural proteins such as major capsid, scaffolding and tail component proteins. In addition, also the DNA helicase, DNA ligase, DNA polymerase, 5′-exonuclease, and the lytic glycosylase proteins were identified as PPAPs, suggesting that they might be injected together with the phage genome into the host cell to facilitate the take-over of the host metabolism. The phage-encoded RNA-polymerase and DNA-primase were not among the PPAPs. Promoter search predicted the presence of four phage and eleven host RNA polymerase –specific promoters in the genome, suggesting that early transcription of the phage is host RNA-polymerase dependent and that the phage RNA polymerase takes over later. The phage tolerates pH values between 2 and 12, and is stable at 50°C but is inactivated at 60°C. It grows slowly with a 50 min latent period and has apparently a low burst size. Electron microscopy revealed that the phage has a head diameter of about 60 nm, and a short tail of 20 nm. Whole-genome phylogenetic analysis confirmed that ϕ80-18 belongs to the Autographivirinae subfamily of the Podoviridae family, that it is 93.2% identical to Yersinia phage fHe-Yen3-01. Host range analysis showed that ϕ80-18 can infect in addition to Y. enterocolitica serotype O:8 strains also strains of serotypes O:4, O:4,32, O:20 and O:21, the latter ones representing similar to Y. enterocolitica serotype O:8, the American pathogenic biotype 1B strains. In conclusion, the phage ϕ80-18 is a promising candidate for the biocontrol of the American biotype 1B Y. enterocolitica. © Copyright © 2020 Filik, Szermer-Olearnik, Wernecki, Happonen, Pajunen, Nawaz, Qasim, Jun, Mattinen, Skurnik and Brzozowska.</t>
  </si>
  <si>
    <t>R0612</t>
  </si>
  <si>
    <t>Federated learning in computational pathology: a literature review</t>
  </si>
  <si>
    <t>Shukla S; Doyle S</t>
  </si>
  <si>
    <t>Found in: PubMed · DOI: 10.1117/1.JMI.12.6.061412 · PMID: 41311632</t>
  </si>
  <si>
    <t>PURPOSE: Artificial intelligence has emerged as a powerful technique for data analysis and predictive modeling. However, traditional centralized learning methods, which require aggregating large and diverse datasets at a central location, present considerable privacy and security risks, particularly in sensitive areas such as healthcare. Federated learning (FL) offers a promising alternative by enabling collaborative model training without the need to share raw data. We aim to systematically examine the current state of the art in the application of FL within the healthcare domain, with a focus on computational pathology. APPROACH: We conducted a systematic review of the published literature on FL in healthcare, with a specific focus on imaging-based applications relevant to computational pathology. Our analysis includes studies utilizing a range of medical imaging modalities such as whole-slide histopathology images, magnetic resonance imaging, computed tomography, and positron emission tomography. The selected studies were categorized based on a taxonomy of FL architectures, with a focus on understanding each study's motivations, implementation strategies, and targeted problems. We also evaluated recurring technical challenges such as system and data heterogeneity, privacy preservation mechanisms, and communication efficiency, as well as the integration of complementary technologies such as blockchain, homomorphic encryption, and multi-modal learning. RESULTS: The literature demonstrates a growing adoption of FL across healthcare applications, with increasing interest in computational pathology. Studies report promising outcomes for tasks such as patient outcome prediction, disease classification, and tissue segmentation using decentralized datasets. Notably, federated approaches often match or outperform centralized models in terms of accuracy while maintaining data privacy across institutions. In the case of computational pathology, federated training has proven feasible and effective. However, challenges persist across studies, including data modality heterogeneity, communication overhead, and slow model convergence. Several papers propose novel FL frameworks to address these issues, although standardization across implementations remains limited. CONCLUSIONS: FL holds significant promise for enabling secure, privacy-preserving collaboration in healthcare, particularly within computational pathology. The reviewed studies highlight the feasibility of applying FL across diverse data types without the need to centralize sensitive information. Nevertheless, key challenges such as system interoperability, data heterogeneity, and model interpretability continue to hinder real-world adoption. Future research should focus on developing scalable, standardized FL infrastructures, improving model robustness across heterogeneous sources, and addressing ethical concerns around fairness and accountability to support safe and effective clinical integration.</t>
  </si>
  <si>
    <t>R0613</t>
  </si>
  <si>
    <t>A Novel Data Obfuscation Framework Integrating Probability Density and Information Entropy for Privacy Preservation</t>
  </si>
  <si>
    <t>Cheng, H.; Qiang, C.; Cong, L.; Xiao, J.; Liu, S.; Zhou, X.; Wang, H.; Ruan, M.; Lv, C.</t>
  </si>
  <si>
    <t>Found in: Scopus · DOI: 10.3390/app15031261</t>
  </si>
  <si>
    <t>Data privacy protection is increasingly critical in fields like healthcare and finance, yet existing methods, such as Fully Homomorphic Encryption (FHE), differential privacy (DP), and federated learning (FL), face limitations like high computational complexity, noise interference, and communication overhead. This paper proposes a novel data obfuscation method based on probability density and information entropy, leveraging a probability density extraction module for global data distribution modeling and an information entropy fusion module for dynamically adjusting the obfuscation intensity. In medical image classification, the method achieved precision, recall, and accuracy of 0.93, 0.89, and 0.91, respectively, with a throughput of 57 FPS, significantly outperforming FHE (0.82, 23 FPS) and DP (0.84, 25 FPS). Similarly, in financial prediction tasks, it achieved precision, recall, and accuracy of 0.95, 0.91, and 0.93, with a throughput of 54 FPS, surpassing traditional approaches. These results highlight the method’s ability to balance privacy protection and task performance effectively, offering a robust solution for advancing privacy-preserving technologies. © 2025 by the authors.</t>
  </si>
  <si>
    <t>R0614</t>
  </si>
  <si>
    <t>Homomorphic Encryption for Machine Learning in Medicine and Bioinformatics</t>
  </si>
  <si>
    <t>Wood, A.; Najarian, K.; Kahrobaei, D.</t>
  </si>
  <si>
    <t>Found in: Scopus · DOI: 10.1145/3394658</t>
  </si>
  <si>
    <t>Machine learning and statistical techniques are powerful tools for analyzing large amounts of medical and genomic data. On the other hand, ethical concerns and privacy regulations prevent free sharing of this data. Encryption techniques such as fully homomorphic encryption (FHE) enable evaluation over encrypted data. Using FHE, machine learning models such as deep learning, decision trees, and Naive Bayes have been implemented for privacy-preserving applications using medical data. These applications include classifying encrypted data and training models on encrypted data. FHE has also been shown to enable secure genomic algorithms, such as paternity and ancestry testing and privacy-preserving applications of genome-wide association studies. This survey provides an overview of fully homomorphic encryption and its applications in medicine and bioinformatics. The high-level concepts behind FHE and its history are introduced, and details on current open-source implementations are provided. The state of fully homomorphic encryption for privacy-preserving techniques in machine learning and bioinformatics is reviewed, along with descriptions of how these methods can be implemented in the encrypted domain.  © 2020 ACM.</t>
  </si>
  <si>
    <t>R0615</t>
  </si>
  <si>
    <t>Optimizing Cloud Data Security: Leveraging Homomorphic Encryption and Cuckoo Search Algorithm</t>
  </si>
  <si>
    <t>Sennan, S.; Pradeep, R.; Jayachitra, S.; Ali, S.A.; Subashini, K.; Priyadharshini, B.</t>
  </si>
  <si>
    <t>Found in: Scopus; IEEE · DOI: 10.1109/ICETEA64585.2025.11099663</t>
  </si>
  <si>
    <t>Therefore, the following research proposal to develop an enhanced cloud data security using Homomorphic Encryption and Cuckoo Search Algorithm. While using cloud computing environment increases, how to protect the security of data during the storing and computation is still a challenge. They deal with computation processes that can be carried out on encrypted information with aer modifying the content while still preserving confidentiality. However, its major drawback is high complexity in the computation process which may limit its applicability in large-scale clouds. To help address this problem, the Cuckoo Search Algorithm is presented as an optimization tool that mimics nature. The proposed work is derived from an optimization that is carried out using the Cuckoo Search Algorithm in order to enhance key management as well as the general encryption/decryption period and computational complexity of homomorphic encryption. This integration results in a reduction of the overhead cost of performing encryption while at the same time making it more secure. In this project the developed system is to offer a large-scale, modular and secure application paradigm particularly for data storage and processing, machine learning or similar tasks on the cloud. Through the use of both privacy-preserving homomorphic encryption and the optimization features of the Cuckoo Search Algorithm the project combines data confidentiality with productivity delivering a solution of cloud computing that improves security in sectors like healthcare, finance, and government.  © 2025 IEEE.</t>
  </si>
  <si>
    <t>R0616</t>
  </si>
  <si>
    <t>Semi-Parallel logistic regression for GWAS on encrypted data</t>
  </si>
  <si>
    <t>Kim, M.; Song, Y.; Li, B.; Micciancio, D.</t>
  </si>
  <si>
    <t>Found in: Scopus; PubMed · DOI: 10.1186/s12920-020-0724-z · PMID: 32693798</t>
  </si>
  <si>
    <t>Background: The sharing of biomedical data is crucial to enable scientific discoveries across institutions and improve health care. For example, genome-wide association studies (GWAS) based on a large number of samples can identify disease-causing genetic variants. The privacy concern, however, has become a major hurdle for data management and utilization. Homomorphic encryption is one of the most powerful cryptographic primitives which can address the privacy and security issues. It supports the computation on encrypted data, so that we can aggregate data and perform an arbitrary computation on an untrusted cloud environment without the leakage of sensitive information. Methods: This paper presents a secure outsourcing solution to assess logistic regression models for quantitative traits to test their associations with genotypes. We adapt the semi-parallel training method by Sikorska et al., which builds a logistic regression model for covariates, followed by one-step parallelizable regressions on all individual single nucleotide polymorphisms (SNPs). In addition, we modify our underlying approximate homomorphic encryption scheme for performance improvement. Results: We evaluated the performance of our solution through experiments on real-world dataset. It achieves the best performance of homomorphic encryption system for GWAS analysis in terms of both complexity and accuracy. For example, given a dataset consisting of 245 samples, each of which has 10643 SNPs and 3 covariates, our algorithm takes about 43 seconds to perform logistic regression based genome wide association analysis over encryption. Conclusions: We demonstrate the feasibility and scalability of our solution. © 2020 The Author(s).</t>
  </si>
  <si>
    <t>R0617</t>
  </si>
  <si>
    <t>Securing IoT Networks in Healthcare for Enhanced Privacy in Wearable Patient Monitoring Devices</t>
  </si>
  <si>
    <t>Tiwari, V.; Jharbade, N.; Chourasiya, P.; Supraja, B.; Wani, P.S.; Maurya, R.</t>
  </si>
  <si>
    <t>Found in: Scopus; IEEE · DOI: 10.1109/ICISAA62385.2024.10828921</t>
  </si>
  <si>
    <t>The project aims to make smart patient monitoring devices more private. This is crucial to healthcare IoT network security. Strong security is needed to protect patient data in a growing digital healthcare system. Our research develops a whole security system with sophisticated encryption, user-centric identity, blockchain integration, and deep learning to detect unusual activity. As mentioned before, sophisticated patient monitoring gadgets in contemporary healthcare have increased security vulnerabilities. A powerful and adaptable security system is needed to secure patient data; hence, a multidimensional approach is studied. This study's approaches include experimental design, dataset preparation, and measure choice. The security framework uses cutting-edge cryptography, including ECC, homomorphic encryption, and blockchain. Also crucial are recognizing users based on biological features and spotting abnormalities using deep learning and LSTM networks. Mixed methods mitigate all security issues. The findings reveal that the recommended strategy boosts encryption to 256 bits. Since authentication accuracy has reached 98%, user-centered authentication approaches work. Cryptographic processes employ resources effectively, and anomaly detection rates reflect how successfully the approach detects unusual device behavior. Elliptic Curve Cryptography (ECC), which may give 256-bit encryption, is stronger than symmetric encryption (128 bits). User-centric authentication was 98% accurate, outperforming public key infrastructure (95%). With a 92% success rate, LSTM networks can predict abnormal activity in connected devices. The proposed approach performs cryptographic operations fast, with 120 operations per unit time. In conclusion, this research introduces a healthcare IoT security solution. The combined encryption, identity, blockchain, and deep learning technology is secure. The recommended solution protects patient data on personal tracking devices with greater encryption, usercentered identification, and proactive anomaly detection. This study increases research on IoT in healthcare and informs healthcare organizations on how to strengthen privacy rights.  © 2024 IEEE.</t>
  </si>
  <si>
    <t>R0618</t>
  </si>
  <si>
    <t>MSDP: multi-scheme privacy-preserving deep learning via differential privacy</t>
  </si>
  <si>
    <t>Owusu-Agyemeng, K.; Qin, Z.; Xiong, H.; Liu, Y.; Zhuang, T.; Qin, Z.</t>
  </si>
  <si>
    <t>Found in: Scopus · DOI: 10.1007/s00779-021-01545-0</t>
  </si>
  <si>
    <t>Human activity recognition (HAR) generates a massive amount of the dataset from the Internet of Things (IoT) devices, to enable multiple data providers to jointly produce predictive models for medical diagnosis. That the accuracy of the models is greatly improved when trained on a large number of datasets from these data providers on the untrusted cloud server is very significant and raises privacy concerns. With the migration of a deep neural network (DNN) in the learning experience in HAR, we present a privacy-preserving DNN model known as Multi-Scheme Differential Privacy (MSDP) depending on the fusion of Secure Multi-party Computation (SMC) and &amp;#120598;-differential privacy, making it very practical since existing proposals are unable to make all the fully homomorphic encryption multi-key which is very impracticable. MSDP inputs a secure multi-party alternative to the ReLU function to reduce the communication and computational cost at a minimal level. With the aid of experimental verification on the four of the most widely used human activity recognition datasets, MSDP demonstrates superior performance with very good generalization performance and is proven to be secure as compared with existing ultramodern models without breach of privacy. © 2021, The Author(s).</t>
  </si>
  <si>
    <t>R0619</t>
  </si>
  <si>
    <t>Privacy-preserving federated learning based on multi-key homomorphic encryption</t>
  </si>
  <si>
    <t>Ma, J.; Naas, S.-A.; Sigg, S.; Lyu, X.</t>
  </si>
  <si>
    <t>Found in: Scopus · DOI: 10.1002/int.22818</t>
  </si>
  <si>
    <t>With the advance of machine learning and the Internet of Things (IoT), security and privacy have become critical concerns in mobile services and networks. Transferring data to a central unit violates the privacy of sensitive data. Federated learning mitigates this need to transfer local data by sharing model updates only. However, privacy leakage remains an issue. This paper proposes xMK-CKKS, an improved version of the MK-CKKS multi-key homomorphic encryption protocol, to design a novel privacy-preserving federated learning scheme. In this scheme, model updates are encrypted via an aggregated public key before sharing with a server for aggregation. For decryption, a collaboration among all participating devices is required. Our scheme prevents privacy leakage from publicly shared model updates in federated learning and is resistant to collusion between (Formula presented.) participating devices and the server. The evaluation demonstrates that the scheme outperforms other innovations in communication and computational cost while preserving model accuracy. © 2022 Wiley Periodicals LLC.</t>
  </si>
  <si>
    <t>R0620</t>
  </si>
  <si>
    <t>Using Flexible Hybrid Electronics on a Miniaturized Non-invasive Bio-optical Sensor For Hemoglobin Detection</t>
  </si>
  <si>
    <t>Lee, Y.-C.; Yu, K.-L.; Tsai, S.-A.; Shih, P.-S.; Huang, G.-S.; Liu, T.-C.; Fu, T.-W.; Tseng, S.-H.; Lin, H.-I.; Chen, J.-C.; Fang, J.-K.; Chang, H.</t>
  </si>
  <si>
    <t>Found in: Scopus · DOI: 10.1109/ECTC51529.2024.00041</t>
  </si>
  <si>
    <t>Flexible hybrid electronics (FHE) is an emerging technology by integrating electronic devices and circuits onto flexible or stretchable substrates and packages. Skin chromophore concentration provides rich biomarker information for non-invasive healthcare applications. From algorithm developed on DRS (Diffusion Reflectance Spectroscopy), these biomarker data can be extracted by optics measurement of skin tissue absorption, and the reduced scattering coefficient. In this study, we choose blood hemoglobin as the detection target, and developed a wearable device with miniaturization evolved from a lab benchtop equipment to a small sized LED +PD structure. To fulfill this purpose, we first surveyed LEDs at 6 different wavelengths that meet most distinguished skin tissue absorption properties to hemoglobin. To mimic configuration of fiber probe and SDS (Source Detection Separation), where original DRS algorithm derived, we apply optical simulation to design grid topology with 12 LEDs and 6 PDs. Simulation result showed this topology design can derive absorption property of tissue phantom with good correlation to measurement result. In order to realize body conformal flexible bio optical sensor, as well as addressing the necessary light barrier miniaturization and component placement pitch in small SDS design, we developed LED and PD dice DB&amp;WB process on FPC, and choose flexible optical and opaque LSR (Liquid Silicon Rubber) material that provide good workability in small area for the dispensing process. These process and material are critical to the development of miniaturized FHE. For functionality validation, firstly we validated critical parametric on optics to confirm the performance of design, material characteristics and stability of fabrication. Secondly, we verified device on known characterized tissue phantom for absorption and scattering coefficient extraction. The last, in-vivo hemoglobin measurement performed, and showed good data correlation with commodity device. © 2024 IEEE.</t>
  </si>
  <si>
    <t>R0621</t>
  </si>
  <si>
    <t>Trust, Ethics, and User-Centric Design in AI-Integrated Genomics</t>
  </si>
  <si>
    <t>Al-Akayleh, F.; Ali Agha, A.S.A.</t>
  </si>
  <si>
    <t>Found in: Scopus; IEEE · DOI: 10.1109/ICCR61006.2024.10532890</t>
  </si>
  <si>
    <t>This study examines the integration of genomics and artificial intelligence (AI) in the healthcare industry, focusing on the ethical and trust-related issues that arise from this integration. This integration highlights the significance of protecting genomic data by employing homomorphic encryption. This study emphasizes the significance of algorithmic transparency. It suggests employing interpretative frameworks like Local Interpretable Model-agnostic Explanations (LIME) and SHapley Additive exPlanations (SHAP) to enhance the comprehensibility of AI algorithms. The article discusses two key regulatory measures: the Trustworthy Artificial Intelligence Initiative and the Genomic Data Sharing (GDS) Policy. This study examines the effectiveness of current practices in adapting to rapid technological advancements while maintaining ethical standards. This emphasizes the significance of attaining a balance between the benefits of predictive analytics in healthcare and the ethical considerations, such as informed consent and data integrity, as we transition from big data to big mechanisms. The importance of integration lies in its ability to revolutionize the healthcare sector. The study highlights the importance of robust governance frameworks to ensure technological advancements adhere to ethical standards and earn public trust. In summary, it is imperative to acknowledge and address the ethical considerations associated with integrating genomics and AI in healthcare to ensure effective and responsible implementation. This area is a major focus in contemporary medical research and practice.  © 2024 IEEE.</t>
  </si>
  <si>
    <t>R0622</t>
  </si>
  <si>
    <t>Machine Learning Models and Statistical Complexity to Analyze the Effects of Posture on Cerebral Hemodynamics</t>
  </si>
  <si>
    <t>Chacón, M.; Rojas-Pescio, H.; Peñaloza, S.; Landerretche, J.</t>
  </si>
  <si>
    <t>Found in: Scopus; PubMed · DOI: 10.3390/e24030428 · PMID: 35327938</t>
  </si>
  <si>
    <t>The mechanism of cerebral blood flow autoregulation can be of great importance in diagnosing and controlling a diversity of cerebrovascular pathologies such as vascular dementia, brain injury, and neurodegenerative diseases. To assess it, there are several methods that use changing postures, such as sit-stand or squat-stand maneuvers. However, the evaluation of the dynamic cerebral blood flow autoregulation (dCA) in these postures has not been adequately studied using more complex models, such as non-linear ones. Moreover, dCA can be considered part of a more complex mechanism called cerebral hemodynamics, where others (CO2 reactivity and neurovascular-coupling) that affect cerebral blood flow (BF) are included. In this work, we analyzed postural influences using non-linear machine learning models of dCA and studied characteristics of cerebral hemodynamics under statistical complexity using eighteen young adult subjects, aged 27 ± 6.29 years, who took the systemic or arterial blood pressure (BP) and cerebral blood flow velocity (BFV) for five minutes in three different postures: stand, sit, and lay. With models of a Support Vector Machine (SVM) through time, we used an AutoRegulatory Index (ARI) to compare the dCA in different postures. Using wavelet entropy, we estimated the statistical complexity of BFV for three postures. Repeated measures ANOVA showed that only the complexity of lay-sit had significant differences. © 2022 by the authors. Licensee MDPI, Basel, Switzerland.</t>
  </si>
  <si>
    <t>R0623</t>
  </si>
  <si>
    <t>A Framework with Randomized Encoding for a Fast Privacy Preserving Calculation of Non-linear Kernels for Machine Learning Applications in Precision Medicine</t>
  </si>
  <si>
    <t>Ünal, A.B.; Akgün, M.; Pfeifer, N.</t>
  </si>
  <si>
    <t>Found in: Scopus · DOI: 10.1007/978-3-030-31578-8_27</t>
  </si>
  <si>
    <t>For many diseases it is necessary to gather large cohorts of patients with the disease in order to have enough power to discover the important factors. In this setting, it is very important to preserve the privacy of each patient and ideally remove the necessity to gather all data in one place. Examples include genomic research of cancer, infectious diseases or Alzheimer’s. This problem leads us to develop privacy preserving machine learning algorithms. So far in the literature there are studies addressing the calculation of a specific function privately with lack of generality or utilizing computationally expensive encryption to preserve the privacy, which slows down the computation significantly. In this study, we propose a framework utilizing randomized encoding in which four basic arithmetic operations (addition, subtraction, multiplication and division) can be performed, in order to allow the calculation of machine learning algorithms involving one type of these operations privately. Among the suitable machine learning algorithms, we apply the oligo kernel and the radial basis function kernel to the coreceptor usage prediction problem of HIV by employing the framework to calculate the kernel functions. The results show that we do not sacrifice the performance of the algorithms for privacy in terms of F1-score and AUROC. Furthermore, the execution time of the framework in the experiments of the oligo kernel is comparable with the non-private version of the computation. Our framework in the experiments of radial basis function kernel is also way faster than the existing approaches utilizing integer vector homomorphic encryption and consequently homomorphic encryption based solutions, which indicates that our approach has a potential for application to many other diseases and data types. © 2019, Springer Nature Switzerland AG.</t>
  </si>
  <si>
    <t>R0624</t>
  </si>
  <si>
    <t>Privacy-Preserving Multi-User Joint Data Logistic Regression Inference Scheme</t>
  </si>
  <si>
    <t>Zhang, Y.; Tang, L.; Che, L.; Liu, C.; Li, E.; Xing, H.; Zhang, J.; Di, G.</t>
  </si>
  <si>
    <t>Found in: Scopus; IEEE · DOI: 10.1109/NaNA60121.2023.00040</t>
  </si>
  <si>
    <t>Nowadays, in the era of big data with rich sources of information, machine learning technologies are developing rapidly, and they are widely used in areas such as medical treatment, genomic prediction, spam detection, face recognition, and financial prediction. As a classification model in machine learning, the logistic regression model has become an industrial focus due to the simplicity and efficiency of algorithms. In this context, the 'model as a service' business model has emerged. Specifically, companies with expertise and large-scale training data provide high-quality models to provide reasoning services for users. However, in machine learning classification models, it is important that feature data and inference models remain private. In view of this problem, the existing privacy inference technology considers that the single user has all the feature data, while the feature data of some scenarios exist between multiple users in the form of segmentation. In this paper, based on the fully homomorphic encryption CKKS scheme and the secure computing technology, this paper designs a privacy logic regression inference scheme suitable for multi-party data combination, which can simultaneously protect the model privacy of the server side, the data feature privacy of each user and the access rights of the inference results. Finally, experimental tests of the designed scheme are performed to verify its high performance.  © 2023 IEEE.</t>
  </si>
  <si>
    <t>R0625</t>
  </si>
  <si>
    <t>CryptInfer: Enabling Encrypted Inference on Skin Lesion Images for Melanoma Detection</t>
  </si>
  <si>
    <t>Jain, N.; Nandakumar, K.; Ratha, N.; Pankanti, S.; Kumar, U.</t>
  </si>
  <si>
    <t>Found in: Scopus · DOI: 10.1145/3486001.3486233</t>
  </si>
  <si>
    <t>Deep learning models such as Convolutional Neural Networks (CNNs) have shown the potential to classify medical images for accurate diagnosis. These techniques will face regulatory compliance challenges related to privacy of user data, especially when they are deployed as a service on a cloud platform. Fully Homomorphic Encryption (FHE) can enable CNN inference on encrypted data and help mitigate such concerns. However, encrypted CNN inference faces the fundamental challenge of optimizing the computations to achieve an acceptable trade-off between accuracy and practical computational feasibility. Current approaches for encrypted CNN inference demonstrate feasibility typically on smaller images (e.g., MNIST and CIFAR-10 datasets) and shallow neural networks. This work is the first to show encrypted inference results on a real-world dataset for melanoma detection with large-sized images of skin lesions based on the Cheon-Kim-Kim-Song (CKKS) encryption scheme available in the open-source HElib library. The practical challenges related to encrypted inference are first analyzed and inference experiments are conducted on encrypted MNIST images to evaluate different optimization strategies and their role in determining the throughput and latency of the inference process. Using these insights, a modified LeNet-like architecture is designed and implemented to achieve the end goal of enabling encrypted inference on melanoma dataset. The results demonstrate that 80% classification accuracy can be achieved on encrypted skin lesion images (security of 106 bits) with a latency of 51 seconds for single image inference and a throughput of 18,000 images per hour for batched inference, which shows that privacy-preserving machine learning as a service (MLaaS) based on encrypted data is indeed practically feasible. © 2021 ACM.</t>
  </si>
  <si>
    <t>R0626</t>
  </si>
  <si>
    <t>Artificial Intelligence Design for Real-time Fall Detection</t>
  </si>
  <si>
    <t>Wang, Z.; Wu, Y.; Wang, S.; Wang, X.; Du, L.; Du, Y.; Chen, J.</t>
  </si>
  <si>
    <t>Found in: Scopus; IEEE · DOI: 10.1109/BioCAS61083.2024.10798394</t>
  </si>
  <si>
    <t>Falls represent a serious senior care issue worldwide, especially among individuals aged 65 and above. The World Health Organization (WHO) reports approximately 646,000 related fatalities annually due to falls. This paper addresses the limitations of existing fall detection systems, characterized by high false alarm rates and constraints in deployments. We introducing an edge artificial intelligent (AI) design for real-time fall detection. The compact 25 × 32 × 4 mm device, leveraging machine learning and Field Programmable Gate Arrays (FPGA). It combines a threshold-based method with a neural network model, dynamically activated through a threshold comparator, thus enhancing adaptability while minimizing redundant power consumption. Our research adopts a dual evaluation strategy. Initially, we benchmark the proposed model against existing frameworks using publicly available datasets focused on tri-axial sensor readings. Subsequently, we validate the device using simulated fall data from 10 healthy subjects, achieving performance metrics with an average accuracy, sensitivity, and specificity surpassing 98.3% and notably reducing the false positive rate to 1.3%. Furthermore, the device incorporates a hardware AI accelerator, evidenced by experimental results demonstrating a throughput rate of 16,995 operations per second, coupled with an overall system power consumption of 109.1 mW. Integration of an RF energy harvesting module ensures uninterrupted functionality without sole reliance on batteries. To safeguard user privacy during data transmission and storage, a customized homomorphic encryption scheme is employed.  © 2024 IEEE.</t>
  </si>
  <si>
    <t>R0627</t>
  </si>
  <si>
    <t>A Privacy-Preserving Decision Tree Evaluation Scheme for Multiple Wearable Devices</t>
  </si>
  <si>
    <t>Huang, Y.; Duan, G.</t>
  </si>
  <si>
    <t>Found in: Scopus; IEEE · DOI: 10.1109/CSCWD61410.2024.10580704</t>
  </si>
  <si>
    <t>Privacy-Preserving Decision Tree (PPDT) evaluation is a typical algorithm in Machine Learning as a Service scenario. For services like health analysis, PPDT evaluation by fusing private data from multiple Wearable Devices is necessary. Homomorphic Encryption (HE) implements PPDT evaluation without revealing locally sensitive data. However, existing HE schemes need better scalability and are incompatible with clients such as Wearable Devices, which have limited computing power, bandwidth, memory, and storage. This paper proposed a noninteractive PPDT evaluation scheme for multiple Wearable Devices. We apply transciphering technology and an efficient Fully Homomorphic Encryption (FHE) cryptosystem to optimize overall performance. Simultaneously, a Computing Server and a Trusted Third Party (TTP) are adopted to perform all the homomorphic operations on the server side, leaving clients to encrypt and decrypt local data using stream ciphers. Then, we implement an instance of our scheme based on FiLIP stream cipher, a homomorphic comparison algorithm, and a homomorphic traverse algorithm. The experimental results show that the various overheads on the client side are relatively lower.  © 2024 IEEE.</t>
  </si>
  <si>
    <t>R0628</t>
  </si>
  <si>
    <t>Balancing Centralized and Local Differential Privacy in Pneumonia Diagnosis</t>
  </si>
  <si>
    <t>Zhang, B.; Zhang, X.; Luo, L.; Huang, H.; Zhang, C.</t>
  </si>
  <si>
    <t>Found in: Scopus · DOI: 10.1109/ICC51166.2024.10622692</t>
  </si>
  <si>
    <t>As a collaborative learning method, federated learning trains models on large datasets without sharing raw data. However, sharing gradients generated with the aggregation server could reveal sensitive information related to the raw data in federated learning. Privacy-preserving methods such as differential privacy (DP) are needed for federated learning clinical applications. Existing centralized DP relies on a trusted server, while local DP suffers from the accuracy limitations of adding noise from each data owner. In this paper, we propose a privacy-preserving federated learning method by centralized differential privacy without a trusted server. By encrypting each local gradient with multikey homomorphic encryption, we can prevent the aggregation server from inferring local data privacy during the training process. By adding noise to the aggregated gradient with centralized DP, we prevent medical institutions from inferring private information about other institutions from the aggregated global update. The utilization of multikey homo-morphic encryption eliminates the need for a trusted server. Our experimental evaluation on chest X-ray dataset demonstrates that our proposed approach has a 9% loss in accuracy compared to non-private federated learning. © 2024 IEEE.</t>
  </si>
  <si>
    <t>R0629</t>
  </si>
  <si>
    <t>P2CADL Privacy Preserving in Cloud using Autoencoder based Deep Learning Classifier for Smart City Applications</t>
  </si>
  <si>
    <t>Nageswari Amma, N.G.; Dhanaseelan, F.R.</t>
  </si>
  <si>
    <t>Found in: Scopus; IEEE · DOI: 10.1109/ICoAC44903.2018.8939056</t>
  </si>
  <si>
    <t>Nowadays, smart cities enhance the life style of urban people in various disciplines, viz., smart transports, smart environment, smart parking, smart health care, etc. As the cities become smarter, privacy is the major issue and the private sensitive data needs protection. To address this issue, this paper proposes an autoencoder based deep learning classifier by preserving the privacy in cloud for smart city applications. The private data is protected using homomorphic encryption and deep learning is performed in cloud servers. Experiments are conducted on three datasets, viz., Road Traffic Data, Pollution Data, and Parking Data provided by CityPulse Smart City Dataset. It is seen that the proposed approach is efficient compared to conventional classifiers as the non-disclosure of private data in cloud computing. The proposed approach is scalable and it is suitable for big data based smart city applications. © 2018 IEEE.</t>
  </si>
  <si>
    <t>R0630</t>
  </si>
  <si>
    <t>A Methodology for Training Homomorphic Encryption Friendly Neural Networks</t>
  </si>
  <si>
    <t>Baruch, M.; Drucker, N.; Greenberg, L.; Moshkowich, G.</t>
  </si>
  <si>
    <t>Found in: Scopus · DOI: 10.1007/978-3-031-16815-4_29</t>
  </si>
  <si>
    <t>Privacy-preserving deep neural network (DNN) inference is a necessity in different regulated industries such as healthcare, finance, and retail. Recently, homomorphic encryption (HE) has been used as a method to enable analytics while addressing privacy concerns. HE enables secure predictions over encrypted data. However, there are several challenges related to the use of HE, including DNN size limitations and the lack of support for some operation types. Most notably, the commonly used ReLU activation is not supported under some HE schemes. We propose a structured methodology to replace ReLU with a quadratic polynomial activation. To address the accuracy degradation issue, we use a pre-trained model that trains another HE-friendly model, using techniques such as ‘trainable activation’ functions and knowledge distillation. We demonstrate our methodology on the AlexNet architecture, using the chest X-Ray and CT datasets for COVID-19 detection. Experiments using our approach reduced the gap between the F1 score and accuracy of the models trained with ReLU and the HE-friendly model to within a mere 0.32–5.3% degradation. We also demonstrate our methodology using the SqueezeNet architecture, for which we observed 7% accuracy and F1 improvements over training similar networks with other HE-friendly training methods. © 2022, The Author(s), under exclusive license to Springer Nature Switzerland AG.</t>
  </si>
  <si>
    <t>R0631</t>
  </si>
  <si>
    <t>FMLEE: Federated Meta-Learning with Enhanced Encryption for Secure Collaborative Training</t>
  </si>
  <si>
    <t>Chaitanya, C.; Dhabu, M.M.; Tiwari, A.</t>
  </si>
  <si>
    <t>Found in: Scopus; IEEE · DOI: 10.1109/ICCCNT61001.2024.10724680</t>
  </si>
  <si>
    <t>Federated Learning (FL) trains models on distributed devices by aggregating model updates or parameters from multiple clients, enhancing data privacy by keeping data local. However, FL still poses risks of inversion attacks and potential malicious behavior by aggregators. Homomorphic encryption (HE) and other privacy-preserving techniques, while necessary, can be vulnerable to attacks such as adversarial attacks, membership inference attacks, and model inversion attacks by clients with access to the HE private key. This paper introduces Federated Meta-Learning with Enhanced Encryption (FMLEE), a novel framework that integrates HE, symmetric session key encryption to secure multi-party computation. FMLEE allows for collaborative training and refining of a meta-learning model without disclosing sensitive data and model weights, even without completely trusting the aggregator. HE safeguards model weights, enabling the aggregator to perform aggregation without accessing the actual data. Symmetric key encryption secures communication between the aggregator and clients, protecting model weights from being exposed to other clients as well. This dual-layer encryption approach ensures data security during both computation and communication, effectively addressing passive and active security threats. By incorporating meta-learning, FMLEE facilitates the development of robust models with less data. The use of symmetric session keys ensures the secure transmission of model weights without requiring trust in the communication channel. Extensive experiments demonstrate that FMLEE preserves data and model parameter privacy with minimal efficiency loss. This sets a new benchmark for secure federated learning by balancing privacy, security, and performance, making FMLEE highly applicable in sensitive domains such as healthcare, finance, and national security.  © 2024 IEEE.</t>
  </si>
  <si>
    <t>R0632</t>
  </si>
  <si>
    <t>Revolutionizing Healthcare: A Comprehensive Framework for Personalized IoT and Cloud Computing-Driven Healthcare Services with Smart Biometric Identity Management</t>
  </si>
  <si>
    <t>Phani Praveen, S.; Kodete, C.S.; Velidi, S.; Bhyrapuneni, S.; Satukumati, S.B.; Shariff, V.</t>
  </si>
  <si>
    <t>Found in: Scopus · DOI: 10.54216/JISIoT.130103</t>
  </si>
  <si>
    <t>Medical care conveyance has been transformed by the Internet of Things (IoT's) combination into wellbeing systems, which provides doctors and patients with continuous on-request services. However, this coordination poses questions with respect to the precision of the information and possible security risks. This research expects to present a sharp character the executives structure planned for IoT and distributed computing based personalized medical care frameworks. The purpose is to upgrade confirmation processes while restricting security threats through the double-dealing of multimodal encoded biometric features. The suggested approach incorporates biometric-based continuous authentication together with combined and concentrated personality access strategies. To safeguard patient information in the cloud, it combines electrocardiogram (ECG) and photoplethysmogram (PPG) signals for authentication, which is further bolstered by homomorphic encryption (HE). An AI (ML) model was used to assess the system's reasonability including a dataset of 20 clients in various seating configurations. The merged based biometric structure defeated standalone ECG or PPG signal-based procedures in perceiving and authenticating every client with 100% exactness. The proposed framework makes significant improvements to the privacy and security of personalized healthcare frameworks. It fulfills the essential security necessities and is by the by viable enough to run on low-end processors. It guarantees trustworthy authentication and protects against conventional security threats by utilizing multimodal biometric features and cutting-edge encryption techniques. © 2024, American Scientific Publishing Group (ASPG). All rights reserved.</t>
  </si>
  <si>
    <t>R0633</t>
  </si>
  <si>
    <t>Relationship between blood glucose variability and muscle composition in ICU patients receiving nutrition support: A pilot study</t>
  </si>
  <si>
    <t>Nienow, M.K.; Foley, S.P.; Nowak, K.L.; Braunschweig, C.A.; Peterson, S.J.</t>
  </si>
  <si>
    <t>Found in: Scopus; PubMed · DOI: 10.1016/j.clnesp.2021.09.732 · PMID: 34857220</t>
  </si>
  <si>
    <t>Background and aims: Many critically ill patients experience increased blood glucose variability (BGV). The objective of the current pilot study was to assess the relationship between muscle composition (defined as average Hounsfield units (HU)) among ICU patients with an abdominal CT scan within seven days of intubation, and BGV (defined as coefficient of variation (CV)) calculated from blood glucose levels measured each morning while intubated. Methods: The first serum blood glucose measurement obtained each day during intubation was recorded, blood glucose CV ((mean/SD)∗100) was calculated. Cross-sectional muscle area (CSA; cm2) at the third lumbar region was identified using the −29 to +150 HU range; muscle composition was calculated as the average HU. BGV predictors were determined using linear regression. Results: Eighty-two patients were included (53% female), with a median age of 64 (25th, 75 percentile (IQR): 51, 70) years. The median CV was 29% (IQR: 20, 37); 40% of subjects required insulin. The median CSA was 100.4 cm2 (IQR: 84.0, 120.8) and muscle composition was 20.4 HU (IQR: 12.2, 29.4). Patients received only 36% of estimated calorie requirements. Insulin administration, history of diabetes, and muscle composition were significant BGV predictors. Conclusion: Among these adult intubated ICU patients, higher muscle composition was associated with lower BGV. Future research is needed to corroborate these findings, determine other factors associated with poor muscle quality, and identify methods to describe muscle composition for all ICU patients. © 2021 European Society for Clinical Nutrition and Metabolism</t>
  </si>
  <si>
    <t>R0634</t>
  </si>
  <si>
    <t>Practical Anonymous Two-Party Gradient Boosting Decision Tree</t>
  </si>
  <si>
    <t>Huang, C.; Zhang, F.; Du, M.; Chow, S.S.M.; Chen, H.; Rao, H.; Huang, D.; Qian, B.; Chen, P.</t>
  </si>
  <si>
    <t>Found in: Scopus; IEEE · DOI: 10.1109/SP63933.2026.00084</t>
  </si>
  <si>
    <t>Structured data is well handled by gradient-boosted decision trees (GBDT), which are usually trained on vertically partitioned features across mutually distrustful parties. High speed and interpretability make GBDTs popular in finance and healthcare, where neural networks may fall short. Enabling secure computation for GBDTs poses unique challenges, requiring secure record alignment for comparison. Relying on private set intersection (PSI) is a de facto approach. Mistaking PSI for a safety measure actually exposes which record identifiers (IDs) are shared between the datasets. Although circuit-PSI could help, it is costly for generic uses. New ideas are needed to efficiently train in a 'dark forest.' Aiming to hide the IDs, we initiate the study of anonymous GBDT training on split data held by two parties. Dual circuit-PSI in our design lets the parties alternate as receiver to run pick-then-sum over local features. Via oblivious programmable pseudorandom functions, we propagate circuit-PSI outputs as shared state across runs. Avoiding universal alignment, we resolve the neglected dilemma that ID hiding incurs a cost that scales with domain size. Next, we halve the cost of ciphertext packing used to convert single-instruction multiple-data homomorphic encryption from (ring) learning with errors in prior secure GBDT (Usenix Security '23) and related secure machine-learning computations. Comparative experiments show our protocol remains competitive with leaky approaches in efficiency. Enabling ID-hiding aggregation, our techniques can extend to other vertically partitioned analytics.  © 2026 IEEE.</t>
  </si>
  <si>
    <t>R0635</t>
  </si>
  <si>
    <t>Securing a Local Training Dataset Size in Federated Learning</t>
  </si>
  <si>
    <t>Shin, Y.A.; Noh, G.; Jeong, I.R.; Chun, J.Y.</t>
  </si>
  <si>
    <t>Found in: Scopus; IEEE · DOI: 10.1109/ACCESS.2022.3210702</t>
  </si>
  <si>
    <t>Federated learning (FL) is an emerging paradigm that helps to train a global machine learning (ML) model by utilizing decentralized data among clients without sharing them. Although FL is a more secure way of model training than a general ML, industries where training data are primarily personal information, such as MRI images or Electronic Health Records (EHR), should be more precautious of privacy and security issues when using FL. For example, unbalanced dataset sizes may denote some meaningful information that can lead to security vulnerabilities even if the training data of the clients are not exposed. In this paper, we present a Privacy-Preserving Federated Averaging (PP-FedAvg) protocol specialized for healthcare settings to limit user data privacy leakage in FL. We particularly protect the size of datasets as well as the aggregated local update parameters by securely computing among clients based on homomorphic encryption. This approach ensures that the server does not access the size of datasets and local update parameters while updating the global model. Our protocol has the advantage of protecting the size of datasets when datasets are not uniformly distributed among clients and when some clients drop out each iteration.  © 2013 IEEE.</t>
  </si>
  <si>
    <t>R0636</t>
  </si>
  <si>
    <t>Conjunctival Microvascular Characteristics as New Ocular Surface Inflammatory Indicators in Mild Dry Eye</t>
  </si>
  <si>
    <t>Zhang, Y.; Deng, Y.; Xu, R.; Ling, L.; Yu, K.; Wang, G.; Zhang, T.; Hu, X.; Xiao, P.; Yuan, J.</t>
  </si>
  <si>
    <t>Found in: Scopus; PubMed · DOI: 10.1080/09273948.2026.2641655 · PMID: 41838841</t>
  </si>
  <si>
    <t>Purpose: To explore the ability of conjunctival microvasculature in differentiating ocular surface inflammation (OSI) in mild dry eye (DE), and to guide adjunctive anti-inflammatory treatment in mild DE. Methods: 83 mild DE patients and 26 healthy controls were enrolled in a cross-sectional study. Mild DE patients were classified into those with OSI and those without based on Z-score level of tear cytokines. Differences in microvasculature and clinical manifestations were analyzed, alongside correlations with tear cytokines. A logistic regression model was developed for detecting OSI based on microvascular parameters. A secondary analysis of a RCT involved 35 mild DE patients with OSI to compare microvascular and clinical outcomes between treatment groups (adjunctive 0.05% Cyclosporine A vs. artificial tears alone). Results: Elevated blood flow velocity (BFV: 0.37 ± 0.04 mm/s) and wall shear rate (WSR: 170.98 ± 26.96 s−1) were found in mild DE with OSI than those without (BFV: 0.32 ± 0.03 mm/s, WSR: 145.90 ± 18.46 s−1, p &lt; 0.01), while no significant differences were found in clinical manifestations. BFV and WSR were correlated with IL-6 (rBFV = 0.43, rWSR = 0.39, p &lt; 0.05). The AUC - ROC for the mild DE-related OSI detection model based on BFV and WSR was 0.858. In mild DE with OSI treated with 0.05% Cyclosporine A, BFV, WSR, IL-6, clinical manifestations improved significantly at 12 weeks (p &lt; 0.05). Conclusions: Elevated BFV and WSR can facilitate early detection of mild DE-related OSI before changes in symptoms and signs, allowing timely anti-inflammatory intervention. © 2026 Taylor &amp; Francis Group, LLC.</t>
  </si>
  <si>
    <t>R0637</t>
  </si>
  <si>
    <t>Blockchain-Assisted Homomorphic Encryption Approach for Skin Lesion Diagnosis using Optimal Deep Learning Model</t>
  </si>
  <si>
    <t>Rajeshkumar, K.; Ananth, C.; Mohananthini, N.</t>
  </si>
  <si>
    <t>Found in: Scopus · DOI: 10.48084/etasr.5594</t>
  </si>
  <si>
    <t>Blockchain (BC) and Machine learning (ML) technologies have been investigated for potential applications in medicine with reasonable success to date. On the other hand, as accurate and early diagnosis of skin lesion classification is essential to gradually increase the survival rate of the patient, Deep-Learning (DL) and ML technologies were introduced for supporting dermatologists to overcome these challenges. This study designed a Blockchain Assisted Homomorphic Encryption Approach for Skin Lesion Diagnosis using an Optimal Deep Learning (BHESKD-ODL) model. The presented BHESKD-ODL model achieves security and proper classification of skin lesion images using BC to store the medical images of the patients to restrict access to third-party users or intruders. In addition, the BHESKD-ODL method secures the medical images using the mayfly optimization (MFO) algorithm with the Homomorphic Encryption (HE) technique. For skin lesion diagnosis, the proposed BHESKD-ODL method uses pre-processing and the Adam optimizer with a Fully Convolutional Network (FCN) based segmentation process. Furthermore, a radiomics feature extraction with a Bidirectional Recurrent Neural Network (BiRNN) model was employed for skin lesion classification. Finally, the Red Deer Optimization (RDO) algorithm was used for the optimal hyperparameter selection of the BiRNN approach. The experimental results of the BHESKD-ODL system on a benchmark skin dataset proved its promising performance in terms of different measures. © 2023, Dr D. Pylarinos. All rights reserved.</t>
  </si>
  <si>
    <t>R0638</t>
  </si>
  <si>
    <t>Privacy Preservation in Distributed Healthcare Systems: A Review of Differential Privacy, Homomorphic Encryption, and Hybrid Approaches</t>
  </si>
  <si>
    <t>Babu, K.M.; Nagendranath, M.V.S.S.</t>
  </si>
  <si>
    <t>Found in: Scopus; IEEE · DOI: 10.1109/ICIMIA67127.2025.11200738</t>
  </si>
  <si>
    <t>"Federated Learning"is an adaptable approach to model training that enables collaborative Machine Learning (ML) while preserving raw data local, thereby safeguarding privacy and adhering to strict regulatory standards. However, Federated Learning is still susceptible to privacy attacks that extract sensitive details from model updates, such as gradient leakage and property inference. To overcome these issues, various privacy preserving techniques such as Differential Privacy (DP), Homomorphic Encryption (HE), and Hybrid or Integrated approaches were introduced. In Homomorphic Encryption, every calculations done on encrypted information without revealing the raw data. And Differential Privacy will introduce random noise (ϵ) in order to maintain privacy of individual data. Quantitative analysis proves Differential Privacy can reduce accuracy by 15% for each 0.10 drop in ϵ, while Homomorphic Encryption adds 2.30 to 3.50 times the computational overhead, depending on the encryption method. This survey reviews privacy attacks targeting Federated Learning, assesses the benefits and drawbacks of Differential Privacy and Homomorphic Encryption, and examines hybrid strategies that combine these approaches to strengthen privacy protections. Furthermore, it highlights future research directions, such as healthcare, focusing on scalability, efficiency, and resilience against adversarial attacks, aiming to drive progress toward robust system. © 2025 IEEE.</t>
  </si>
  <si>
    <t>R0639</t>
  </si>
  <si>
    <t>Encrypted Dynamic RVFLN Ensemble Learning for Privacy-Preserving State-of-Health Prediction in Electric Vehicle Batteries Using Fully Homomorphic Encryption CKKS</t>
  </si>
  <si>
    <t>Naresh, V.S.; Sriram, V.S.; Dullam, A.</t>
  </si>
  <si>
    <t>Found in: Scopus · DOI: 10.1002/ett.70388</t>
  </si>
  <si>
    <t>This paper proposes a novel privacy-preserving approach for accurately predicting the State-of-Health (SoH) of electric vehicle (EV) batteries by integrating Dynamic Random Vector Functional Link Network (RVFLN) models with Ensemble Learning under the framework of Fully Homomorphic Encryption (FHE). To ensure data confidentiality throughout the predictive process, the scheme employs the CKKS (Cheon–Kim–Kim–Song) approximate homomorphic encryption, which enables efficient computations on encrypted floating-point data commonly encountered in SoH estimation. The proposed method, called Encrypted Dynamic RVFLN Ensemble Learning (EDRVFLN), leverages the adaptability of dynamic RVFLNs to capture complex nonlinear battery behavior. Ensemble Learning is employed to enhance robustness and accuracy, whereas CKKS encryption guarantees that all learning and inference occur on encrypted data, preserving privacy without compromising model performance. Experimental validation using the publicly available NASA battery dataset demonstrated that EDRVFLN achieved superior prediction accuracy compared with traditional unencrypted models. Importantly, the privacy-preserving capability of this method ensures that the sensitive operational and usage data remain secure throughout the analysis pipeline. This study represents a significant advancement in privacy-preserving predictive analytics for electric mobility. By demonstrating the feasibility and effectiveness of processing encrypted data using CKKS in a complex ensemble learning setup, this study opens new pathways for secure machine learning applications in EV systems and other domains that require strong privacy guarantees alongside analytical precision. © 2026 John Wiley &amp; Sons Ltd.</t>
  </si>
  <si>
    <t>R0640</t>
  </si>
  <si>
    <t>Four-Dimensional Flow Magnetic Resonance Imaging Analysis of Long-Term Blood Flow in High-Flow Extracranial–Intracranial Bypass Surgery With Internal Carotid Artery Ligation</t>
  </si>
  <si>
    <t>Nounaka, Y.; Sekine, T.; Matano, F.; Kubota, A.; Shirokane, K.; Koketsu, K.; Ando, T.; Kumita, S.; Murai, Y.</t>
  </si>
  <si>
    <t>Found in: Scopus; PubMed · DOI: 10.1016/j.wneu.2026.125231 · PMID: 42551751</t>
  </si>
  <si>
    <t>Objective: High-flow bypass with a radial artery graft (RAG) treats complex internal carotid artery (ICA) aneurysms. We used four-dimensional flow magnetic resonance imaging (4D flow MRI) to quantify long-term cerebral hemodynamics, compare maintained and reduced bypass flow, evaluate differences between ruptured and unruptured aneurysms, and identify predictors of flow decline. Methods: We retrospectively studied 21 patients (2010–2024) who underwent ICA ligation with RAG. Serial postoperative 4D flow MRI measured blood flow volume (BFV) in the bypass (BFVbypass), contralateral ICA (BFVcICA), and basilar artery (BFVBA). Total flow (BFVtotal) equaled BFVbypass + BFVcICA + BFVBA. Results: The median follow-up time was 64 months. By last follow-up, 9 patients (43%) demonstrated reduced bypass flow; reduced long-term bypass flow was associated with cerebral infarction within 30 days (P = 0.006). Unruptured aneurysms (n = 15) exhibited transient asymptomatic postoperative hyperperfusion that BFVtotal increased from 13 ± 3 mL/s preoperatively to 15 ± 2 mL/s in the initial postoperative period and decreased to 12 ± 3 mL/s at the last follow-up. Conversely, ruptured cases showed no significant change in BFVtotal between early postoperative and final time points. The bypass contributed approximately 30% of total cerebral inflow at both early and late postoperative stages. The final BFVbypass/BFVtotal ratio inversely correlated with BFVcICA/BFVtotal (r = −0.729, P &lt; 0.001). Conclusions: Long-term 4D flow MRI revealed that high-flow bypass provides durable revascularization with stable graft patency and flow contribution. Postoperative infarction is a potential predictor of decreased bypass flow. Transient hyperperfusion appears specific to unruptured cases. © 2026 The Author(s)</t>
  </si>
  <si>
    <t>R0641</t>
  </si>
  <si>
    <t>Integration of Federated Learning and Blockchain in Health Care: Tutorial on Medical Data, Architectures, Privacy, Security, and Regulatory Compliance</t>
  </si>
  <si>
    <t>Shahsavari, Y.; Baseri, Y.; Hafid, A.; Dambri, O.A.; Makrakis, D.</t>
  </si>
  <si>
    <t>Found in: Scopus; PubMed · DOI: 10.2196/80178 · PMID: 42296530</t>
  </si>
  <si>
    <t>The convergence of artificial intelligence (AI), blockchain technology, and health care represents one of the most transformative yet technically challenging frontiers in computational medicine. As health care systems adopt data-driven paradigms for precision medicine and clinical decision support, the need for secure, privacy-preserving, and collaborative learning frameworks has become critical. This tutorial introduces a comprehensive, clinically oriented, and compliance-aware framework integrating federated learning (FL) and blockchain for secure and privacy-preserving health care analytics. FL enables collaborative training across distributed institutions without raw data sharing, in alignment with privacy regulations such as the Health Insurance Portability and Accountability Act (HIPAA) and the General Data Protection Regulation (GDPR). However, FL remains vulnerable to model poisoning and gradient leakage. To address these risks, we introduce blockchain-based FL (BCFL), which leverages blockchain’s immutable ledger and decentralized consensus to enhance trust, verifiability, and auditability. The tutorial’s main contributions include (1) a taxonomy of diverse medical data types and their FL requirements; (2) three integration architectures (fully coupled, semicoupled, and loosely coupled) analyzed for security, scalability, and regulatory compliance; (3) a security analysis of health care–specific vulnerabilities and mitigation strategies using advanced cryptography, such as zero-knowledge proofs, homomorphic encryption, and differential privacy; and (4) a regulatory compliance framework addressing HIPAA, GDPR, and United States Food and Drug Administration guidelines for AI-enabled medical devices. We demonstrate BCFL’s relevance across major health care applications, including disease prediction, medical imaging, patient monitoring, and drug discovery, and highlight emerging research directions such as quantum-resilient cryptography, scalable interoperability, and automated compliance. This tutorial serves as a foundational resource for advancing secure, compliant, and collaborative AI in health care; fostering privacy-preserving analytics; and improving patient outcomes. © Yahya Shahsavari, Yaser Baseri, Abdelhakim Hafid, Oussama Abderrahmane Dambri, Dimitrios Makrakis.</t>
  </si>
  <si>
    <t>R0642</t>
  </si>
  <si>
    <t>EDL-DRVFLNN: Ensemble Deep Learning with Dynamic Random Vector Functional Link Neural Networks for privacy-preserving electric vehicle battery health prediction</t>
  </si>
  <si>
    <t>Naresh, V.S.; Sriram, V.S.</t>
  </si>
  <si>
    <t>Found in: Scopus · DOI: 10.1016/j.measurement.2025.118194</t>
  </si>
  <si>
    <t>In the realm of electric vehicle (EV) technology, the accurate prediction of battery state-of-health (SoH) is paramount for enhancing vehicle reliability and operational efficiency. However, the sensitive nature of data involved in SoH prediction poses significant privacy challenges. In this paper, we proposed a significant advancement “Homomorphic Encryption (HE) enabled Ensemble Deep Learning with Dynamic Random Vector Functional Link Neural Networks (EDL-DRVFLNN)” for Privacy-Preserving Electric Vehicle (EV) Battery Health Prediction. This study leverages the dynamic adaptability of RVFLN models to capture complex nonlinear system dynamics effectively, whereas ensemble learning augments the prediction robustness and accuracy. The incorporation of Homomorphic Encryption ensures the confidentiality of the sensitive data throughout the prediction process. Security analysis demonstrated that the proposed system ensures privacy protection against threats, including poisoning, evasion, member inference, model inversion, and model extraction attacks, during both the training and inference phases, covering aspects such as training data privacy, model privacy, input privacy, and output. Moreover, we conducted an experimental validation on the NASA Battery dataset obtained from Kaggle, which is supported by the Tenseal package. The results show that the proposed privacy-preserving EDL-DRVFLNN (PP-EDL-DRVFLNN) exhibits the best performance with a minimal RMSE of 0.054 when compared to DNN and PPDNN for SoH prediction on NASA Datasets. © 2025 Elsevier Ltd</t>
  </si>
  <si>
    <t>R0643</t>
  </si>
  <si>
    <t>HealthLock: Blockchain-Based Privacy Preservation Using Homomorphic Encryption in Internet of Things Healthcare Applications</t>
  </si>
  <si>
    <t>Ali, A.; Al-rimy, B.A.S.; Alsubaei, F.S.; Almazroi, A.A.; Almazroi, A.A.</t>
  </si>
  <si>
    <t>Found in: Scopus; PubMed · DOI: 10.3390/s23156762 · PMID: 37571545</t>
  </si>
  <si>
    <t>The swift advancement of the Internet of Things (IoT), coupled with the growing application of healthcare software in this area, has given rise to significant worries about the protection and confidentiality of critical health data. To address these challenges, blockchain technology has emerged as a promising solution, providing decentralized and immutable data storage and transparent transaction records. However, traditional blockchain systems still face limitations in terms of preserving data privacy. This paper proposes a novel approach to enhancing privacy preservation in IoT-based healthcare applications using homomorphic encryption techniques combined with blockchain technology. Homomorphic encryption facilitates the performance of calculations on encrypted data without requiring decryption, thus safeguarding the data’s privacy throughout the computational process. The encrypted data can be processed and analyzed by authorized parties without revealing the actual contents, thereby protecting patient privacy. Furthermore, our approach incorporates smart contracts within the blockchain network to enforce access control and to define data-sharing policies. These smart contracts provide fine-grained permission settings, which ensure that only authorized entities can access and utilize the encrypted data. These settings protect the data from being viewed by unauthorized parties. In addition, our system generates an audit record of all data transactions, which improves both accountability and transparency. We have provided a comparative evaluation with the standard models, taking into account factors such as communication expense, transaction volume, and security. The findings of our experiments suggest that our strategy protects the confidentiality of the data while at the same time enabling effective data processing and analysis. In conclusion, the combination of homomorphic encryption and blockchain technology presents a solution that is both resilient and protective of users’ privacy for healthcare applications integrated with IoT. This strategy offers a safe and open setting for the management and exchange of sensitive patient medical data, while simultaneously preserving the confidentiality of the patients involved. © 2023 by the authors.</t>
  </si>
  <si>
    <t>R0644</t>
  </si>
  <si>
    <t>Privacy-Preserving EEG Signal Analysis with Electrode Attention for Depression Diagnosis: Joint FHE and CNN Approach</t>
  </si>
  <si>
    <t>Dong, H.; Wu, J.; Bashir, A.K.; Pan, Q.; Omar, M.; Al-Dulaimi, A.</t>
  </si>
  <si>
    <t>Found in: Scopus; IEEE · DOI: 10.1109/GLOBECOM54140.2023.10436783</t>
  </si>
  <si>
    <t>Artificial intelligence has been utilized to analyze patients' electroencephalograms (EEG) to diagnose depression. However, attackers can deduce patients' privacy after analyzing patients' EEG time series. Therefore, researchers propose to operate ciphertext calculation in depression diagnosis models based on homomorphic encryption. Nevertheless, homomorphic encryption requires consistent private keys during training, which could result in other participants decrypting the ci-phertexts. Additionally, existing EEG-based models neglect the relationship among electrode positions during EEG acquisition. To address these issues, we propose a novel training strategy for the depression diagnosis model based on fully homomorphic en-cryption (FHE) and electrode topology. Specifically, we establish a training strategy that prioritizes the privacy of patients' EEG data without compromising the cost-effectiveness of the diagnosis model. Furthermore, we incorporate the attention mechanism of electrode topology into our model to improve its performance and verify the relationship among topology locations. Our proposed model outperforms the original convolution neural network model, achieving higher accuracy in depression diagnosis and identifying virtual electrode channels for the first time. © 2023 IEEE.</t>
  </si>
  <si>
    <t>R0645</t>
  </si>
  <si>
    <t>Chronological Drawer puzzle algorithm based multi-key generation and Lenet Kronecker network enabled privacy protected data classification</t>
  </si>
  <si>
    <t>Kumbhar, H.R.; Rao, S.S.</t>
  </si>
  <si>
    <t>Found in: Scopus · DOI: 10.1007/s10586-024-04926-1</t>
  </si>
  <si>
    <t>The health care (HC) data encompasses a wide range of information, from patient records to wearable device data, all contributing to better healthcare outcomes and innovations. HC data classification is a crucial process for managing and protecting sensitive information. However, striking a balance between privacy preservation and maintaining useful information is challenging in the previous researches. Here, LeNet Kronecker network (Le-KNet) is designed for privacy protected data classification. Firstly, input HC data is acquired and then, noise fully homomorphic encryption (FHE) is conducted by optimum multi-key generation. The optimal multi-key is generated using Chronological Drawer Puzzle Algorithm (CDPA), which is introduced by combining chronological drawer algorithm (CDA) with Puzzle Optimization algorithm (POA). Furthermore, CDA is integration of chronological concept with Drawer Algorithm (DA). After that, data is decrypted by multi-key to conduct classification of privacy protected data. The classification procedure is executed by Le-KNet that is designed by integrating LeNet with Deep Kronecker network (DKN). The proposed model is compared with the conventional techniques using heart disease datasets including Hungary, Cleveland, VA Long Beach, and Switzerland. With 90% of training data, the proposed Le-KNet model produced the maximum accuracy, true negative rate (TNR), and true positive rate (TPR) of 92.8, 93.1, and 91.5%, respectively, using the VA Long Beach dataset. © The Author(s), under exclusive licence to Springer Science+Business Media, LLC, part of Springer Nature 2024.</t>
  </si>
  <si>
    <t>R0646</t>
  </si>
  <si>
    <t>Secure collapsing method based on fully homomorphic encryption</t>
  </si>
  <si>
    <t>Niyitegeka, D.; Bellafqira, R.; Genin, E.; Coatrieux, G.</t>
  </si>
  <si>
    <t>Found in: Scopus; PubMed · DOI: 10.3233/SHTI200193 · PMID: 32570417</t>
  </si>
  <si>
    <t>In this paper, we propose a new approach for performing privacy-preserving genome-wide association study (GWAS) in cloud environments. This method allows a Genomic Research Unit (GRU) who possesses genetic variants of diseased individuals (cases) to compare his/her data against genetic variants of healthy individuals (controls) from a Genomic Research Center (GRC). The originality of this work stands on a secure version of the collapsing method based on the logistic regression model considering that all data of GRU are stored into the cloud. To do so, we take advantage of fully homomorphic encryption and of secure multiparty computation. Experiment results carried out on real genetic data using the BGV cryptosystem indicate that the proposed scheme provides the same results as the ones achieved on clear data. © 2020 European Federation for Medical Informatics (EFMI) and IOS Press.</t>
  </si>
  <si>
    <t>R0647</t>
  </si>
  <si>
    <t>MQFL-FHE: Multimodal Quantum Federated Learning Framework with Fully Homomorphic Encryption</t>
  </si>
  <si>
    <t>Dutta, S.; Innan, N.; Yahia, S.B.; Shafique, M.; Bernal Neira, D.E.</t>
  </si>
  <si>
    <t>Found in: Scopus; IEEE · DOI: 10.1109/IJCNN64981.2025.11228914</t>
  </si>
  <si>
    <t>The integration of fully homomorphic encryption (FHE) in federated learning (FL) has led to significant advances in data privacy. However, during the aggregation phase, it often results in performance degradation of the aggregated model, hindering the development of robust representational generalization. In this work, we propose a novel multimodal quantum federated learning framework that utilizes quantum computing to counteract the performance drop resulting from FHE. For the first time in FL, our framework combines a multimodal quantum mixture of experts (MQMoE) model with FHE, incorporating multimodal datasets for enriched representation and task-specific learning. Our MQMoE framework enhances performance on multimodal datasets and combined genomics and brain MRI scans, especially for underrepresented categories. Our results also demonstrate that the quantum-enhanced approach mitigates the performance degradation associated with FHE and improves classification accuracy across diverse datasets, validating the potential of quantum interventions in enhancing privacy in FL.  © 2025 IEEE.</t>
  </si>
  <si>
    <t>R0648</t>
  </si>
  <si>
    <t>Secure Homomorphic Encryption Approach for Privacy-Preserving Data Processing in Cloud Environments</t>
  </si>
  <si>
    <t>Annapurna, V.; Kumar, Y.K.; Shanthi, V.; Kumar, S.S.; Gudipalli, T.L.; Godavarthi, B.</t>
  </si>
  <si>
    <t>Found in: Scopus; IEEE · DOI: 10.23919/INDIACom70271.2026.11526058</t>
  </si>
  <si>
    <t>Cloud computing is increasingly becoming an outsourced platform of storing data and computing, but the issue of privacy arises with large concern when sensitive data is stored on clouds. Homomorphic Encryption (HE) has become one of the potential cryptographic methods that promote the opportunity to make computations on encrypted records that allow keeping sensitive data secret during the processing phase. This feature enables cloud computing vendors to perform operations on client data without having to store it in its plaintexts, thus maintaining privacy of data. This article provides an in-depth analysis of the homomorphic encryption methods on privacy preserving cloud computing. It discusses the core concepts of HE and evaluates various schemes, which are partially homomorphic encryption (PHE), somewhat homomorphic encryption (SHE) and fully homomorphic encryption (FHE). The work also explores the mathematical basis, security assurances as well as the trade-offs of performance of these encryption schemes. Along with that, recent development efforts to minimize the computation time and enhance the scale are also described. This entire work is novel as it offers combined analysis of HE schemes with regard to practical applications of cloud-based solutions, such as encrypted query of databases, secure machine learning, and privacy-sensitive medical data analytics. The tradeoff point on the security, computation cost, and scalability of real-world deployments is indicated in the analysis. Despite the fact that homomorphic encryption has proven to possess a remarkable potential of facilitating secure cloud services, there are still challenges associated with its efficiency and the ability to employed it in large scale applications. Further sophistications of cryptography algorithms and computation equipment is bound to increase the feasibility of HE-based privacy-preserving cloud systems even more. © 2026 Bharati Vidyapeeth's Institute of Computer Applications and Management (BVICAM).</t>
  </si>
  <si>
    <t>R0649</t>
  </si>
  <si>
    <t>Edge-Based Secure Authentication and Anomaly Detection Framework for Wearable IoT in Healthcare Systems</t>
  </si>
  <si>
    <t>Vege, H.K.; Anguraj, D.K.; Padmanaban, K.</t>
  </si>
  <si>
    <t>Found in: Scopus; IEEE · DOI: 10.1109/CMSS66566.2025.11182324</t>
  </si>
  <si>
    <t>Wearable technology is essential for rapidly acquiring data and monitoring patients in the swiftly advancing field of smart healthcare. The growing number of cyberattacks and privacy violations, coupled with limited resources, compels enterprises to develop robust security frameworks. This article examines a lightweight, edge-enabled security architecture for wearables used in medical settings. This framework utilizes safe data aggregation and homomorphic encryption to enhance system performance and improve data security. A thin convolutional neural network (CNN) detects risks in real time at the periphery, including malfunctioning sensors or anomalous physiological data. A context-aware multi-factor authentication (MFA) system restricts access to critical data to those in proximity. This system uses biometric identification, dynamic contextual information (e.g., geolocation and usage patterns), and one-time passwords (OTPs). These results indicate that the solution protects user confidence, ensures data privacy, and secures wearable healthcare IoT environments. © 2025 IEEE.</t>
  </si>
  <si>
    <t>R0650</t>
  </si>
  <si>
    <t>Federated Learning with Homomorphic Encryption for Secure Healthcare Applications</t>
  </si>
  <si>
    <t>Gure, A.T.; Bochicchio, M.A.</t>
  </si>
  <si>
    <t>Found in: Scopus; IEEE · DOI: 10.1109/BigData66926.2025.11402419</t>
  </si>
  <si>
    <t>Federated learning (FL) with homomorphic encryption (HE) enables privacy-preserving machine learning (ML) across hospitals without centralizing sensitive health data. This work presents a secure FL framework for collaborative brain tumor classification using public MRI datasets. Each hospital trains a local model, encrypts gradient updates with a trusted HE schema (eg BFV, CKKS) algorithms, and sends the encrypted global model. No raw patient data leaves local sites, preserving confidentiality in compliance with GDPR and HIPAA. We evaluate the proposed framework using public brain tumor MRI datasets and simulate with multiple (3) clients (institutions). Encryption overheads, convergence behavior, accuracy, and communication cost are measured. Our results demonstrate that classification accuracy remains on par with conventional FL while providing robust data privacy guarantees. Computational overhead is manageable with parameter tuning, and communication remains practical across realistic network conditions. We highlight key trade-offs between privacy, utility, and efficiency. The findings show that HE-enabled FL is a viable approach for multi-center medical AI development without exposing sensitive medical images. The proposed FLHE framework for privacy preservation promised the way for scalable, secure collaboration across healthcare institutions, fostering innovation in diagnosis while preserving patient privacy and model performance. © 2025 IEEE.</t>
  </si>
  <si>
    <t>R0651</t>
  </si>
  <si>
    <t>Homomorphic Encryption-Enabled Privacy-Preservation Technique using Deep Learning for Medical Image Analysis</t>
  </si>
  <si>
    <t>Arumugham, M.; Priya, S.; Mathumitha, S.</t>
  </si>
  <si>
    <t>Found in: Scopus; IEEE · DOI: 10.1109/ICIRCA69024.2026.11570471</t>
  </si>
  <si>
    <t>In recent years, the growing importance of digital image data has raised significant privacy concerns, particularly due to the presence of sensitive user information, such as personal and biometric details. Especially the emerging machine learning and deep learning models increasingly rely on vast image datasets for classification and prediction tasks. As a result, protecting image data has become crucial. However, conventional privacy-preserving methods help in securing digital images but they often degrade image utility, making them less effective in deep learning applications. This paper proposes a novel privacy-preserving technique for healthcare images that hides sensitive visual information while preserving their usefulness for deep learning models. The proposed method first extracts key image features, including gradients, edges, contrast and structural information. Based on these features, each pixel is then assigned a feature score. Using additive homomorphic encryption, only the pixels with the highest feature scores, those containing the most critical information are selectively encrypted. The encryption masks sensitive areas without disrupting key visual cues, allowing Convolutional Neural Networks (CNNs) to maintain high classification accuracy. It is evident from the experimental results that the CNN classifier achieves nearly comparable accuracy on both encrypted and original images. This indicates that the proposed scheme effectively preserves the privacy of image data without compromising the accuracy of CNN-based predictions. © 2026 IEEE.</t>
  </si>
  <si>
    <t>R0652</t>
  </si>
  <si>
    <t>Blockchain-Based Trusted Federated Learning with Pre-Trained Models for COVID-19 Detection</t>
  </si>
  <si>
    <t>Bian, G.; Qu, W.; Shao, B.</t>
  </si>
  <si>
    <t>Found in: Scopus · DOI: 10.3390/electronics12092068</t>
  </si>
  <si>
    <t>COVID-19 is a serious epidemic that not only endangers human health, but also wreaks havoc on the development of society. Recently, there has been research on using artificial intelligence (AI) techniques for COVID-19 detection. As AI has entered the era of big models, deep learning methods based on pre-trained models (PTMs) have become a focus of industrial applications. Federated learning (FL) enables the union of geographically isolated data, which can address the demands of big data for PTMs. However, the incompleteness of the healthcare system and the untrusted distribution of medical data make FL participants unreliable, and medical data also has strong privacy protection requirements. Our research aims to improve training efficiency and global model accuracy using PTMs for training in FL, reducing computation and communication. Meanwhile, we provide a secure aggregation rule using differential privacy and fully homomorphic encryption to achieve a privacy-preserving Byzantine robust federal learning scheme. In addition, we use blockchain to record the training process and we integrate a Byzantine fault tolerance consensus to further improve robustness. Finally, we conduct experiments on a publicly available dataset, and the experimental results show that our scheme is effective with privacy-preserving and robustness. The final trained models achieve better performance on the positive prediction and severe prediction tasks, with an accuracy of 85.00% and 85.06%, respectively. Thus, this indicates that our study is able to provide reliable results for COVID-19 detection. © 2023 by the authors.</t>
  </si>
  <si>
    <t>R0653</t>
  </si>
  <si>
    <t>V-FLEX: Verifiable cross-silo federated learning using trusted execution environment</t>
  </si>
  <si>
    <t>Bouamama, J.; Benkaouz, Y.; Ouzzif, M.</t>
  </si>
  <si>
    <t>Found in: Scopus · DOI: 10.1007/s13748-025-00386-9</t>
  </si>
  <si>
    <t>Federated Learning (FL) is gaining traction as a method for training machine learning models in distributed environments while preserving data privacy. However, applying FL in cross-silo organizations, such as healthcare or finance, introduces challenges related to privacy and verifiability due to the sensitive nature of data and strict regulatory requirements. This paper presents V-FLEX, a novel framework for verifiable cross-silo federated learning that decentralizes trust by reducing reliance on a single entity. V-FLEX ensures the secure aggregation of encrypted updates and verifies the integrity of both local and global model updates. By leveraging Trusted Execution Environments (TEEs) for proof mechanisms and threshold cryptography, V-FLEX provides strong defenses against inference attacks, collusion, and data tampering. We conduct a comprehensive security analysis under a semi-honest threat model to validate its security guarantees. Our primary objective is to achieve verifiable aggregation of federated model updates while maintaining competitive accuracy and manageable computational overhead. Experimental results show that V-FLEX maintains model accuracy comparable to traditional FL methods, achieving a final accuracy within 0.5% of FedAvg for both IID and non-IID datasets. Despite integrating cryptographic mechanisms such as homomorphic encryption and secure verification, V-FLEX incurs only moderate computational and communication overhead, demonstrating its practical feasibility. © Springer-Verlag GmbH Germany, part of Springer Nature 2025.</t>
  </si>
  <si>
    <t>R0654</t>
  </si>
  <si>
    <t>Privacy-Preserving COVID-19 Screening Using Homomorphic Encryption and Logistic Regression</t>
  </si>
  <si>
    <t>Norchayev, M.; Oqboyev, T.; Islamov, N.; Sattorov, A.; Yaxshiyeva, M.; Eisa, Z.; Alwash, M.A.</t>
  </si>
  <si>
    <t>Found in: Scopus; IEEE · DOI: 10.1109/ICCR67387.2025.11292337</t>
  </si>
  <si>
    <t>As COVID-19 expands globally, dependable health screening systems protecting people's privacy are more important than ever. Traditional screening techniques demand the provision of sensitive health data, which raises reasonable privacy concerns. This paper utilizes Homomorphic Encryption (HE) and Logistic Regression to propose a novel architecture for reliable COVID-19 screening, thereby safeguarding patient data. Using a partially homomorphic encryption method, the proposed methodology encrypts patient characteristics, including symptoms, travel history, and exposure risk, allowing for direct logistic regression on encrypted data. The model is trained and evaluated using synthetic datasets imitating real-world screening scenarios. Experimental results show that, with almost little extra processing effort, the encrypted logistic regression model beats its plaintext counterpart (up to 93.5% accuracy). Other significant system features include meeting strict data security requirements and guaranteeing end-to-end data confidentiality. These results suggest that screening tools provided by HE might help to create a balance between data value and privacy, which is a significant consideration in developing pandemic response strategies.  © 2025 IEEE.</t>
  </si>
  <si>
    <t>R0655</t>
  </si>
  <si>
    <t>Performance Evaluation and Optimization of Homomorphic Encryption for Secure Cloud Computing Applications</t>
  </si>
  <si>
    <t>Ravindran, K.; Prabhu, S.N.</t>
  </si>
  <si>
    <t>Found in: Scopus; IEEE · DOI: 10.1109/ICAFT66710.2025.11452781</t>
  </si>
  <si>
    <t>The rise of cloud computing has revolutionized data storage and computation paradigms, enabling organizations to leverage scalable infrastructure. However, data confidentiality remains a critical concern when outsourcing computation to third-party cloud providers. Homomorphic Encryption (HE) allows computation to be performed on encrypted data without decryption, providing a mathematically sound approach to privacy preservation. This paper presents an extended performance evaluation and optimization analysis of HE techniques compared to conventional encryption schemes such as AES and RSA in representative cloud environments. We simulate three real-world use cases - Electronic Health Records (EHR), Financial Data Processing, and Machine Learning Model Evaluation - to assess the computational overhead, latency, and memory requirements. Further, we propose a hybrid cryptographic architecture that combines partial HE operations with symmetric encryption to balance security, efficiency, and scalability. The study ends with recommendations for improvement. These include batching ciphertext, using parallel computation, and applying compression strategies. © 2025 IEEE.</t>
  </si>
  <si>
    <t>R0656</t>
  </si>
  <si>
    <t>Homomorphic Encryption on GPU</t>
  </si>
  <si>
    <t>Ozcan, A.S.; Ayduman, C.; Turkoglu, E.R.; Savas, E.</t>
  </si>
  <si>
    <t>Found in: Scopus; IEEE · DOI: 10.1109/ACCESS.2023.3265583</t>
  </si>
  <si>
    <t>Homomorphic encryption (HE) is a cryptosystem that allows the secure processing of encrypted data. One of the most popular HE schemes is the Brakerski-Fan-Vercauteren (BFV), which supports somewhat (SWHE) and fully homomorphic encryption (FHE). Since overly involved arithmetic operations of HE schemes are amenable to concurrent computation, GPU devices can be instrumental in facilitating the practical use of HE in real world applications thanks to their superior parallel processing capacity. This paper presents an optimized and highly parallelized GPU library to accelerate the BFV scheme. This library includes state-of-the-art implementations of Number Theoretic Transform (NTT) and inverse NTT that minimize the GPU kernel function calls. It makes efficient use of the GPU memory hierarchy and computes 128 NTT operations for ring dimension of 214 only in 176.1 ∼μ s on RTX 3060Ti GPU. To the best of our knowledge, this is the fastest implementation in the literature. The library also improves the performance of the homomorphic operations of the BFV scheme. Although the library can be independently used, it is also fully integrated with the Microsoft SEAL library, which is a well-known HE library that also implements the BFV scheme. For one ciphertext multiplication, for the ring dimension 214 and the modulus bit size of 438, our GPU implementation offers 63.4 times speedup over the SEAL library running on a high-end CPU. The library compares favorably with other state-of-the-art GPU implementations of NTT and BFV operations. Finally, we implement a privacy-preserving application that classifies encrypted genome data for tumor types and achieves speedups of 42.98 and 5.7 over CPU implementations using single and 16 threads, respectively. Our results indicate that GPU implementations can facilitate the deployment of homomorphic cryptographic libraries in real-world privacy-preserving applications.  © 2013 IEEE.</t>
  </si>
  <si>
    <t>R0657</t>
  </si>
  <si>
    <t>Comparative Analysis of Federated Association Rules in a Simulated Environment for Medical Applications</t>
  </si>
  <si>
    <t>Panos-Basterra, J.; Rivas, J.M.; Morcillo-Jimenez, R.; Fernandez-Basso, C.; Ruiz, M.D.; Martin-Bautista, M.J.</t>
  </si>
  <si>
    <t>Found in: Scopus · DOI: 10.1109/JBHI.2025.3564546</t>
  </si>
  <si>
    <t>This article examines some of the most relevant algorithms for association rule mining in a medical context, within the framework of unsupervised Federated Learning (FL) in a simulated environment. Unlike traditional algorithms that rely on centralized databases, FL operates on decentralized devices, prioritizing data privacy and algorithm efficiency. This emerging paradigm in machine learning and data mining aims to preserve privacy in edge networks. In this study, the privacy of subject data is ensured as the algorithms operate and collaborate between nodes, sharing only the results of their computations while keeping raw data encapsulated and encrypted. The work evaluates key aspects such as execution time and encryption/decryption efficiency in edge networks. This analysis is motivated by the increasing demand for data analysis in the healthcare sector, where maintaining data privacy is critical due to the proliferation of data privacy regulations. © 2013 IEEE.</t>
  </si>
  <si>
    <t>R0658</t>
  </si>
  <si>
    <t>Privacy-preserving semi-parallel logistic regression training with fully homomorphic encryption</t>
  </si>
  <si>
    <t>Carpov, S.; Gama, N.; Georgieva, M.; Troncoso-Pastoriza, J.R.</t>
  </si>
  <si>
    <t>Found in: Scopus; PubMed · DOI: 10.1186/s12920-020-0723-0 · PMID: 32693814</t>
  </si>
  <si>
    <t>Background: Privacy-preserving computations on genomic data, and more generally on medical data, is a critical path technology for innovative, life-saving research to positively and equally impact the global population. It enables medical research algorithms to be securely deployed in the cloud because operations on encrypted genomic databases are conducted without revealing any individual genomes. Methods for secure computation have shown significant performance improvements over the last several years. However, it is still challenging to apply them on large biomedical datasets. Methods: The HE Track of iDash 2018 competition focused on solving an important problem in practical machine learning scenarios, where a data analyst that has trained a regression model (both linear and logistic) with a certain set of features, attempts to find all features in an encrypted database that will improve the quality of the model. Our solution is based on the hybrid framework Chimera that allows for switching between different families of fully homomorphic schemes, namely TFHE and HEAAN. Results: Our solution is one of the finalist of Track 2 of iDash 2018 competition. Among the submitted solutions, ours is the only bootstrapped approach that can be applied for different sets of parameters without re-encrypting the genomic database, making it practical for real-world applications. Conclusions: This is the first step towards the more general feature selection problem across large encrypted databases.  © 2020 The Author(s).</t>
  </si>
  <si>
    <t>R0659</t>
  </si>
  <si>
    <t>Efficient Secure Building Blocks with Application to Privacy Preserving Machine Learning Algorithms</t>
  </si>
  <si>
    <t>Kjamilji, A.; Savas, E.; Levi, A.</t>
  </si>
  <si>
    <t>Found in: Scopus · DOI: 10.1109/ACCESS.2021.3049216</t>
  </si>
  <si>
    <t>Nowadays different entities (such as hospitals, cyber security companies, banks, etc.) collect data of the same nature but often with different statistical properties. It has been shown that if these entities combine their privately collected datasets to train a machine learning model, they would end up with a trained model that often outperforms the human experts of the corresponding field(s) in terms of classification accuracy. However, due to judicial, privacy and cost reasons, no entity is willing to share their data with others. We have the same problem during the classification (inference) stage. Namely, the user doesn't want to reveal any information about his query or its' final classification, while the owner of the trained model wants to keep this model private. In this article we overcome these drawbacks by firstly introducing novel efficient secure building blocks for general purpose, which can also be used to build privacy preserving machine learning algorithms for both training and classification (inference) purposes under strict privacy and security requirements. Our theoretical analysis and experimentation results show that our building blocks (hence also our privacy preserving algorithms which are built on top of them) are more efficient than most (if not all) of the state-of-the-art schemes in terms of computation and communication cost, as well as security characteristics in the semi-honest model. Furthermore, and to the best of our knowledge, for the Naïve Bayes model we extend this efficiency for the first time to also deal with active malicious users, which arbitrarily deviate from the protocol. © 2013 IEEE.</t>
  </si>
  <si>
    <t>R0660</t>
  </si>
  <si>
    <t>Privacy-preserving deep learning in medical informatics: applications, challenges, and solutions</t>
  </si>
  <si>
    <t>Naresh, V.S.; Thamarai, M.; Allavarpu, V.V.L.D.</t>
  </si>
  <si>
    <t>Found in: Scopus · DOI: 10.1007/s10462-023-10556-7</t>
  </si>
  <si>
    <t>Deep Learning (DL) has already shown tremendous potential in designing intelligent clinical support systems in biomedicine. Data privacy plays a significant role while training and testing DL models, especially for sensitive data. Privacy-Preserving Deep Learning (PPDL) applications in Healthcare are rapidly growing as medical informatics deals with sensitive data. This work reviews the recent advances in PPDL techniques in Healthcare. It first analyzes the need of PPDL in healthcare informatics using a threat model and then discusses privacy-preserving computation techniques for secure data processing and evaluation. Next, it focuses on DL applications over Healthcare in three categories: (i) PPDL in the private cloud, (ii) PPDL in the public cloud, and (iii) privacy based on modifications in DL architectures. Next, we examine data privacy at different stages of DL deployment in Healthcare, including input, model, training, and output. We also provide a summary of the evaluation outcomes of the solutions reviewed. Additionally, we highlight the unique challenges in PPDL for Healthcare and offer suggestions for future research directions. © 2023, The Author(s), under exclusive licence to Springer Nature B.V.</t>
  </si>
  <si>
    <t>R0661</t>
  </si>
  <si>
    <t>Toward Privacy-Preserving AI Standards for Federated Learning in 6G-Enabled Digital Twin Environments</t>
  </si>
  <si>
    <t>Chen, K.; Liu, Y.</t>
  </si>
  <si>
    <t>Found in: Scopus · DOI: 10.1109/MCOMSTD.2025.3623142</t>
  </si>
  <si>
    <t>Digital twin (DT) ecosystems are emerging as a cornerstone of Industry 4.0, healthcare, and vehicular systems, with 6G networks providing the high-bandwidth, low-latency foundation for realtime operation. Yet, federated learning (FL) across distributed DT nodes raises significant privacy, security, and interoperability concerns, particularly in the absence of unified standards. This article proposes a standards-aligned, privacy-preserving FL framework for 6G-enabled DTs that integrates differential privacy, homomorphic encryption, and secure multi-party computation within a blockchain-coordinated architecture. We present a layered design for DT clients, edge/base-station nodes, and secure aggregators, ensuring compliance with ISO/IEC 27701 and IEEE P7002 governance guidelines. A comprehensive threat model is detailed, covering poisoning, backdoor, Sybil, and inference attacks, along with countermeasures that enhance trust, accountability, and resilience. Experimental results show &lt;4% accuracy loss while achieving ≈ 0.7 privacy and up to 25% improved attack resilience, meeting near real-time latency constraints. Finally, we map findings to IEEE, ISO/IEC, and 3GPP initiatives, offering a roadmap for interoperable, auditable, and secure DT deployments in next-generation communication infrastructures.  © 2017 IEEE.</t>
  </si>
  <si>
    <t>R0662</t>
  </si>
  <si>
    <t>A Novel Pipeline for Privacy-Preserving of MedicalDatausing Federated Learning and Blockchain</t>
  </si>
  <si>
    <t>Sharma, A.; Mukherjee, R.; Subalalitha, C.N.</t>
  </si>
  <si>
    <t>Found in: Scopus · DOI: 10.1063/5.0220674</t>
  </si>
  <si>
    <t>The application of machine learning (ML) in healthcare has the potential to revolutionize the way patients are diagnosed, treated, and monitored. The capability of ML algorithms to process and analyze vast amounts of data has resulted in the development of new diagnostic and treatment tools that can enhance patient outcomes. However, machine learning models are susceptible to various privacy attacks, which can compromise sensitive information. This concern is particularly critical for medical data applications, and as a result, the model itself must be protected against adversarial assaults. Patient privacy is a major concern, and due to privacy issues, high-quality patient data is not accessible online. This paper proposes a pipeline which utilizes multi-key homomorphic encryption and blockchain with federated learning to guarantee the privacy, security, and integrity of the model trained on patient data. The results of the conducted experiments demonstrate the performance and effectiveness of the proposed pipeline. © 2024 American Institute of Physics Inc.. All rights reserved.</t>
  </si>
  <si>
    <t>R0663</t>
  </si>
  <si>
    <t>Intrauterine infusion of killed semen adversely affects uterine blood flow and endometrial gene expression of inflammatory cytokines in mares susceptible to persistent breeding-induced endometritis</t>
  </si>
  <si>
    <t>Lüttgenau, J.; Imboden, I.; Wellnitz, O.; Romer, R.; Scaravaggi, I.; Neves, A.P.; Borel, N.; Bruckmaier, R.M.; Janett, F.; Bollwein, H.</t>
  </si>
  <si>
    <t>Found in: Scopus · DOI: 10.1016/j.theriogenology.2020.12.029</t>
  </si>
  <si>
    <t>Persistent breeding-induced endometritis (PBIE) is a leading cause of infertility in mares. The objective of the study was to assess genital perfusion and endometrial gene expression of inflammatory cytokines in mares classified as susceptible (n = 5) or resistant (n = 5) to PBIE. Ten mares were examined daily during estrus until 6 d after hCG-induced ovulation for two estrous cycles. Twenty-four hours after application of 1500 IU hCG, 4 mL of killed (by repeated freezing in liquid nitrogen and thawing at 50 °C) deep-frozen semen or sterile saline was instilled into the uterine body and examinations were carried out immediately before and 3, 6, and 12 h after intrauterine infusion. Examinations included blood sampling to determine plasma progesterone (P4) concentrations, and transrectal ultrasonography in B- and color Doppler mode to determine follicular and luteal size and blood flow, the extent of intrauterine fluid, as well as time-averaged maximum velocity (TAMV), blood flow volume (BFV), and blood flow resistance (expressed as pulsatility index, PI) of the uterine arteries. Additionally, endometrial biopsies were obtained at 24 h before, and 2 and 7 d after infusion, and mRNA expressions of IL1B, IL6, IL8, IL10, TNF, CASP3, and COX2 were determined by qRT-PCR. Statistical analyses were performed with mixed models. Intrauterine fluid retention (diameter &gt;20 mm for at least 3 d) was found after infusion of killed semen in five susceptible mares. There was no treatment effect (semen vs saline; P &gt; 0.05) on genital blood flow, plasma P4 concentration, and endometrial gene expression. In comparison to resistant mares, susceptible mares had an increased (P = 0.04) BFV of the uterine arteries at 24 h before intrauterine infusion of killed semen, and an increased (P = 0.03) PI at 2 d after infusion. The TAMV, plasma P4 concentrations, and follicular and luteal size and blood flow did not differ (P &gt; 0.05) between resistant and susceptible mares. Endometrial mRNA expression of IL1B increased (P = 0.05) at 2 d after the infusion of killed semen in the susceptible mares, and the expression of IL10 increased (P = 0.003) at 7 d after the infusion within the resistant mares. Interleukin 6 mRNA was increased (P = 0.05) in susceptible compared to resistant mares at 2 d after infusion. In summary, an intrauterine infusion of killed semen increases uterine blood flow resistance and alters endometrial gene expression of inflammatory cytokines for at least 7 d but does not affect ovarian blood supply and luteal function in mares susceptible to PBIE. © 2021 The Author(s)</t>
  </si>
  <si>
    <t>R0664</t>
  </si>
  <si>
    <t>HE-SecureNet: An Efficient and Usable Framework for Model Training via Homomorphic Encryption</t>
  </si>
  <si>
    <t>Schneider, T.; Wang, H.-C.; Yalame, H.</t>
  </si>
  <si>
    <t>Found in: Scopus · DOI: 10.1145/3733802.3764063</t>
  </si>
  <si>
    <t>Energy-efficient edge devices are essential for the widespread deployment of machine learning (ML) services. However, their limited computational capabilities make local model training infeasible. While cloud-based training offers a scalable alternative, it raises serious privacy concerns when sensitive data is outsourced. Homomorphic Encryption (HE) enables computation directly on encrypted data and has emerged as a promising solution to this privacy challenge. Yet, current HE-based training frameworks face several shortcomings: they often lack support for complex models and non-linear functions, struggle to train over multiple epochs, and require cryptographic expertise from end users. We present HE-SecureNet, a novel framework for privacy-preserving model training on encrypted data in a single-client–server setting, using hybrid HE cryptosystems. Unlike prior HE-based solutions, HE-SecureNet supports advanced models such as Convolutional Neural Networks and handles non-linear operations including ReLU, Softmax, and MaxPooling. It introduces a level-aware training strategy that eliminates costly ciphertext level alignment across epochs. Furthermore, HE-SecureNet automatically converts ONNX models into optimized secure C++ training code, enabling seamless integration into privacy-preserving ML pipelines—without requiring cryptographic knowledge. Experimental results demonstrate the efficiency and practicality of our approach. On the Breast Cancer dataset, HE-SecureNet achieves a 5.2× speedup and 33% higher accuracy compared to ConcreteML (Zama) and TenSEAL (OpenMined). On the MNIST dataset, it reduces CNN training latency by 2× relative to Glyph (Lou et al., NeurIPS’20), and cuts communication overhead by up to 66× on MNIST and 42× on CIFAR-10 compared to MPC-based solutions. © 2025 Copyright held by the owner/author(s).</t>
  </si>
  <si>
    <t>R0665</t>
  </si>
  <si>
    <t>Federated Clique Percolation for Overlapping Community Detection on Attributed Networks</t>
  </si>
  <si>
    <t>Wei, M.; Guo, K.; Liu, X.</t>
  </si>
  <si>
    <t>Found in: Scopus · DOI: 10.1007/978-981-19-4549-6_20</t>
  </si>
  <si>
    <t>Community detection is a popular research topic in complex network analysis, which can be applied in many real-world scenarios such as disease prediction. With the increase of people’s awareness of privacy protection, more and more laws enforce the protection of sensitive information while transferring data. The anonymization-based community detection methods have to sacrifice accuracy for privacy protection. In this paper, we first propose a standalone clique percolation algorithm to detect overlapping communities on attributed networks. A clique similarity metric is designed to percolate cliques accurately. Second, we develop a federated clique percolation algorithm to detect overlapping communities on distributed attributed networks. Perturbation strategy and homomorphic encryption are used to protect network privacy. The experiments on real-world and artificial datasets demonstrate that the federated clique percolation algorithm achieves identical results to the standalone ones and realizes higher accuracy than the simple distributed ones without federating learning. © 2022, Springer Nature Singapore Pte Ltd.</t>
  </si>
  <si>
    <t>R0666</t>
  </si>
  <si>
    <t>FedPrivEngine: A Federated Distributed Data Engineering Framework for Privacy-Preserving Analytics in Healthcare and Finance</t>
  </si>
  <si>
    <t>Lakkireddy, S.</t>
  </si>
  <si>
    <t>Found in: Scopus · DOI: 10.12720/jait.17.5.956-977</t>
  </si>
  <si>
    <t>Privacy-preserving analytics is essential in healthcare and financial domains where sensitive data must comply with regulations such as the General Data Protection Regulation (GDPR), the Health Insurance Portability and Accountability Act (HIPAA), and the Payment Card Industry Data Security Standard (PCI-DSS). Although Federated Learning (FL) enables collaborative model training without sharing raw data, existing frameworks often lack compliance-aware orchestration, efficient encrypted query execution, domain flexibility, and scalability under Homomorphic Encryption (HE). This paper presents FedPrivEngine, a federated and distributed data engineering framework designed for regulation-aware analytics across institutional silos. The framework integrates Homomorphic Encryption (HE), optional Differential Privacy (DP), Spark-based distributed orchestration, and a compliance-aware query planner to enforce policy constraints during federated execution. Two domain-specific models are implemented: HealthPrivNet, a Gated Recurrent Unit (GRU)-based model evaluated on the Open Safely healthcare dataset, and FinanceRiskNet, a Multi-Layer Perceptron (MLP)-based model assessed on the FICO HELOC credit risk dataset. Experimental results show that FedPrivEngine achieves high classification accuracy (93.8% in healthcare and 91.2% in finance), ensures zero policy violations, and supports encrypted query execution with success rates above 98%, while maintaining sublinear scalability and moderate system overhead. These results demonstrate the feasibility of secure, accurate, and regulation-aware federated analytics in policy-sensitive environments. © 2026, Engineering and Technology Publishing. All rights reserved.</t>
  </si>
  <si>
    <t>R0667</t>
  </si>
  <si>
    <t>ReActHE: A homomorphic encryption friendly deep neural network for privacy-preserving biomedical prediction</t>
  </si>
  <si>
    <t>Song, C.; Shi, X.</t>
  </si>
  <si>
    <t>Found in: Scopus · DOI: 10.1016/j.smhl.2024.100469</t>
  </si>
  <si>
    <t>The growing distribution of deep learning models to individuals’ devices on sensitive healthcare data introduces challenging privacy and security problems when computation is being operated on an untrusted server. Homomorphic encryption (HE) is one of the appropriate cryptographic techniques to provide secure machine learning computation by directly computing over encrypted data, so that allows the data owner and model owner to outsource processing of sensitive information to an untrusted server without leaking any information about the data. However, most current HE schemes only support limited arithmetic operations, which significantly hinder their applications to implement a secure deep learning algorithm, especially on the nonlinear activation function of a deep neural network. In this paper, we develop a novel HE-friendly deep neural network, named REsidue ACTivation HE (ReActHE), to implement a precise and privacy-preserving algorithm with a non-approximating HE scheme on the activation function. We consider a residue activation strategy with a scaled power activation function in a deep neural network for HE-friendly nonlinear activation. Moreover, we propose a residue activation network structure to constrain the latent space in the training process to alleviate the optimization difficulty. We comprehensively evaluate the proposed ReActHE method using various biomedical datasets and widely-used image datasets. Our results demonstrate that ReActHE outperforms other alternative solutions to secure machine learning with HE and achieves low approximation errors in classification and regression tasks. © 2024</t>
  </si>
  <si>
    <t>R0668</t>
  </si>
  <si>
    <t>Surgical planning of arteriovenous fistulae in routine clinical practice: A machine learning predictive tool</t>
  </si>
  <si>
    <t>Doneda, M.; Poloni, S.; Bozzetto, M.; Remuzzi, A.; Lanzarone, E.</t>
  </si>
  <si>
    <t>Found in: Scopus; PubMed · DOI: 10.1177/11297298221147968 · PMID: 36765450</t>
  </si>
  <si>
    <t>Background: Arteriovenous fistula (AVF) is the preferred vascular access (VA) for hemodialysis, but it is associated with high non-maturation and failure rates. Predicting patient-specific AVF maturation and postoperative changes in blood flow volumes (BFVs) and vessel diameters is of fundamental importance to support the choice of optimal AVF location and improve VA survival. The goal of this study was to employ machine learning (ML) in order to give physicians a fast and easy-to-use tool that provides accurate patient-specific predictions, useful to make AVF surgical planning decisions. Methods: We applied a set of ML approaches on a dataset of 156 patients. Both parametric and non-parametric ML approaches, taking preoperative data as input, were exploited to predict maturation, postoperative BFVs, and diameters. The best approach associated with lowest cross-validation errors between predictions and real measurements was then chosen to provide estimates and quantify prediction errors. Results: The k-NN was the best approach to predict brachial BFV, AVF maturation, and other VA variables, and it was also associated with the least computational effort. With this approach, the confusion matrices proved the high accuracy of the prediction for AVF maturation (96.8%) and the low absolute error distribution for the continuous BFV and diameter variables. Conclusions: Our data-based approach provided accurate patient-specific predictions for different AVF configurations, requiring short computational time as compared to a physical model we previously developed. By supporting VA surgical planning, this fast computing approach could allow AVF surgical planning and help reducing the rate of non-maturation, which might ultimately have a broad impact on the management of hemodialysis patients. © The Author(s) 2023.</t>
  </si>
  <si>
    <t>R0669</t>
  </si>
  <si>
    <t>GUARDIAN: A Hardware-Assisted Distributed Framework to Enhance Deep Learning Security</t>
  </si>
  <si>
    <t>Cai, Z.; Ren, B.; Ma, R.; Guan, H.; Tian, M.; Wang, Y.</t>
  </si>
  <si>
    <t>Found in: Scopus; IEEE · DOI: 10.1109/TCSS.2023.3262289</t>
  </si>
  <si>
    <t>The ubiquity of artificial intelligence (AI) has led to its extensive research and application in various fields, such as computer vision, natural language processing, and medical image analysis. However, responsible AI faces severe security challenges, including the leakage of pretrained models and valuable training data. The existing solutions adopt new algorithm designs (such as federated learning) or cryptography (such as homomorphic encryption) to prevent possible security vulnerabilities. We observe that hardware-assisted trusted execution environments (TEEs) can further improve machine learning responsibility. Intel Software Guard Extension (SGX) is a popular, trusted execution hardware that enables users' programs to run in an untrusted execution environment, such as a malicious operating system, but ensures the confidentiality and integrity of data. Therefore, we have designed GUARDIAN, a hardware-assisted secure machine learning training framework that protects data security during the training process. We have analyzed the typical characteristics of machine learning applications and characterized GUARDIAN through extensive experiments. Our findings demonstrate that introducing security guarantees causes performance degradation, which provides a feasible optimization direction in the near future.  © 2014 IEEE.</t>
  </si>
  <si>
    <t>R0670</t>
  </si>
  <si>
    <t>Training Medical-Diagnosis Neural Networks on the Cloud with Privacy-Sensitive Patient Data from Multiple Clients</t>
  </si>
  <si>
    <t>Melissourgos, D.; Gao, H.; Ma, C.; Chen, S.; Wu, S.S.</t>
  </si>
  <si>
    <t>Found in: Scopus; PubMed · DOI: 10.1145/3549206.3549291 · PMID: 37143706</t>
  </si>
  <si>
    <t>Artificial neural networks (ANNs) are changing the paradigm in medical diagnosis. However, it remains an open problem how to outsource the model training operations to the cloud while protecting the privacy of distributed patient data. Homomorphic encryption suffers from high overhead over data independently encrypted from numerous sources, differential privacy introduces a high level of noise which drastically increases the number of patient records needed to train a model, while federated learning requires all participants to perform synchronized local training that counters our goal of outsourcing all training operations to the cloud. This paper proposes to use matrix masking for outsourcing all model training operations to the cloud with privacy protection. After outsourcing their masked data to the cloud, the clients do not need to coordinate and perform any local training operations. The accuracy of the models trained by the cloud from the masked data is comparable to the accuracy of the optimal benchmark models that are trained directly from the original raw data. Our results are confirmed by experimental studies on privacy-preserving cloud training of medical-diagnosis neural network models based on real-world Alzheimer's disease data and Parkinson's disease data.  © 2022 ACM.</t>
  </si>
  <si>
    <t>R0671</t>
  </si>
  <si>
    <t>A Privacy-Protection Model for Patients</t>
  </si>
  <si>
    <t>Cheng, W.; Ou, W.; Yin, X.; Yan, W.; Liu, D.; Liu, C.</t>
  </si>
  <si>
    <t>Found in: Scopus · DOI: 10.1155/2020/6647562</t>
  </si>
  <si>
    <t>The collection and analysis of patient cases can effectively help researchers to extract case feature and to achieve the objectives of precision medicine, but it may cause privacy issues for patients. Although encryption is a good way to protect privacy, it is not conducive to the sharing and analysis of medical cases. In order to address this problem, this paper proposes a federated learning verification model, which combines blockchain technology, homomorphic encryption, and federated learning technology to effectively solve privacy issues. Moreover, we present a FL-EM-GMM Algorithm (Federated Learning Expectation Maximization Gaussian Mixture Model Algorithm), which can make model training without data exchange for protecting patient's privacy. Finally, we conducted experiments on the federated task of datasets from two organizations in our model system, where the data has the same sample ID with different subset features, and this system is capable of handling privacy and security issues. The results show that the model was trained by our system with better usability, security, and higher efficiency, which is compared with the model trained by traditional machine learning methods.  © 2020 Wenzhi Cheng et al.</t>
  </si>
  <si>
    <t>R0672</t>
  </si>
  <si>
    <t>BFV-Based Homomorphic Encryption for Privacy-Preserving CNN Models</t>
  </si>
  <si>
    <t>Wibawa, F.; Catak, F.O.; Sarp, S.; Kuzlu, M.</t>
  </si>
  <si>
    <t>Found in: Scopus · DOI: 10.3390/cryptography6030034</t>
  </si>
  <si>
    <t>Medical data is frequently quite sensitive in terms of data privacy and security. Federated learning has been used to increase the privacy and security of medical data, which is a sort of machine learning technique. The training data is disseminated across numerous machines in federated learn-ing, and the learning process is collaborative. There are numerous privacy attacks on deep learning (DL) models that attackers can use to obtain sensitive information. As a result, the DL model should be safeguarded from adversarial attacks, particularly in medical data applications. Homomorphic encryption-based model security from the adversarial collaborator is one of the answers to this challenge. Using homomorphic encryption, this research presents a privacy-preserving federated learning system for medical data. The proposed technique employs a secure multi-party computation protocol to safeguard the deep learning model from adversaries. The proposed approach is tested in terms of model performance using a real-world medical dataset in this paper. © 2022 by the authors. Licensee MDPI, Basel, Switzerland.</t>
  </si>
  <si>
    <t>R0673</t>
  </si>
  <si>
    <t>Privacy-Preserving Federated Learning with Homomorphic Encryption</t>
  </si>
  <si>
    <t>Deshpande, I.; Pandey, S.; Bakshi, P.; Patil, S.</t>
  </si>
  <si>
    <t>Found in: Scopus; IEEE · DOI: 10.1109/ESCI68015.2026.11493363</t>
  </si>
  <si>
    <t>Federated learning enables multiple parties to collaboratively train machine learning models without sharing raw data, but it still risks privacy leakage through exposed model updates and often incurs heavy communication costs. In this work, we present a practical and privacy-preserving federated learning framework that integrates homomorphic encryption'specifically the CKKS scheme with proxy re-encryption'to ensure that model updates remain encrypted throughout the training process. Our system allows clients to locally train models, encrypt their updates, and send them to a central server, which performs secure aggregation without ever accessing plaintext parameters. To validate deployability, we implement support for metadata management, communication tracking, and round-wise timing analysis. Experiments on an LSTM-based sequence model and a real-world financial fraud detection dataset demonstrate that our approach achieves accuracy comparable to standard FL, while offering strong protection against parameter leakage and inference attacks. Furthermore, we provide detailed measurements of communication overhead and runtime, highlighting the tradeoffs between privacy, efficiency, and accuracy. By addressing both security and scalability, this framework advances the feasibility of deploying federated learning in sensitive, multi-party domains such as healthcare and finance. © 2026 IEEE.</t>
  </si>
  <si>
    <t>R0674</t>
  </si>
  <si>
    <t>Assessment of hemodynamic alterations in cerebral veins inpatients with intracerebral hemorrhage using duplex color-coded sonography</t>
  </si>
  <si>
    <t>Jin, Z.-Q.; Feng, H.; He, W.; Zhao, X.-Q.</t>
  </si>
  <si>
    <t>Found in: Scopus; PubMed · DOI: 10.1002/jum.14685 · PMID: 29781111</t>
  </si>
  <si>
    <t>Objectives—To investigate the contributions of hemodynamic alterations in cerebral veins to the prognosis of patients with primary intracerebral hemorrhage (ICH). Methods—Duplex color-coded sonography was performed on 87 ICH patients between July 2016 and October 2017. The time-averaged peak velocity, the timeaveraged mean velocity (TAMV), the blood flow volume (BFV) of bilateral internal jugular veins (IJVs) and vertebral veins (VVs), and the mean velocities of bilateral basal veins of Rosenthal, straight sinus, and bilateral transverse sinuses were calculated to understand the relationship of hemodynamic data with prognosis in patients with ICH. Results—The study revealed that the time-averaged peak velocities, TAMVs and BFVs of both right IJV and VV in ICH patients with good clinical outcomes were higher than those of the left IJV and VV, whereas statistically significant differences were not found in the mean velocity of bilateral veins of Rosenthal. The perihematomal edema volume, time-averaged peak velocities, TAMVs, and BFVs of the bilateral IJVs and right VV and the TAMV of the left VV were associated with the prognosis of ICH patients in the univariate analysis. However, the TAMV of the right IJV and BFV of the left IJV were the independent factors that predicted prognosis in multivariate analysis. Partial correlation showed that there was a linear dependence between the differences in TAMV and BFV between bilateral IJVs. Conclusions—The presence of hemodynamic changes in cerebral veins in patients with ICH has an impact on prognosis. © 2018 by the American Institute of Ultrasound in Medicine.</t>
  </si>
  <si>
    <t>R0675</t>
  </si>
  <si>
    <t>Doppler indices of uterine arteries and mRNA transcripts of hormone receptors in cervix vis-à-vis dilatation therapy in buffaloes affected with incomplete cervical dilatation associated with uterine torsion</t>
  </si>
  <si>
    <t>Chaudhari, R.K.; Sutaria, T.V.; Patel, A.C.; Chaudhari, C.F.</t>
  </si>
  <si>
    <t>Found in: Scopus · DOI: 10.1016/j.anireprosci.2022.107183</t>
  </si>
  <si>
    <t>The present study aimed to investigate the Doppler indices and mRNA transcripts of hormone receptors in relation to the response of dilatation therapy in incomplete cervical dilatation (ICD) associated with uterine torsion in buffaloes. Out of 36 successfully detorted uterine torsion cases, eight buffaloes revealed a fully dilated cervix, while the remaining 28 had ICD, and subjected to dilatation therapy (500 μg cloprostenol + 2 mg estradiol benzoate + 80 mg valethamate bromide + 50 IU oxytocin + 250 mL calcium borogluconate). The responses of dilatation therapy were assessed in 26 buffaloes as one died, and one could not follow up. Doppler indices of middle uterine arteries on trans-rectal ultrasound were evaluated pre- and 30–60 min post-detorsion. Cervical tissue biopsies were collected from 16 buffaloes to study mRNA transcripts of hormone receptors. The duration, degree, location of uterine torsion, fetal viability, consistency of the cervix, relaxation of pelvic ligaments, udder engorgement, and gestation length were also recorded to evaluate the response of dilatation therapy. The 73.08% (19/26) buffaloes responded to the therapy with a duration ranging from 2 to 56 hrs (18.41 ± 4.11). The significantly increased blood flow volume (BFV) and time-average peak velocity (TAP) while the significantly reduced resistive index (RI) and pulsatility index (PI) in an ipsilateral middle uterine artery (MUA) at post-detorsion were observed in dilation therapy responded than the not-responded group. The mRNA transcripts of estradiol receptors-α (ESR1), prostaglandin receptors (PTGFR), and oxytocin receptors (OXTR) were upregulated by 7.47, 6.63, and 8.72-fold in the ICD group, respectively. The Doppler indices along with duration of illness, location of uterine torsion, consistency of the cervix, and udder engorgement can be used to predict the response of dilatation therapy in ICD associated with uterine torsion. The upregulated mRNA expression of ESR1, PTGFR and OXTR is mandatory for success of dilatation therapy. © 2022 Elsevier B.V.</t>
  </si>
  <si>
    <t>R0676</t>
  </si>
  <si>
    <t>Privacy-preserving ridge regression with only linearly-homomorphic encryption</t>
  </si>
  <si>
    <t>Giacomelli, I.; Jha, S.; Joye, M.; Page, C.D.; Yoon, K.</t>
  </si>
  <si>
    <t>Found in: Scopus · DOI: 10.1007/978-3-319-93387-0_13</t>
  </si>
  <si>
    <t>Linear regression with 2-norm regularization (i.e., ridge regression) is an important statistical technique that models the relationship between some explanatory values and an outcome value using a linear function. In many applications (e.g., predictive modeling in personalized health-care), these values represent sensitive data owned by several different parties who are unwilling to share them. In this setting, training a linear regression model becomes challenging and needs specific cryptographic solutions. This problem was elegantly addressed by Nikolaenko et al. in S&amp;P (Oakland)2013. They suggested a two-server system that uses linearly-homomorphic encryption (LHE) and Yao’s two-party protocol (garbled circuits). In this work, we propose a novel system that can train a ridge linear regression model using only LHE (i.e., without using Yao’s protocol). This greatly improves the overall performance (both in computation and communication) as Yao’s protocol was the main bottleneck in the previous solution. The efficiency of the proposed system is validated both on synthetically-generated and real-world datasets. © Springer International Publishing AG, part of Springer Nature 2018.</t>
  </si>
  <si>
    <t>R0677</t>
  </si>
  <si>
    <t>Clinical use of computational modeling for surgical planning of arteriovenous fistula for hemodialysis</t>
  </si>
  <si>
    <t>Bozzetto, M.; Rota, S.; Vigo, V.; Casucci, F.; Lomonte, C.; Morale, W.; Senatore, M.; Tazza, L.; Lodi, M.; Remuzzi, G.; Remuzzi, A.</t>
  </si>
  <si>
    <t>Found in: Scopus; PubMed · DOI: 10.1186/s12911-017-0420-x · PMID: 28288599</t>
  </si>
  <si>
    <t>Background: Autogenous arteriovenous fistula (AVF) is the best vascular access (VA) for hemodialysis, but its creation is still a critical procedure. Physical examination, vascular mapping and doppler ultrasound (DUS) evaluation are recommended for AVF planning, but they can not provide direct indication on AVF outcome. We recently developed and validated in a clinical trial a patient-specific computational model to predict pre-operatively the blood flow volume (BFV) in AVF for different surgical configuration on the basis of demographic, clinical and DUS data. In the present investigation we tested power of prediction and usability of the computational model in routine clinical setting. Methods: We developed a web-based system (AVF.SIM) that integrates the computational model in a single procedure, including data collection and transfer, simulation management and data storage. A usability test on observational data was designed to compare predicted vs. measured BFV and evaluate the acceptance of the system in the clinical setting. Six Italian nephrology units were involved in the evaluation for a 6-month period that included all incident dialysis patients with indication for AVF surgery. Results: Out of the 74 patients, complete data from 60 patients were included in the final dataset. Predicted brachial BFV at 40 days after surgery showed a good correlation with measured values (in average 787 ± 306 vs. 751 ± 267 mL/min, R = 0.81, p &lt; 0.001). For distal AVFs the mean difference (±SD) between predicted vs. measured BFV was -2.0 ± 20.9%, with 50% of predicted values in the range of 86-121% of measured BFV. Feedbacks provided by clinicians indicate that AVF.SIM is easy to use and well accepted in clinical routine, with limited additional workload. Conclusions: Clinical use of computational modeling for AVF surgical planning can help the surgeon to select the best surgical strategy, reducing AVF early failures and complications. This approach allows individualization of VA care, with the aim to reduce the costs associated with VA dysfunction, and to improve AVF clinical outcome. © 2017 The Author(s).</t>
  </si>
  <si>
    <t>R0678</t>
  </si>
  <si>
    <t>Private Epigenetic Pacemaker Detector Using Homomorphic Encryption</t>
  </si>
  <si>
    <t>Found in: Scopus; PubMed · DOI: 10.1177/15578666261478652 · PMID: 42713727</t>
  </si>
  <si>
    <t>The epigenetic pacemaker (EPM) model uses DNA methylation data to predict human epigenetic age. The methylation values are collected from different individuals and are considered to be of medical importance. Sharing these data publicly among labs and other third parties for model calculation purposes may violate the privacy of personal medical records. The use of standard encryption approaches can prevent the exposure of these personal records to third parties when at rest, but running computations on the data requires decrypting it first, and thus exposing the entire data to the computing party. This work proposes computing EPM while limiting data exposure by employing cryptographic secure computing techniques including homomorphic encryption. Our protocol has rigorous privacy guarantees against passive computationally bounded adversaries in the two-server model. Our results show good correlation with low accuracy error between the model with and without encryption. These results can serve as a pilot for data security measures integrated in vast medical applications where personal privacy is imperative.1 © 2026, The Author(s)</t>
  </si>
  <si>
    <t>R0679</t>
  </si>
  <si>
    <t>Bayhenn: Combining Bayesian deep learning and homomorphic encryption for secure DNN inference</t>
  </si>
  <si>
    <t>Xie, P.; Wu, B.; Sun, G.</t>
  </si>
  <si>
    <t>Found in: Scopus · DOI: 10.24963/ijcai.2019/671</t>
  </si>
  <si>
    <t>Recently, deep learning as a service (DLaaS) has emerged as a promising way to facilitate the employment of deep neural networks (DNNs) for various purposes. However, using DLaaS also causes potential privacy leakage from both clients and cloud servers. This privacy issue has fueled the research interests on the privacy-preserving inference of DNN models in the cloud service. In this paper, we present a practical solution named BAYHENN for secure DNN inference. It can protect both the client's privacy and server's privacy at the same time. The key strategy of our solution is to combine homomorphic encryption and Bayesian neural networks. Specifically, we use homomorphic encryption to protect a client's raw data and use Bayesian neural networks to protect the DNN weights in a cloud server. To verify the effectiveness of our solution, we conduct experiments on MNIST and a real-life clinical dataset. Our solution achieves consistent latency decreases on both tasks. In particular, our method can outperform the best existing method (GAZELLE) by about 5×, in terms of end-to-end latency. © 2019 International Joint Conferences on Artificial Intelligence. All rights reserved.</t>
  </si>
  <si>
    <t>R0680</t>
  </si>
  <si>
    <t>Blockchain for genomics and healthcare: A literature review, current status, classification and open issues</t>
  </si>
  <si>
    <t>Dedeturk, B.A.; Soran, A.; Bakir-Gungor, B.</t>
  </si>
  <si>
    <t>Found in: Scopus; PubMed · DOI: 10.7717/peerj.12130 · PMID: 34703661</t>
  </si>
  <si>
    <t>The tremendous boost in the next generation sequencing technologies and in the ‘‘omics’’ technologies resulted in the generation of hundreds of gigabytes of data per day. Nowadays, via integrating -omics data with other data types, such as imaging and electronic health record (EHR) data, panomics studies attempt to identify novel and potentially actionable biomarkers for personalized medicine applications. In this respect, for the accurate analysis of -omics data and EHR, there is a need to establish secure and robust pipelines that take the ethical aspects into consideration, regulate privacy and ownership issues, and data sharing. These days, blockchain technology has picked up significant attention in diverse fields, including genomics, since it offers a new solution for these problems from a different perspective. Blockchain is an immutable transaction ledger, which offers secure and distributed system without a central authority. Within the system, each transaction can be expressed with cryptographically signed blocks, and the verification of transactions is performed by the users of the network. In this review, firstly, we aim to highlight the challenges of EHR and genomic data sharing. Secondly, we attempt to answer ‘‘Why’’ or ‘‘Why not’’ the blockchain technology is suitable for genomics and healthcare applications in detail. Thirdly, we elucidate the general blockchain structure based on the Ethereum, which is a more suitable technology for the genomic data sharing platforms. Fourthly, we review current blockchain-based EHR and genomic data sharing platforms, evaluate the advantages and disadvantages of these applications, and classify these applications using different metrics. Finally, we conclude by discussing the open issues and introducing our suggestion on the topic. In summary, to facilitate the diagnosis, monitoring and therapy of diseases with the effective analysis of -omics data with other available data types, through this review, we put forward the possible implications of the blockchain technology to life sciences and healthcare. Copyright 2021 Adanur Dedeturk et al.</t>
  </si>
  <si>
    <t>R0681</t>
  </si>
  <si>
    <t>A Comprehensive Survey on Secure Healthcare Data Management: Integrating Cloud Storage and AI-Driven Analytics</t>
  </si>
  <si>
    <t>Muthuvel, S.; Kumar, K.S.; Manoj, R.K.</t>
  </si>
  <si>
    <t>Found in: Scopus; IEEE · DOI: 10.1109/ICETEA64585.2025.11099911</t>
  </si>
  <si>
    <t>The rapid digitization of healthcare systems has resulted in a significant increase in the quantity of sensitive patient data, requiring strong solutions for safe storage and sophisticated analytics. This work offers an in-depth examination of safe healthcare data management, emphasizing the use of cloud storage and AI-powered analytics. Cloud computing provides scalable and economical storage options; however, it also presents considerable security and privacy issues, especially for the management of sensitive health information. This work examines advanced encryption approaches, access control mechanisms, and data integrity methods intended to protect healthcare data in cloud settings. Furthermore, it investigates the function of AI-driven analytics in deriving actionable insights from extensive datasets, facilitating personalized medicine, predictive diagnoses, and enhanced patient outcomes. The intersection of AI and healthcare data prompts apprehensions over data integrity, prejudice, and ethical considerations. This assessment emphasizes upcoming concepts such federated learning, homomorphic encryption, and blockchain-based solutions, which seek to reconcile data usefulness with privacy protection. Additionally, it examines legislative frameworks such as GDPR and HIPAA and their influence on healthcare data management practices. This work seeks to provide a path for academics and practitioners by synthesizing recent accomplishments and pinpointing existing problems in the development of safe, efficient, and ethical healthcare data management systems. The amalgamation of cloud storage with AI-driven analytics has significant promise to transform healthcare; yet, it necessitates a multidisciplinary strategy to mitigate related risks and establish trustworthiness within the digital health ecosystem.  © 2025 IEEE.</t>
  </si>
  <si>
    <t>R0682</t>
  </si>
  <si>
    <t>Privacy Preserving Inference Over Encrypted Data</t>
  </si>
  <si>
    <t>Sayyad, S.; Kulkarni, D.</t>
  </si>
  <si>
    <t>Machine learning and deep learning techniques provide solution to various medical applications relevant to disease detection. Many a time’s these learning algorithms and their inferences are generated in untrusted environments like cloud. Medical practitioners would like to protect their data in such cases in untrusted environments but would like to generate an inference on their data. Our work provides a solution to generate privacy preserving inference over encrypted data in such untrusted environment like public cloud. HELib based fully homomorphic encryption approach is used to provide security to the trained model and the data of the owner. Our results shows the effectiveness of using the technique to generate inference on encrypted data without comprising the accuracy of the system. Our work demonstrates on benchmark datasets like MNIST for prototyping and heart disease detection that are used by many machine learning applications for benchmarking. © 2022, Ismail Saritas. All rights reserved.</t>
  </si>
  <si>
    <t>R0683</t>
  </si>
  <si>
    <t>Privacy-aware plant disease detection: federated learning with homomorphic encryption on image data</t>
  </si>
  <si>
    <t>Muntaqim, M.Z.; Kafi, H.M.; Smrity, T.A.</t>
  </si>
  <si>
    <t>Found in: Scopus · DOI: 10.1007/s00371-025-04261-5</t>
  </si>
  <si>
    <t>Tomato (Solanum lycopersicum) leaf disease detection in smart agriculture faces critical challenges in balancing accuracy with data privacy, as traditional centralized deep learning approaches and conventional federated learning methods remain vulnerable to gradient leakage, model inversion, and poisoning attacks that can expose commercially sensitive agricultural data including proprietary crop traits and regional farming patterns. This study proposes and evaluates a novel homomorphic encryption-enhanced federated learning (HEFL) framework specifically designed for privacy-preserving agricultural image processing, implementing dual-layer encryption at both client and server sides to enable secure model training without exposing sensitive information during any stage of the learning process. We conducted comprehensive experiments using nine different deep learning architectures (ResNet50, EfficientNet, DenseNet121, MobileNetV2, and others) on tomato leaf disease classification tasks to assess both performance and security robustness of the proposed framework. Our results demonstrate that MobileNetV2 achieved the highest test accuracy within the HEFL framework while maintaining computational efficiency suitable for resource-constrained agricultural environments, and the framework successfully preserved model performance comparable to centralized approaches while providing significant protection against inference and reconstruction attacks. We conclude that HEFL represents a viable and scalable solution for privacy-preserving agricultural disease detection that addresses the critical need for secure, decentralized crop monitoring systems. The primary limitations of this study include the computational overhead introduced by homomorphic encryption operations and the need for further validation across diverse agricultural datasets and real-world deployment scenarios, which can be addressed through optimized encryption schemes and extensive field testing in future work. © The Author(s), under exclusive licence to Springer-Verlag GmbH Germany, part of Springer Nature 2025.</t>
  </si>
  <si>
    <t>R0684</t>
  </si>
  <si>
    <t>Secure phrase search for intelligent processing of encrypted data in cloud-based iot</t>
  </si>
  <si>
    <t>Shen, M.; Ma, B.; Zhu, L.; Du, X.; Xu, K.</t>
  </si>
  <si>
    <t>Found in: Scopus; IEEE · DOI: 10.1109/JIOT.2018.2871607</t>
  </si>
  <si>
    <t>Phrase search allows retrieval of documents containing an exact phrase, which plays an important role in many machine learning applications for cloud-based Internet of Things (IoT), such as intelligent medical data analytics. In order to protect sensitive information from being leaked by service providers, documents (e.g., clinic records) are usually encrypted by data owners before being outsourced to the cloud. This, however, makes the search operation an extremely challenging task. Existing searchable encryption schemes for multikeyword search operations fail to perform phrase search, as they are unable to determine the location relationship of multiple keywords in a queried phrase over encrypted data on the cloud server side. In this paper, we propose P3, an efficient privacy-preserving phrase search scheme for intelligent encrypted data processing in cloud-based IoT. Our scheme exploits the homomorphic encryption and bilinear map to determine the location relationship of multiple queried keywords over encrypted data. It also utilizes a probabilistic trapdoor generation algorithm to protect users' search patterns. Thorough security analysis demonstrates the security guarantees achieved by P3. We implement a prototype and conduct extensive experiments on real-world datasets. The evaluation results show that compared with existing multikeyword search schemes, P3 can greatly improve the search accuracy with moderate overheads. © 2014 IEEE.</t>
  </si>
  <si>
    <t>R0685</t>
  </si>
  <si>
    <t>Machine learning approaches for predicting and diagnosing chronic kidney disease: current trends, challenges, solutions, and future directions</t>
  </si>
  <si>
    <t>Gogoi P; Valan JA</t>
  </si>
  <si>
    <t>Found in: PubMed · DOI: 10.1007/s11255-024-04281-5 · PMID: 39560857</t>
  </si>
  <si>
    <t>Chronic Kidney Disease (CKD) represents a significant global health challenge, contributing to increased morbidity and mortality rates. This review paper explores the current landscape of machine learning (ML) techniques employed in CKD prediction and diagnosis, highlighting recent trends, inherent challenges, innovative solutions, and future directions. Through an extensive literature survey, we identified key limitations and challenges, including the use of small datasets, the absence of stage-specific predictions, insufficient focus on model interpretability, and a lack of discussions on safeguarding patient privacy in managing sensitive CKD data. We considered these limitations and challenges as research gaps, and this review paper aims to address them. We emphasize the potential of Generative AI to augment dataset sizes, thereby enhancing model performance and reliability. To address the lack of stage-specific predictions, we highlight the need for effective multi-class models to accurately predict CKD stages, enabling tailored treatments and improved patient outcomes. Furthermore, we discuss the critical importance of model interpretability, utilizing methods such as SHAP (SHapley Additive exPlanations) and LIME (Local Interpretable Model-agnostic Explanations) to ensure transparency and trust among healthcare professionals. Privacy concerns surrounding sensitive patient data are also addressed. We present innovative privacy-preserving solutions using technologies, such as homomorphic encryption, federated learning, and blockchain. These solutions facilitate collaboration across institutions while maintaining patient confidentiality and addressing challenges related to limited generalizability and reproducibility in CKD prediction. This review informs healthcare professionals and researchers about advancements in ML for CKD prediction, to improve patient outcomes and address research gaps.</t>
  </si>
  <si>
    <t>R0686</t>
  </si>
  <si>
    <t>CAML: Cryptographic-Based Cloud Security for Healthcare Data with Machine Learning Technique</t>
  </si>
  <si>
    <t>M.H, C.; Vagdevi, S.</t>
  </si>
  <si>
    <t>Found in: Scopus · DOI: 10.2174/0118722121241098230926064800</t>
  </si>
  <si>
    <t>Background: The Cloud model is one of the most realistic frameworks with a vast range of social networking interactions. In medical data, security is a major constraint as it incorporates information about the patients. The cloud environment subjected to mobility and openness is exposed to security issues and limits authorization levels for data transmission. Objective: This patent paper aims to propose a security model for attack prevention within the healthcare environment. Methods: The proposed Cryptographic Attribute-based Machine Learning (CAML) scheme incorporates three stages. Initially, the homomorphic encryption escrow is performed for secure data transmission in the cloud. Secondly, the information of the users is evaluated based on the consideration of users' authorization. The authorization process for the users is carried out with the attribute-based ECC technique. Finally, the ML model with the classifier is applied for the detection and classification of attacks in the medical network. Results: The detected attack is computed and processed with the CNN model. Simulation analysis is performed for the proposed CAML with conventional ANN, CNN, and RNN models. The simulation analysis of proposed CAML achieves a higher accuracy of 0.96 while conventional SVM, RF, and DT achieve an accuracy of 0.82, 0.89 and 0.93, respectively. Conclusion: With the analysis, it is concluded that the proposed CAML model achieves higher classification accuracy for attack detection and prevention in the cloud computing environment. © 2025 Bentham Science Publishers.</t>
  </si>
  <si>
    <t>R0687</t>
  </si>
  <si>
    <t>PMHE: a wearable medical sensor assisted framework for health care based on blockchain and privacy computing</t>
  </si>
  <si>
    <t>Zhao, J.; Wang, W.; Wang, D.; Wang, X.; Mu, C.</t>
  </si>
  <si>
    <t>Found in: Scopus · DOI: 10.1186/s13677-022-00373-8</t>
  </si>
  <si>
    <t>Nowadays, smart medical cloud platforms have become a new direction in the industry. However, because the medical system involves personal physiological data, user privacy in data transmission and processing is also easy to leak in the smart medical cloud platform. This paper proposed a medical data privacy preserving framework named PMHE based on blockchain and fully homomorphic encryption technology. The framework receives personal physiological data from wearable devices on the client side, and uses blockchain as data storage to ensure that the data cannot be tampered with or forged; Besides, it uses fully homomorphic encryption method to design disease prediction models implemented by smart contracts. In PMHE, data is encoded and encrypted on the client side, and encrypted data is uploaded to the cloud platform via the public Internet, preventing privacy leakage caused by channel eavesdropping; smart contracts run on the blockchain platform for disease prediction, and the operators participating in computing are encrypted user data too. So, privacy and security issues caused by platform data leakage are avoided. The client-to-cloud interaction protocol is also designed to overcome the defect that fully homomorphic encryption only supports addition and multiplication by submitting tuples on the client side, to ensure that the prediction model can perform complex computing. In addition, the design of the smart contract is introduced in detail, and the performance of the system is analyzed. Finally, experiments are conducted to verify the operating effect of the system, ensuring that user privacy is not leaked without affecting the accuracy of the model, and realizing a smart medical cloud platform in which data can be used but cannot be borrowed. © 2022, The Author(s).</t>
  </si>
  <si>
    <t>R0688</t>
  </si>
  <si>
    <t>Hybrid Privacy-Preserving Federated Learning using Differential Privacy and Homomorphic Encryption for Healthcare IoT</t>
  </si>
  <si>
    <t>Ramya, B.; Sarveshwaran, V.</t>
  </si>
  <si>
    <t>Found in: Scopus; IEEE · DOI: 10.1109/ICIRCA69024.2026.11570642</t>
  </si>
  <si>
    <t>Healthcare systems produce huge volumes of sensitive patient information, such as medical records, diagnostic images, and real-time sensor information. Conventional centralized machine learning methods demand centralization of this sensitive information under a central server to train on, and this has huge privacy, security, and regulatory issues, including HIPAA and GDPR compliance. Another promising method is Federated Learning (FL), which allows training models in a collaborative mode among distributed healthcare organizations and stores patient data on a local level. The data exchanged are only model updates and not raw data, thus minimizing the risks of privacy. In this paper, a thorough overview of privacy threats exists in healthcare FL, gradient leakage, membership inference, and model poisoning attacks. It also looks at privacy-preserving methods including Differential Privacy (DP), Homomorphic Encryption (HE), Secure Multi-party Computation (SMPC), and Trusted Execution Environments (TEE). Moreover, it suggests a new privacy-saving FL model that suits resource-limited healthcare IoT settings such that patient information remains secret without affecting the model efficiency. Trade-offs in terms of privacy guarantees, diagnostic accuracy, and computational efficiency are shown through experimental evaluation. The suggested framework provides a way towards safe, scalable, and privacy-sensitive AI in health care. © 2026 IEEE.</t>
  </si>
  <si>
    <t>R0689</t>
  </si>
  <si>
    <t>Toward Privacy-preserving Text Embedding Similarity with Homomorphic Encryption</t>
  </si>
  <si>
    <t>Kim, D.; Lee, G.; Oh, S.</t>
  </si>
  <si>
    <t>Text embedding is an essential component to build efficient natural language applications based on text similarities such as search engines and chatbots. Certain industries like finance and healthcare demand strict privacy-preserving conditions that user's data should not be exposed to any potential malicious users even including service providers. From a privacy standpoint, text embeddings seem impossible to be interpreted but there is still a privacy risk that they can be recovered to original texts through inversion attacks. To satisfy such privacy requirements, in this paper, we study a Homomorphic Encryption (HE) based text similarity inference. To validate our method, we perform extensive experiments on two vital text similarity tasks. Through text embedding inversion tests, we prove that the benchmark datasets are vulnerable to inversion attacks and another privacy preserving approach, d?-privacy, a relaxed version of Local Differential Privacy method fails to prevent them. We show that our approach preserves the performance of models compared to that the baseline has degradation up to 10% of scores for the minimum security.  ©2022 Association for Computational Linguistics.</t>
  </si>
  <si>
    <t>R0690</t>
  </si>
  <si>
    <t>Ultrafast homomorphic encryption models enable secure outsourcing of genotype imputation</t>
  </si>
  <si>
    <t>Kim, M.; Harmanci, A.O.; Bossuat, J.-P.; Carpov, S.; Cheon, J.H.; Chillotti, I.; Cho, W.; Froelicher, D.; Gama, N.; Georgieva, M.; Hong, S.; Hubaux, J.-P.; Kim, D.; Lauter, K.; Ma, Y.; Ohno-Machado, L.; Sofia, H.; Son, Y.; Song, Y.; Troncoso-Pastoriza, J.; Jiang, X.</t>
  </si>
  <si>
    <t>Found in: Scopus; PubMed · DOI: 10.1016/j.cels.2021.07.010 · PMID: 34464590</t>
  </si>
  <si>
    <t>Genotype imputation is a fundamental step in genomic data analysis, where missing variant genotypes are predicted using the existing genotypes of nearby “tag” variants. Although researchers can outsource genotype imputation, privacy concerns may prohibit genetic data sharing with an untrusted imputation service. Here, we developed secure genotype imputation using efficient homomorphic encryption (HE) techniques. In HE-based methods, the genotype data are secure while it is in transit, at rest, and in analysis. It can only be decrypted by the owner. We compared secure imputation with three state-of-the-art non-secure methods and found that HE-based methods provide genetic data security with comparable accuracy for common variants. HE-based methods have time and memory requirements that are comparable or lower than those for the non-secure methods. Our results provide evidence that HE-based methods can practically perform resource-intensive computations for high-throughput genetic data analysis. The source code is freely available for download at https://github.com/K-miran/secure-imputation. © 2021 The Authors</t>
  </si>
  <si>
    <t>R0691</t>
  </si>
  <si>
    <t>Isolation of bovine foamy virus in Japan</t>
  </si>
  <si>
    <t>Hachiya, Y.; Kimura, K.; Oguma, K.; Ono, M.; Horikita, T.; Sentsui, H.</t>
  </si>
  <si>
    <t>Found in: Scopus · DOI: 10.1292/jvms.18-0121</t>
  </si>
  <si>
    <t>Bovine foamy virus (BFV) is endemic in many countries, but has not been reported in Japan. A syncytium-forming virus was isolated from peripheral blood leukocytes of clinically healthy cattle on a farm in Kanagawa prefecture during a periodic epidemiological survey of viral diseases. The isolate was propagated in primary fetal bovine muscle cells and subsequently passaged in Madin–Darby bovine kidney cells. Since the isolate appeared to be distinct from the viruses with syncytium-forming ability previously isolated in Japan, we attempted to identify it using genomic analyses and electron microscopy. A phylogenetic analysis revealed that the isolate belongs to the bovine foamy virus cluster and is highly similar to a BFV strain isolated in China. A sero-epidemiological survey was performed using agar gel immunodiffusion test with the isolated virus as the antigen, and five of the 57 cattle tested were found to be seropositive. © 2018 The Japanese Society of Veterinary Science.</t>
  </si>
  <si>
    <t>R0692</t>
  </si>
  <si>
    <t>A hybrid deep learning framework utilizing CNN, GAN, and autoencoder for safe medical image encryption in IoMT</t>
  </si>
  <si>
    <t>Duggirala, S.K.; Sathya, M.</t>
  </si>
  <si>
    <t>Found in: Scopus · DOI: 10.1088/2631-8695/ae3881</t>
  </si>
  <si>
    <t>In the era of digital healthcare, ensuring the security and privacy of medical images transmitted over Internet of Medical Things (IoMT) networks is paramount. This paper proposes a novel hybrid image encryption framework that integrates Convolutional Neural Networks (CNN), Generative Adversarial Networks (GAN), and Autoencoder to achieve robust, end-to-end medical image protection. Unlike traditional methods, our approach leverages deep feature extraction, adversarial learning, and dimensionality reduction to provide high-security encryption while maintaining reconstruction fidelity. The novelty lies in combining chaotic key generation with deep learning-based encryption and compression, making the system highly resistant to brute-force and statistical attacks. The proposed model introduces a dual GAN structure for encryption and decryption tasks, effectively disguising original images into target domain representations. To evaluate performance, we conduct a comparative analysis with recent state-of-the-art encryption schemes based on metrics such as Peak Signal-to-Noise Ratio (PSNR), Structural Similarity Index (SSIM), Entropy, and Correlation Coefficient. Experimental results on public medical image datasets demonstrate that our method outperforms existing techniques, achieving a PSNR of 38.2 dB and SSIM of 0.96 in decrypted image quality, while maintaining high entropy (7.99) and low correlation (&lt;0.01), confirming the randomness of encrypted images. This hybrid model not only strengthens image security in IoMT environments but also ensures minimal degradation in diagnostic quality post-decryption, highlighting its potential for real-world medical applications. © 2026 IOP Publishing Ltd. All rights, including for text and data mining, AI training, and similar technologies, are reserved.</t>
  </si>
  <si>
    <t>R0693</t>
  </si>
  <si>
    <t>FPGA-Based Acceleration of K-Nearest Neighbor Algorithm on Fully Homomorphic Encrypted Data</t>
  </si>
  <si>
    <t>Behera, S.; Prathuri, J.R.</t>
  </si>
  <si>
    <t>Found in: Scopus · DOI: 10.3390/cryptography8010008</t>
  </si>
  <si>
    <t>The suggested solution in this work makes use of the parallel processing capability of FPGA to enhance the efficiency of the K-Nearest Neighbor (KNN) algorithm on encrypted data. The suggested technique was assessed utilizing the breast cancer datasets and the findings indicate that the FPGA-based acceleration method provides significant performance improvements over software implementation. The Cheon–Kim–Kim–Song (CKKS) homomorphic encryption scheme is used for the computation of ciphertext. After extensive simulation in Python and implementation in FPGA, it was found that the proposed architecture brings down the computational time of KNN on ciphertext to a realistic value in the order of the KNN classification algorithm over plaintext. For the FPGA implementation, we used the Intel Agilex7 FPGA (AGFB014R24B2E2V) development board and validated the speed of computation, latency, throughput, and logic utilization. It was observed that the KNN on encrypted data has a computational time of 41.72 ms which is 80 times slower than the KNN on plaintext whose computational time is of 0.518 ms. The main computation time for CKKS FHE schemes is 41.72 ms. With our architecture, we were able to reduce the calculation time of the CKKS-based KNN to 0.85 ms by using 32 parallel encryption hardware and reaching 300 MHz speed. © 2024 by the authors.</t>
  </si>
  <si>
    <t>R0694</t>
  </si>
  <si>
    <t>Novel Ultrasound Dual Array Method for Precise Blood Flow Measurement</t>
  </si>
  <si>
    <t>Mattesini, P.; Travagliati, M.; Confalonieri, F.; Baldasarre, L.; Ramalli, A.</t>
  </si>
  <si>
    <t>Found in: Scopus · DOI: 10.1109/IUS62464.2025.11201810</t>
  </si>
  <si>
    <t>Blood flow volume (BFV) is a fundamental indicator of cardiovascular (CV) health, reflecting the dynamic state of the circulatory system and the heart's ability to perfuse tissues effectively. In critical care settings, such as intensive care units, continuous and accurate monitoring of BFV is essential for early detection of hemodynamic instability and prevention of adverse cardiovascular events, including hypotension, organ hypoperfusion, and cardiac arrest.This work introduces a novel dual-array ultrasound approach to measure BFV by using two cross-sectional views to extract the Doppler angle, flow velocities, and vessel area. The proposed solution allows for an operator-free and accurate estimation of the Doppler angle and therefore it is truly suitable to be integrated into wearable applications.The system was tested by exploiting the ULA-OP 256 open platform, connected to two 7.5-MHz linear arrays. Experimental validation was conducted on an 8-mm diameter vessel within a flow phantom, with flow controlled by a programmable peristaltic pump and monitored via a flow sensor. The estimated BFV showed good agreement with reference values, showing an average underestimation of 3.8%. Furthermore, the best-fit linear regression yielded an angular coefficient of 1.09 and a coefficient of determination R2 of 0.98, confirming the method's good performance.  © 2025 IEEE.</t>
  </si>
  <si>
    <t>R0695</t>
  </si>
  <si>
    <t>A federated learning architecture for secure and private neuroimaging analysis</t>
  </si>
  <si>
    <t>Stripelis, D.; Gupta, U.; Saleem, H.; Dhinagar, N.; Ghai, T.; Anastasiou, C.; Sánchez, R.; Steeg, G.V.; Ravi, S.; Naveed, M.; Thompson, P.M.; Ambite, J.L.</t>
  </si>
  <si>
    <t>Found in: Scopus; PubMed · DOI: 10.1016/j.patter.2024.101031 · PMID: 39233693</t>
  </si>
  <si>
    <t>The amount of biomedical data continues to grow rapidly. However, collecting data from multiple sites for joint analysis remains challenging due to security, privacy, and regulatory concerns. To overcome this challenge, we use federated learning, which enables distributed training of neural network models over multiple data sources without sharing data. Each site trains the neural network over its private data for some time and then shares the neural network parameters (i.e., weights and/or gradients) with a federation controller, which in turn aggregates the local models and sends the resulting community model back to each site, and the process repeats. Our federated learning architecture, MetisFL, provides strong security and privacy. First, sample data never leave a site. Second, neural network parameters are encrypted before transmission and the global neural model is computed under fully homomorphic encryption. Finally, we use information-theoretic methods to limit information leakage from the neural model to prevent a “curious” site from performing model inversion or membership attacks. We present a thorough evaluation of the performance of secure, private federated learning in neuroimaging tasks, including for predicting Alzheimer's disease and for brain age gap estimation (BrainAGE) from magnetic resonance imaging (MRI) studies in challenging, heterogeneous federated environments where sites have different amounts of data and statistical distributions. © 2024 The Author(s)</t>
  </si>
  <si>
    <t>R0696</t>
  </si>
  <si>
    <t>Privacy-Preserving Self-Supervised Learning for Secure Image Processing: A BYOL-Based Framework for MNIST and Chest X-ray Data</t>
  </si>
  <si>
    <t>Riad, K.I.; Ahmed, S.; Nizum, M.Z.; Barek, M.A.; Rashid, M.B.; Mostafizur Rahman, M.; Francia, G.; Shahriar, H.</t>
  </si>
  <si>
    <t>Found in: Scopus; IEEE · DOI: 10.1109/COMPSAC65507.2025.00146</t>
  </si>
  <si>
    <t>The increasing use of high-dimensional imaging in medical AI raises significant privacy and security concerns. This paper presents a Bootstrap Your Own Latent (BYOL)-based self-supervised learning (SSL) framework for secure image processing, ensuring compliance with HIPAA and privacy-preserving machine learning (PPML) techniques. Our method integrates federated learning, homomorphic encryption, and differential privacy to enhance security while reducing dependence on labeled data. Experimental results on the MNIST and NIH Chest X-ray datasets demonstrate a classification accuracy of 97.5% and 99.99% (pre-fine-tuning 40%), with improved clustering performance using K-Means (Silhouette Score: 0.5247). These findings validate BYOL's capability for robust, privacy-preserving image processing while emphasizing the need for fine-tuning to optimize classification performance.  © 2025 IEEE.</t>
  </si>
  <si>
    <t>R0697</t>
  </si>
  <si>
    <t>Comprehensive report on Homomorphic technique in Healthcare Domain</t>
  </si>
  <si>
    <t>Prakaashini, S.; Rajamohana, S.P.</t>
  </si>
  <si>
    <t>Found in: Scopus · DOI: 10.1109/ICCMC51019.2021.9418039</t>
  </si>
  <si>
    <t>This paper aims to study and analyse the homomorphic technique that is used for data security in edge and fog computing in the healthcare domain. The main purpose of this paper is to gain more knowledge on how holomorphic technique is for data security in edge and fog computing in the health care domain. The proposed research work observes how medical records and data values are kept safe and formulated using newer technologies such as fog computing and edge computing. Using a simple and convenient method a descriptive statistics was collected on how much of this homomorphic technique is used in the health care domain. A total number of 200 medical records were collected from 5 reputed hospitals and medicals clinics, out of which 110 were female patients' records and 90 were male patients' records. Although, there were 200 on a total, all 200 were considered as samples from the different hospital servers used for the research. It gave results of 95% accuracy and security while using a homomorphic technique in data security in edge and fog computing. Since, these two advanced technologies are utilized in this research and it also demonstrates the homomorphic technique for data security using different homomorphic devices. Among all the 200 records collected 95% of patients assures and accepted the fact of high security in their medical records by using homomorphic technique in edge computing and fog computing. Finally, the proposed research work has been concluded with a discussion on various parameters such as the significance, pros and cons of using homomorphic encryption in the medical domain and the results on implementing homomorphic technique for data security. © 2021 IEEE.</t>
  </si>
  <si>
    <t>R0698</t>
  </si>
  <si>
    <t>Comparison of an Accelerated Garble Embedding Methodology for Privacy Preserving in Biomedical Data Analytics</t>
  </si>
  <si>
    <t>Hristov-Kalamov, N.; Fernández-Ruiz, R.; álvarez-Marquina, A.; Núñez-Vidal, E.; Domínguez-Mateos, F.; Palacios-Alonso, D.</t>
  </si>
  <si>
    <t>Found in: Scopus · DOI: 10.1007/978-3-031-61140-7_28</t>
  </si>
  <si>
    <t>This research work proposes a novel, encryption-based method for comparing embeddings generated by neural networks on various information types (text, images, videos, audio, etc.). This approach prioritizes real-world applications dealing with sensitive or private data, particularly in biomedical and biometric analysis, where even minor information leaks can be highly detrimental. To address this concern, the method performs all necessary calculations within a highly secure and efficient encryption layer. Notably, this work introduces practical solutions applicable to real-world biomedical data scenarios. © The Author(s), under exclusive license to Springer Nature Switzerland AG 2024.</t>
  </si>
  <si>
    <t>R0699</t>
  </si>
  <si>
    <t>Speech analytics for medical applications</t>
  </si>
  <si>
    <t>Found in: Scopus · DOI: 10.1007/978-3-030-00794-2_3</t>
  </si>
  <si>
    <t>Speech has the potential to provide a rich bio-marker for health, allowing a non-invasive route to early diagnosis and monitoring of a range of conditions related to human physiology and cognition. With the rise of speech related machine learning applications over the last decade, there has been a growing interest in developing speech based tools that perform non-invasive diagnosis. This talk covers two aspects related to this growing trend. One is the collection of large in-the-wild multimodal datasets in which the speech of the subject is affected by certain medical conditions. Our mining effort has been focused on video blogs (vlogs), and explores audio, video, text and metadata cues, in order to retrieve vlogs that include a single speaker which, at some point, admits that he/she is currently affected by a given disease. The second aspect is patient privacy. In this context, we explore recent developments in cryptography and, in particular in Fully Homomorphic Encryption, to develop an encrypted version of a neural network trained with unencrypted data, in order to produce encrypted predictions of health-related labels. As a proof-of-concept, we have selected two target diseases: Cold and Depression, to show our results and discuss these two aspects. © Springer Nature Switzerland AG 2018.</t>
  </si>
  <si>
    <t>R0700</t>
  </si>
  <si>
    <t>Leveraging Deep Learning Models and Ethereum Smart Contracts to Secure EHR in HL7 Environment</t>
  </si>
  <si>
    <t>Found in: Scopus; IEEE · DOI: 10.1109/SMART59791.2023.10428183</t>
  </si>
  <si>
    <t>The secure and efficient sharing of healthcare data is crucial in the rapidly evolving healthcare landscape. This paper addresses the critical need for secure and efficient healthcare data sharing in today's rapidly evolving healthcare landscape. While sharing health information can significantly improve healthcare quality and treatment coordination, challenges like security, privacy concerns, data consistency, and timely access across healthcare facilities remain. To overcome these obstacles, our proposed solution harnesses Ethereum Blockchain technology, Artificial Intelligence (AI), and the Health Level 7 standard (HL7). This integrated approach redefines data modeling, creating a flexible and scalable system that prioritizes medical data and service privacy and security. The fusion of AI and Ethereum Blockchain technology effectively tackles Health Information Exchange challenges. Additionally, our BERT-CNN classifier, achieving an impressive 94.2% accuracy, excels in classifying medical data, outperformed MLP, SVM, and Random Forest classifiers. We employ modern cryptographic methods like Fully Homomorphic Encryption over the Torus (TFHE) to ensure secure computation and protect sensitive medical data. These strategies promise more effective and secure medical data sharing, leading to improved patient care, advances in medical research, and increased confidence across the healthcare ecosystem. © 2023 IEEE.</t>
  </si>
  <si>
    <t>R0701</t>
  </si>
  <si>
    <t>Privacy-Preserving Deep Federated Learning on the Edge Using Homomorphic Encryption and Secure Multiparty Computation</t>
  </si>
  <si>
    <t>Gudur, N.A.; El-Dosuky, M.; Kamel, S.</t>
  </si>
  <si>
    <t>Found in: Scopus · DOI: 10.3844/jcssp.2025.2581.2592</t>
  </si>
  <si>
    <t>The increasing volume of consumer data necessitates reliable edge devices for personalized user experiences. Federated Learning (FL) offers a state-of-the-art approach to decentralized machine learning by leveraging data distributed across multiple client devices. However, user data privacy remains vulnerable to corruption through feature heterogeneity and malicious attacks. While several privacy-preserving techniques have been previously implemented, they suffer from implementation constraints and limited robustness against sophisticated attacks. This paper proposes a deep convolutional neural network mechanism that enhances privacy preservation in FL by combining Homomorphic Encryption (HME) and Secure Multiparty Computation (SMC). The proposed approach is validated through model verification on the CIFAR-100 dataset and a healthcare diabetes dataset case study. Results demonstrate that the proposed mechanism outperforms existing privacy protection methods, particularly against backdoor attacks. By ensuring stronger privacy guarantees, this approach facilitates broader adoption of FL technology across privacy-sensitive domains. © 2025 Noman Aasif Gudur, Mohamed El-Dosuky, Sherif Kamel. This open access article is distributed under a Creative Commons Attribution (CC-BY) 3.0 license.</t>
  </si>
  <si>
    <t>R0702</t>
  </si>
  <si>
    <t>Privacy-Preserving Model for Cyber Threat Intelligence, Sharing Across Multi-Organizational Platforms</t>
  </si>
  <si>
    <t>Pandey, S.; Azath, H.; Rahman, R.U.; Lamkuche, H.</t>
  </si>
  <si>
    <t>Found in: Scopus; IEEE · DOI: 10.1109/CSNT64827.2025.10968450</t>
  </si>
  <si>
    <t>The research presents a privacy-preserving structure for secure Cyber Threat Intelligence (CTI) exchanging, using cutting-edge AI techniques to increase cooperative IT delicacy while keeping secret information safe. We propose a system based on Federated Learning, Differential Privacy and Homomorphic Encryption to model training in multiple organizations without exchanging the raw data. Using these privacy-preserving techniques together, organizations can collaborate to enhance their overall threat detection and response capabilities while maintaining the confidentiality of sensitive data. The implemented results indicate significant advancements with a 50%-55% detection accuracy overall for role intention measurement, model accuracy increase to 82% (predicting the next role intention), 30% computational overhead improvement, and a 10% improvement in novel threat detection. It provides 85% compliance against regulatory standards including GDPR and NIST. The applicability of the proposed solution on real-world data in the financial and healthcare domains demonstrates the proposed solution achieves a balance between privacy protection and CTI sharing still providing a powerful method for distributed, scalable and efficient collaboration in secure cybersecurity. © 2025 IEEE.</t>
  </si>
  <si>
    <t>R0703</t>
  </si>
  <si>
    <t>SLCCC–Net: Hybrid steganography and AI system for secure cancer classification from histopathological images in internet of medical things applications</t>
  </si>
  <si>
    <t>Swetha, M.; Godi, A.R.</t>
  </si>
  <si>
    <t>Found in: Scopus; PubMed · DOI: 10.1016/j.mex.2025.103398 · PMID: 40612258</t>
  </si>
  <si>
    <t>Lung and colon cancer contribute to cancer-related deaths globally. Early detection through histopathological image analysis is pivotal in improving patient outcomes. However, challenges exist in ensuring the confidentiality and security of sensitive medical data and achieving accurate classification. There are dual issues of maintaining data privacy during transmission and achieving high accuracy in automated cancer classification in existing methods. • This work introduces a novel Secure Lung-Colon Cancer Classification Network (SLCCC–Net) approach, combining secure communication and advanced machine learning techniques to classify lung and colon cancer from histopathological images within a secured IoMT environment. • Here, the Two-Level Encryption Adopted Image Steganography (TLE-IS) method integrates Quantum Key Distribution (QKD) and Fully Homomorphic Encryption (FHE) for encrypting patient messages and medical images, ensuring both confidentiality and integrity of the data. • To enhance security, Hybrid-Inverse Wavelet Transform (HIWT)- based steganography embeds the encrypted data into histopathological images for secure transmission. On the receiver side, a Sand Cat Swarm Optimization with Genetic Weight Updating (SCSO-GWU) algorithm is employed for feature extraction from the stego image. • These extracted features are classified using an Interpretable Convolutional Neural Network (ICNN). Additionally, the inverse TLE-IS operation is performed to retrieve the original message. • The proposed SLCCC–Net demonstrates exceptional performance with an accuracy of 99.672 %, precision of 99.258 %, and recall rates of 99.900 % and 99.701 %, highlighting its effectiveness in lung and colon cancer classification. © 2025 The Authors</t>
  </si>
  <si>
    <t>R0704</t>
  </si>
  <si>
    <t>Energy Efficient and Secure Neural Network-based Disease Detection Framework for Mobile Healthcare Network</t>
  </si>
  <si>
    <t>Found in: Scopus · DOI: 10.1145/3585536</t>
  </si>
  <si>
    <t>Adopting mobile healthcare network (MHN) services such as disease detection is fraught with concerns about the security and privacy of the entities involved and the resource restrictions at the Internet of Things (IoT) nodes. Hence, the essential requirements for disease detection services are to (i) produce accurate and fast disease detection without jeopardizing the privacy of health clouds and medical users and (ii) reduce the computational and transmission overhead (energy consumption) of the IoT devices while maintaining the privacy. For privacy preservation of widely used neural network- (NN) based disease detection, existing literature suggests either computationally heavy public key fully homomorphic encryption (FHE), or secure multiparty computation, with a large number of interactions. Hence, the existing privacy-preserving NN schemes are energy consuming and not suitable for resource-constrained IoT nodes in MHN. This work proposes a lightweight, fully homomorphic, symmetric key FHE scheme (SkFhe) to address the issues involved in implementing privacy-preserving NN. Based on SkFhe, widely used non-linear activation functions ReLU and Leaky ReLU are implemented over the encrypted domain. Furthermore, based on the proposed privacy-preserving linear transformation and non-linear activation functions, an energy-efficient, accurate, and privacy-preserving NN is proposed. The proposed scheme guarantees privacy preservation of the health cloud's NN model and medical user's data. The experimental analysis demonstrates that the proposed solution dramatically reduces the overhead in communication and computation at the user side compared to the existing schemes. Moreover, the improved energy efficiency at the user is accomplished with reduced diagnosis time without sacrificing classification accuracy.  © 2023 Copyright held by the owner/author(s). Publication rights licensed to ACM.</t>
  </si>
  <si>
    <t>R0705</t>
  </si>
  <si>
    <t>Convergence of AI and IoT for Smart Healthcare: A Comprehensive Review of Disease Diagnosis Models</t>
  </si>
  <si>
    <t>Mala, M.; Priyanga, P.</t>
  </si>
  <si>
    <t>Found in: Scopus; IEEE · DOI: 10.1109/ECMI68341.2026.11603029</t>
  </si>
  <si>
    <t>The convergence of Artificial Intelligence (AI) and the Internet of Things (IoT) has revolutionized modern healthcare by enabling real-time disease monitoring, intelligent diagnostics, and personalized treatment strategies. However, despite considerable advancements, existing AI-IoT healthcare frameworks often remain disease-specific, data-limited, and computationally intensive, thereby restricting their scalability and adaptability across diverse health conditions and deployment environments. This paper explores state-of-art in AI-IoT based disease diagnosis models and focuses on addressing various challenges such as lack of scalable AI-IOT framework for multi-disease diagnosis, accurate real-time prediction incorporating lightweight and edgecompatible AI Architecture, the integration of heterogeneous biomedical data modalities such as wearable sensor data, medical imaging, electronic health records (EHRs), and audio cues into unified diagnostic engines, incorporation of privacy-preserving mechanisms including federated learning, secure aggregation, homomorphic encryption, and block chain technologies The paper analyses recent contribution based on core design principles, data modalities, computational performance, and privacy guarantees. The analysis reveals significant gaps in multimodal data fusion at the edge, holistic privacy-preserving model integration, and the real-time deployment of scalable and adaptive AI frameworks in clinical environments. To bridge these gaps, we propose a roadmap toward a modular, multimodal, and privacy-aware smart health infrastructure that leverages edge AI and federated learning. This paper aims to guide future research and development efforts toward building robust, interpretable, and regulation-compliant AI-IoT ecosystems for next-generation smart healthcare. © 2026 IEEE.</t>
  </si>
  <si>
    <t>R0706</t>
  </si>
  <si>
    <t>PFL-MD: A Privacy-Preserving Federated Learning Framework for Melanoma Diagnosis with Multiple Party Fully Homomorphic Encryption</t>
  </si>
  <si>
    <t>Liu, L.; Wang, Y.; Li, J.; Zheng, M.; Jiang, Z.; Song, Y.; Liu, X.</t>
  </si>
  <si>
    <t>Found in: Scopus; IEEE · DOI: 10.1109/BIBM66473.2025.11356719</t>
  </si>
  <si>
    <t>Federated learning has emerged as a widely adopted distributed machine learning paradigm. In the field of medical diagnosis, it has become a research hotspot, enabling multiple institutions to collaboratively leverage medical data for accurate analysis. However, the distributed nature of federated learning also introduces new challenges in data security and privacy protection, i.e., a curious server might collude with the client to infer private data of honest clients. In this paper, we implement our own FHE library and integrate it with several widely used federated learning methods, providing a unified framework. Our framework employs multiple-party Fully Homomorphic Encryption (FHE) to remove the requirements of a trusted third party or central key servers and address data security and privacy concerns in federated learning, ensuring that the data of honest participants is never exposed while maintaining the accuracy of the final analysis. We deploy our Privacy-preserving Federated Learning framework in the context of Melanoma Diagnosis, PFL-MD, and across multiple types of widely used benchmark datasets, our method achieves accuracy comparable to that of the original federated learning framework, thereby enabling reliable melanoma diagnosis. Extensive experiments further demonstrate the effectiveness of our framework. © 2025 IEEE.</t>
  </si>
  <si>
    <t>R0707</t>
  </si>
  <si>
    <t>Privacy-preserving multi-party logistic regression in cloud computing</t>
  </si>
  <si>
    <t>Wang, H.; Chen, T.; Ding, Y.; Wang, Y.; Yang, C.</t>
  </si>
  <si>
    <t>Found in: Scopus · DOI: 10.1016/j.csi.2024.103857</t>
  </si>
  <si>
    <t>In recent years, machine learning techniques have been widely deployed in various fields. However, machine learning faces problems like high computation overhead, low training accuracy, and poor security due to data silos, privacy issues and communication limitations, especially in the environment of cloud computing. Logistic regression (LR) is a popular machine learning method used for prediction, while current LR algorithms suffer from high computation cost and communication burden due to interactions between users and cloud servers. In this paper, we propose a Privacy-Preserving Multi-party Logistic Regression (PPMLR) algorithm, which achieves privacy-preserving and non-interactive gradient descent regression training in machine learning. PPMLR uses the Distributed two Trapdoors Public-Key Cryptosystem (DT-PKC) as a main building block, which satisfies additive homomorphic encryption. Specifically, users go off-line after encrypting local private data, then the service provider (SP) trains the global logistic regression model by interacting with the cloud server (CS), so that the confidentiality and privacy of user's private data can be guaranteed during the training process. We prove by detailed security proof that PPMLR guarantees data and model privacy. Finally, we conduct experiments on two popular medical datasets from the UCI machine learning repository. The experimental results show that PPMLR can conduct privacy-preserving training efficiently. Comparison with the stat-of-the-art Privacy-Preserving Logistic Regression Algorithm (PPLRA) shows that the model training time is reduced by about 4 times. © 2024</t>
  </si>
  <si>
    <t>R0708</t>
  </si>
  <si>
    <t>Publicly Verifiable and Secure SVM Classification for Cloud-Based Health Monitoring Services</t>
  </si>
  <si>
    <t>Lei, D.; Liang, J.; Zhang, C.; Liu, X.; He, D.; Zhu, L.; Guo, S.</t>
  </si>
  <si>
    <t>Found in: Scopus; IEEE · DOI: 10.1109/JIOT.2023.3326358</t>
  </si>
  <si>
    <t>In cloud-based health monitoring services, healthcare centers often outsource support vector machine (SVM)-based clinical decision models to provide remote users with clinical decisions. During service provisioning, authorized external organizations like insurance companies aim to verify decision correctness to prevent fraudulent medical reimbursements. However, existing verifiable and secure SVM classification schemes have predominantly focused on user self-verification, thereby introducing potential risks of privacy leakage (such as input data exposure) in publicly verifiable scenarios. To address the aforementioned limitation, we propose a publicly verifiable and secure SVM classification scheme (PVSSVM) for cloud-based health monitoring services in a malicious setting, which can accommodate the verification needs of users or authorized external organizations with respect to potential malicious results returned by cloud servers. Specifically, we utilize homomorphic encryption and secret sharing to protect the model and data confidentiality in the cloud server, respectively. Based on a multiserver verifiable computation framework, PVSSVM achieves public verification of predicted results. Additionally, we further investigate its performance. Experimental evaluations demonstrate that PVSSVM outperforms existing state-of-the-art solutions in terms of computation and communication overhead. Notably, in the verification scenario of large-scale predictions, the proposed scheme achieves a reduction of approximately 83.71% in computation overhead through batch verification, as compared to one-by-one verification.  © 2014 IEEE.</t>
  </si>
  <si>
    <t>R0709</t>
  </si>
  <si>
    <t>BlockIntelChain: a blockchain-based cyber threat intelligence sharing architecture</t>
  </si>
  <si>
    <t>Tolah, A.</t>
  </si>
  <si>
    <t>Found in: Scopus · DOI: 10.1038/s41598-025-29152-6</t>
  </si>
  <si>
    <t>The exponential growth of sophisticated cyber threats in Internet of Things (IoT) environments has exposed fundamental weaknesses in existing Cyber Threat Intelligence (CTI) platforms, including centralized architectures, trust deficits, privacy vulnerabilities, and single points of failure. To overcome these limitations, this paper proposes BlockIntelChain, a blockchain-based framework for secure, scalable, and collaborative CTI sharing across distributed IoT networks. The system integrates a hybrid consensus mechanism that combines Proof-of-Stake with reputation-based validator selection, supported by a multi-layered privacy framework employing Differential Privacy (DP), Zero-Knowledge Proofs (ZKP), Homomorphic Encryption, and Secure Multi-Party Computation. BlockIntelChain further embeds Federated Learning (FL) to enable distributed model training directly on IoT edge nodes without exposing raw threat telemetry. Comprehensive evaluations on real-world Malware Information Sharing Platform (MISP) datasets show that BlockIntelChain achieves 923 Transactions per Second at 500 nodes with 99.6% consensus success, while maintaining resilience against 51% and Byzantine attacks tolerating up to 33% malicious validators. Privacy analysis confirms an optimized utility–privacy trade-off, with DP (ε = 0.1) preserving 92% data utility and ZKP achieving 94% verification accuracy. The FL-based models outperform centralized baselines, reaching 96.4% accuracy for IoT malware classification, 94.7% for phishing detection, and 95.2% for network anomaly identification. Economic modeling validates sustainability through contributor growth (156 → 1,245 in 12 months) and improved contribution quality (0.73 → 0.92). The proposed framework directly benefits Security Operation Centers and edge-deployed IoT systems by enabling real-time threat intelligence exchange with strong security, privacy, and efficiency. Comparative benchmarking demonstrates BlockIntelChain’s superiority over MISP, ThreatConnect, and IBM X-Force in decentralization, privacy, and cost efficiency, positioning it as a transformative solution for next-generation privacy-aware CTI ecosystems. © The Author(s) 2025.</t>
  </si>
  <si>
    <t>R0710</t>
  </si>
  <si>
    <t>Privacy-Preserving and Scalable Secure Aggregation for Federated Learning in Edge Computing</t>
  </si>
  <si>
    <t>Prajwalasimha, S.N.; Saini, D.K.J.B.; Shelke, N.; Pimpalkar, A.; Kumar, G.H.; Vinitha, V.</t>
  </si>
  <si>
    <t>Found in: Scopus; IEEE · DOI: 10.1109/ICC-ROBINS64345.2025.11086126</t>
  </si>
  <si>
    <t>Federated Learning (FL) has been identified as a leading approach to decentralize machine learning processes, particularly in edge computing contexts where user data privacy is a critical issue. While previous work has made strides in privacypreserving secure aggregation techniques, traditional secure aggregation methods are not scalable, computationally efficient, and robust against attack. Therefore, this work proposes a scalable and Privacy-Preserving Secure Aggregation (PSSA) architecture that advances the onward efficiency and security of FL model updates. The proposed solution provides a solution to robust aggregation through the integration of homomorphic encryption, differential privacy, and adaptive compression to effectively reduce communication overheads. Importantly, in differentiating from prior work, PSSA dynamically updates encryption level based on network conditions: this capability makes PSSA more operationally feasible for resource-constrained edge devices when compared to traditional secure aggregation methods. Based on an extensive evaluation on benchmark datasets, it is found that PSSA achieves and offers up to a 40 % reduced communication cost and 25 % faster aggregation time for FL without sacrificing model accuracy. Finally, based on the theoretical analysis, initial evidence that PSSA is robust against gradient inversion attacks and collusion attacks, has been provided. In enabling efficient, scalable and secure model updates, PSSA advances the practical applicability of federated learning to real-world settings, including health care, cyber security, and smart cities. This work ultimately advances the case for next generation federated learning architectures that prioritizes both secure performance and privacy considerations and the associated deployment in AI-driven toward future edge ecosystems.  © 2025 IEEE.</t>
  </si>
  <si>
    <t>R0711</t>
  </si>
  <si>
    <t>Secure medical image encryption using homomorphic techniques</t>
  </si>
  <si>
    <t>Megala, K.; Jayadevi, J.; Keerthika, K.; Manikandan, G.; Vijay Sai, R.; Srinivasan, B.</t>
  </si>
  <si>
    <t>Found in: Scopus; IEEE · DOI: 10.1109/ICAIT61638.2024.10690754</t>
  </si>
  <si>
    <t>The security of private medical data is crucial in the age of digital healthcare, especially when it comes to imaging tests like X-rays and ECGs. In addition to jeopardizing patient privacy, unauthorized access to such data also raises questions regarding the veracity of the data. A strong cryptographic architecture for safely encrypting and decrypting medical imaging data is provided to overcome these issues. The method employs homomorphic encryption, a cutting-edge cryptographic technology, to protect medical image integrity and confidentiality during transmission. The system relies heavily on key creation, and keys are generated securely and efficiently by using the ResNet50 architecture, a deep-learning convolutional neural network (CNN), using which high-level features may be extracted from medical images. These features are then converted into cryptographic keys, which will be shared with the receiver. In the final analysis, it has been discovered that the execution time for processing various images stays within an acceptable range after examining a variety of medical image samples. The aim is to protect patient privacy and data integrity while enabling the safe storage and transfer of sensitive medical data. © 2024 IEEE.</t>
  </si>
  <si>
    <t>R0712</t>
  </si>
  <si>
    <t>Unraveling the Ethical Enigma: Artificial Intelligence in Healthcare</t>
  </si>
  <si>
    <t>Jeyaraman M; Balaji S; Jeyaraman N; Yadav S</t>
  </si>
  <si>
    <t>Found in: PubMed · DOI: 10.7759/cureus.43262 · PMID: 37692617</t>
  </si>
  <si>
    <t>The integration of artificial intelligence (AI) into healthcare promises groundbreaking advancements in patient care, revolutionizing clinical diagnosis, predictive medicine, and decision-making. This transformative technology uses machine learning, natural language processing, and large language models (LLMs) to process and reason like human intelligence. OpenAI's ChatGPT, a sophisticated LLM, holds immense potential in medical practice, research, and education. However, as AI in healthcare gains momentum, it brings forth profound ethical challenges that demand careful consideration. This comprehensive review explores key ethical concerns in the domain, including privacy, transparency, trust, responsibility, bias, and data quality. Protecting patient privacy in data-driven healthcare is crucial, with potential implications for psychological well-being and data sharing. Strategies like homomorphic encryption (HE) and secure multiparty computation (SMPC) are vital to preserving confidentiality. Transparency and trustworthiness of AI systems are essential, particularly in high-risk decision-making scenarios. Explainable AI (XAI) emerges as a critical aspect, ensuring a clear understanding of AI-generated predictions. Cybersecurity becomes a pressing concern as AI's complexity creates vulnerabilities for potential breaches. Determining responsibility in AI-driven outcomes raises important questions, with debates on AI's moral agency and human accountability. Shifting from data ownership to data stewardship enables responsible data management in compliance with regulations. Addressing bias in healthcare data is crucial to avoid AI-driven inequities. Biases present in data collection and algorithm development can perpetuate healthcare disparities. A public-health approach is advocated to address inequalities and promote diversity in AI research and the workforce. Maintaining data quality is imperative in AI applications, with convolutional neural networks showing promise in multi-input/mixed data models, offering a comprehensive patient perspective. In this ever-evolving landscape, it is imperative to adopt a multidimensional approach involving policymakers, developers, healthcare practitioners, and patients to mitigate ethical concerns. By understanding and addressing these challenges, we can harness the full potential of AI in healthcare while ensuring ethical and equitable outcomes.</t>
  </si>
  <si>
    <t>R0713</t>
  </si>
  <si>
    <t>Homomorphic training of 30,000 logistic regression models</t>
  </si>
  <si>
    <t>Bergamaschi, F.; Halevi, S.; Halevi, T.T.; Hunt, H.</t>
  </si>
  <si>
    <t>Found in: Scopus · DOI: 10.1007/978-3-030-21568-2_29</t>
  </si>
  <si>
    <t>In this work, we demonstrate the use the CKKS homomorphic encryption scheme to train a large number of logistic regression models simultaneously, as needed to run a genome-wide association study (GWAS) on encrypted data. Our implementation can train more than 30,000 models (each with four features) in about 20Â min. To that end, we rely on a similar iterative Nesterov procedure to what was used by Kim, Song, Kim, Lee, and Cheon to train a single model [14]. We adapt this method to train many models simultaneously using the SIMD capabilities of the CKKS scheme. We also performed a thorough validation of this iterative method and evaluated its suitability both as a generic method for computing logistic regression models, and specifically for GWAS. © Springer Nature Switzerland AG 2019.</t>
  </si>
  <si>
    <t>R0714</t>
  </si>
  <si>
    <t>Attention Enhanced Hybrid CNN-LSTM Model for ECG-Based Arrhythmia Classification in the Federated Fog Computing Environment</t>
  </si>
  <si>
    <t>Bhuyan, M.G.S.; Hasan, M.A.F.M.R.</t>
  </si>
  <si>
    <t>Found in: Scopus · DOI: 10.22034/aeis.2026.564853.1392</t>
  </si>
  <si>
    <t>Early detection of cardiac rhythm disorders (arrhythmias) poses a significant challenge, especially when using wearable IoT devices that continuously monitor ECG signals. Conventional cloud-based deep learning methods are largely infeasible due to considerable latency and raise serious data privacy concerns by transferring sensitive health information to central servers. In this paper, we propose a novel system using federated fog computing for real-time arrhythmia detection and classification while protecting patient data privacy. This proposed system deploys compact deep learning (DL) models on proximate fog nodes, such as smartphones or home gateways, in close proximity to the user. Instead of sending raw ECG data, models are trained locally, and only model updates are sent to a cloud server for aggregation to avoid data leakage and reduce latency. We create a lightweight hybrid model that combines an attention mechanism with convolutional neural networks (CNNs) and long short-term memory (LSTMs), specifically designed for low-power fog devices. Our proposed model achieves a classification accuracy rate of 99.06, precision of 99.04, recall of 99.06, and a weighted average F1-score of 99.04 on the public MIT-BIH arrhythmia dataset. The experimental results show that the inference latency is significantly reduced to 0.22 ms (cleartext), 1.24 ms (encrypted) per sample/heartbeat inference time, and the encryption throughput reaches 577 beats/s using the homomorphic encryption technique. This approach is a suitable alternative for real-time ECG monitoring within a federated fog computing framework because it strikes a fair balance among speed, accuracy, and privacy. © 2026 by the authors.</t>
  </si>
  <si>
    <t>R0715</t>
  </si>
  <si>
    <t>Blockchain based Security Management of Internet of Medical Things (IoMT) using Homomorphic Encryption using Metaheuristics with a Deep Learning Model</t>
  </si>
  <si>
    <t>Santiago, S.; Prasanna, B.T.; Qureshi, K.; Subash, K.</t>
  </si>
  <si>
    <t>Found in: Scopus · DOI: 10.1109/TQCEBT59414.2024.10545094</t>
  </si>
  <si>
    <t>The introduction of the Internet of Medical Things (IoMT), has drastically transformed the worldwide landscape of healthcare delivery. The proliferation of IoMT devices in healthcare systems brings new issues in guaranteeing the security and privacy of sensitive patient data. We must secure a substantial amount of sensitive data from modification since IoMT is a high-volume, continually developing data domain. Since then, blockchain (BC) technology has been recognised as a distributed ledger that can manage a huge number of intelligent transactions and increase data security at the same time. A comprehensive resource management system may be offered by Blockchain-based security mechanisms with specific customisation and additional levels of authentication and verification. It has functioned brilliantly as a crucial component of the Bitcoin cryptocurrency. This work creates a blockchain-based Internet of Medical Things security management system using homomorphic encryption (HE). Key generation shows how the DOA may enhance cryptographic system security and efficacy. The IoMT-based HE-DOA system provided in this study employs blockchain to secure data exchange and diagnostic models. HE-DOA allows safe data transmission and diagnostic models with BC aid in IoMT. The recommended technique includes data collecting, encryption, and categorization. Blockchains (BCs) securely store data, and IoMT devices are crucial to early data collection. For data encryption, the dingo optimisation algorithm (DOA) may generate the key. Performance experiments and comparison with similar protocols show that the recommended procedure may enhance PSNR, accuracy, and computational time by 19.34%, 95.78%, and 1.887ms, respectively. Comparing HE-DOA to prior studies shows its scalability and durability.  © 2024 IEEE.</t>
  </si>
  <si>
    <t>R0716</t>
  </si>
  <si>
    <t>Privacy-Preserving Vector Similarity Search using Homomorphic Encryption</t>
  </si>
  <si>
    <t>Mathur, S.; Chhabra, A.</t>
  </si>
  <si>
    <t>Found in: Scopus; IEEE · DOI: 10.1109/ICSSAS66150.2025.11080912</t>
  </si>
  <si>
    <t>Vector similarity search is a cornerstone of modern applications in machine learning, information retrieval, and recommendation systems, where identifying the most similar vectors to a query is critical. [10] However, when dealing with sensitive data, ensuring privacy during the search process becomes a significant challenge. This paper presents a framework for Privacy-Preserving Vector Similarity Search using Homomorphic Encryption (HE), enabling secure computation while keeping the data and queries confidential.We leverage the K-Nearest Neighbors (K-NN) algorithm to efficiently retrieve the most relevant vectors, with computations performed directly on encrypted data. By employing homomorphic encryption, we ensure that neither the data owner nor the querying party gains access to the plaintext vectors or query. We address key challenges, including encryption overhead, efficient computation of similarity metrics such as cosine similarity or Euclidean distance in encrypted space, and scalability to high-dimensional data. We analyze a variety of distance functions while evaluating their compatibility with homomorphic encryption.Our experimental results demonstrate that the proposed framework achieves over 90% retrieval accuracy on benchmark datasets, with computation times within practical limits for moderate-dimensional vectors (up to 128 dimensions), thereby validating the feasibility of privacy-preserving similarity search. These findings provide practical insights into designing secure systems while highlighting the unique challenges associated with computation overhead in encrypted domains.This work serves as a foundation for future studies on improving the computational performance of privacy-preserving algorithms. It bridges the gap between secure computation and practical vector similarity search, paving the way for privacy-preserving applications in healthcare, finance, and other sensitive domains. © 2025 IEEE.</t>
  </si>
  <si>
    <t>R0717</t>
  </si>
  <si>
    <t>Early whole-brain CT perfusion for detection of patients at risk for delayed cerebral ischemia after subarachnoid hemorrhage</t>
  </si>
  <si>
    <t>Malinova V; Dolatowski K; Schramm P; Moerer O; Rohde V; Mielke D</t>
  </si>
  <si>
    <t>Found in: PubMed · DOI: 10.3171/2015.6.JNS15720 · PMID: 26684786</t>
  </si>
  <si>
    <t>OBJECT This prospective study investigated the role of whole-brain CT perfusion (CTP) studies in the identification of patients at risk for delayed ischemic neurological deficits (DIND) and of tissue at risk for delayed cerebral infarction (DCI). METHODS Forty-three patients with aneurysmal subarachnoid hemorrhage (aSAH) were included in this study. A CTP study was routinely performed in the early phase (Day 3). The CTP study was repeated in cases of transcranial Doppler sonography (TCD)-measured blood flow velocity (BFV) increase of &gt; 50 cm/sec within 24 hours and/or on Day 7 in patients who were intubated/sedated. RESULTS Early CTP studies revealed perfusion deficits in 14 patients, of whom 10 patients (72%) developed DIND, and 6 of these 10 patients (60%) had DCI. Three of the 14 patients (21%) with early perfusion deficits developed DCI without having had DIND, and the remaining patient (7%) had neither DIND nor DCI. There was a statistically significant correlation between early perfusion deficits and occurrence of DIND and DCI (p &lt; 0.0001). A repeated CTP was performed in 8 patients with a TCD-measured BFV increase &gt; 50 cm/sec within 24 hours, revealing a perfusion deficit in 3 of them (38%). Two of the 3 patients (67%) developed DCI without preceding DIND and 1 patient (33%) had DIND without DCI. In 4 of the 7 patients (57%) who were sedated and/or comatose, additional CTP studies on Day 7 showed perfusion deficits. All 4 patients developed DCI. CONCLUSIONS Whole-brain CTP on Day 3 after aSAH allows early and reliable identification of patients at risk for DIND and tissue at risk for DCI. Additional CTP investigations, guided by TCD-measured BFV increase or persisting coma, do not contribute to information gain.</t>
  </si>
  <si>
    <t>R0718</t>
  </si>
  <si>
    <t>Verifiable Homomorphic Secret Sharing for Low Degree Polynomials</t>
  </si>
  <si>
    <t>Chen, X.; Zhang, L.F.; Liu, J.</t>
  </si>
  <si>
    <t>Found in: Scopus · DOI: 10.1109/TDSC.2022.3194321</t>
  </si>
  <si>
    <t>An (n,m,t)(n,m,t)-homomorphic secret sharing (HSS) scheme for a function family F allows nn clients to share their data x_1, x_nx1,...,xn among mm servers and then distribute the computation of any function F to the servers such that: (i) any tt colluding servers learn no information about the data; (ii) each server is able to compute a partial result and f(x_1, x_n)f(x1,...,xn) can be reconstructed from the servers' partial results. HSS schemes cannot guarantee correct reconstruction, if some servers are malicious and provide wrong partial results. Recently, verifiable HSS (VHSS) has been introduced to achieve an additional property: (iii) any tt colluding servers cannot persuade the client(s) to accept their partial results and reconstruct a wrong value. The property (iii) is usually achieved by the client verifying the servers' partial results. A VHSS scheme is compact if the verification is substantially faster than locally computing f(x_1,x_n)f(x1,...,xn). Of the existing VHSS schemes for polynomials, some are not compact; the others are compact but impose very heavy workload on the servers, even for low degree polynomials (e.g., they are at least 4000× slower than the existing HSS schemes in order to evaluate polynomials of degree ≤ 5≤5, which have many applications such as privacy-preserving machine learning). In this paper, we propose both a single-client VHSS (SVHSS) model and a multi-client VHSS (MVHSS) model. Our SVHSS allows a client to use a secret key to share its data among servers; our MVHSS allows multiple clients to share their data with a public key. For any integers m,t&gt;0m,t&gt;0, we constructed both an (m,t)(m,t)-SVHSS scheme and an (m,t)(m,t)-MVHSS scheme that satisfy the properties of (i)-(iii). Our constructions are based on level-kk homomorphic encryptions. The (m,t)(m,t)-SVHSS and (m,t)(m,t)-MVHSS are compact and allow the computations of degree-dd polynomials for d≤ ((k+1)m-1)/td≤((k+1)m-1)/t and d≤ ((k+1)(m-t)-1)/td≤((k+1)(m-t)-1)/t, respectively. Experiments show that our schemes are much more efficient than the existing compact VHSS for low degree polynomials. For example, to compute polynomials of degree ≤ 5≤5, our MVHSS scheme is at least 420× faster. By applying SVHSS and MVHSS, we may add verifiability to privacy-preserving machine learning (PPML) algorithms. Experiments show that the resulting schemes are at least 52× and 20× faster than the existing verifiable PPML schemes.  © 2004-2012 IEEE.</t>
  </si>
  <si>
    <t>R0719</t>
  </si>
  <si>
    <t>IoT and XAI-driven data aggregation framework for intelligent decision-making in smart healthcare systems</t>
  </si>
  <si>
    <t>Mubarakali, A.; AlJarullah, A.</t>
  </si>
  <si>
    <t>Found in: Scopus · DOI: 10.1016/j.suscom.2025.101179</t>
  </si>
  <si>
    <t>The Internet of Things (IoT) is used in healthcare to monitor patients via wearable sensors to measure different physiological parameters. Smart healthcare IoT-enabled sensors and medical device data collaborate with other smart devices to transfer collected sensitive healthcare data to the central server in a secure manner. However, this collected data suffers from noise, imbalance, privacy concerns, and challenges in real-time analysis. Thus, this work is to develop a novel IoT and Explainable Artificial Intelligence (XAI) based data aggregation framework in smart healthcare systems to enable accurate patient health status and decision-making in real-time. Initially, body-integrated wearable sensors and devices collect physiological data, forming a comprehensive dataset. After that, this data is preprocessed and encrypted using Fully Homomorphic Encryption for secure transmission to the centralized servers. Meaningful features are extracted from the preprocessed data using Autoencoders, which perform effective dimensionality reduction while preserving critical information. Finally, Tabular Network (TabNet) classifies health status and risks with high precision. TabNet is a deep learning model specifically designed for structured data, which efficiently handles tabular data using attention mechanisms for feature selection and decision-making. The framework integrates XAI methods to provide interpretable predictions and actionable insights, ensuring transparency for healthcare providers. As a result, TabNet demonstrates a remarkable accuracy rate of 99.57 %, making it possible for doctors to provide consultations at any time, thereby improving the efficiency of traditional medical systems. © 2025 Elsevier Inc.</t>
  </si>
  <si>
    <t>R0720</t>
  </si>
  <si>
    <t>A Post-Quantum Secure Cloud-Edge-End Collaborative Computing Framework: Design and Verification of a Scalable Architecture for Cross-Industry Privacy-Preserving Computation</t>
  </si>
  <si>
    <t>Song, C.; Xu, J.; Zhang, Y.; Chang, Y.</t>
  </si>
  <si>
    <t>Found in: Scopus; IEEE · DOI: 10.1109/ICAACE69793.2026.11509188</t>
  </si>
  <si>
    <t>Quantum computing threatens data security in cloud-edge-end architectures. We introduce PQ-CEC, a unified framework integrating post-quantum cryptography (Kyber-512, Dilithium-2), privacy-preserving computation (BFV homomorphic encryption, federated learning), and a DQN-based dynamic task offloading strategy to optimize latency and energy. Evaluated on financial and medical datasets, PQ-CEC achieves NIST PQC Level 2 security with merely an 18.7% overhead increase versus RSA. Against existing post-quantum federated learning baselines, it reduces end-to-end latency by 42.3% and sustains 82% throughput across 100 nodes. Furthermore, membership inference attacks fail (51.3% success rate), confirming robust privacy. PQ-CEC ultimately provides a scalable, efficient architecture balancing forward-looking security with cross-industry collaboration.  © 2026 IEEE.</t>
  </si>
  <si>
    <t>R0721</t>
  </si>
  <si>
    <t>Combined analysis of global and compartmental brain volume changes in early multiple sclerosis in clinical practice</t>
  </si>
  <si>
    <t>Pichler, A.; Khalil, M.; Langkammer, C.; Pinter, D.; Bachmaier, G.; Ropele, S.; Fuchs, S.; Enzinger, C.; Fazekas, F.</t>
  </si>
  <si>
    <t>Found in: Scopus; PubMed · DOI: 10.1177/1352458515593405 · PMID: 26163072</t>
  </si>
  <si>
    <t>Background: The extent and clinical significance of brain volume changes in different phases of multiple sclerosis (MS) is still under discussion. Objective: To determine the rate of global and compartmental brain volume changes in patients with a clinically-isolated syndrome (CIS) compared to patients with definite MS, by long-term follow-up and as a predictor of conversion to MS in a routine clinical setting. Methods: We investigated 120 patients (63 CIS and 57 MS) at baseline and after a mean follow-up period of 43 months, including detailed clinical examination and 3-Tesla magnetic resonance imaging (MRI). Our imaging analyses comprised the normalized brain volume (NBV), cortical grey matter (cGMV) and white matter (WMV) volumes using SIENA/X, the percentage of brain volume change (PBVC) using SIENA and the change in the volume of the thalami (TV) and basal ganglia (BGV). We also determined the amount and change of T2-lesion load (T2-LL). Results: At baseline, all the brain volume metrics, except cGMV, were significantly lower; and the T2-LL was significantly higher, in patients with MS rather than CIS. During the follow-up, only the PBVC was higher in MS (p = 0.008) and this difference was driven by converters from CIS to MS. Quartiles of PBVC did not allow us to predict conversion to MS, but were associated with the degree of disability. Conclusions: PBVC is the most sensitive marker of progressing atrophy and a higher PBVC was generally associated with more active disease; however, it did not serve to predict the course of MS on an individual basis, in this study. © The Author(s), 2015.</t>
  </si>
  <si>
    <t>R0722</t>
  </si>
  <si>
    <t>Secure Genotype Imputation Using the Hidden Markov Model with Homomorphic Encryption</t>
  </si>
  <si>
    <t>de Leon, C.S.; Chua, R.B.</t>
  </si>
  <si>
    <t>Found in: Scopus · DOI: 10.1007/978-3-031-44146-2_18</t>
  </si>
  <si>
    <t>Genotype imputation is a statistical technique used to infer missing genotypes using a haplotype reference panel. This is typically computationally intensive so it is outsourced to a cloud. However, there is a privacy risk in outsourcing genomic data to the cloud. We solved this problem by using homomorphic encryption in developing a genotype imputation application using the hidden Markov model (HMM). Our solution performs the training of the HMM parameters locally using the Baum-Welch algorithm and then outsourcing the inference step to the cloud using the Viterbi algorithm. It is the Viterbi algorithm that we implemented homomorphically. We have implemented our solution using EVA, which compiles our Python program into a format that can be compiled with the SEAL homomorphic encryption library. © 2023, The Author(s), under exclusive license to Springer Nature Switzerland AG.</t>
  </si>
  <si>
    <t>R0723</t>
  </si>
  <si>
    <t>Adaptive Federated Learning with Dual Random Masking and Threshold-Based Secure Aggregation for Enhanced Privacy</t>
  </si>
  <si>
    <t>Judah Blesson, W.; Nithin, V.; Vignesh, E.; Vasanth, S.; Priyanka, G.</t>
  </si>
  <si>
    <t>Found in: Scopus · DOI: 10.1109/AECTSD65988.2025.11411408</t>
  </si>
  <si>
    <t>A trilemma concerning an idealized account of federated acquisition (FL) in high-stakes, privacy-sensitive environments limits its potential use in practice due to a trade-off among three key components: data privacy, computational efficiency and theoretical account fidelity. That is, current approaches to federated learning either sacrifice some model performance due to "noise"introduced by differential secret sharing mechanisms or they are computationally intensive, such as with homomorphic encryption. In this paper, we present a novel communication protocol that resolves the trilemma, utilizing adaptive federated learning combined with a dual random masking mechanism that leverages both lightweight chaotic cryptographic random number generators to achieve multiple layers of security, and also utilizes threshold based fix aggregation via Shamir's Secret Sharing to protect against a snooping server. In addition, we demonstrate the efficacy of our proposed approach using a real-world medical imaging problem with a ResNet-18 architecture. Empirical results clearly show that our protocol achieves similar levels of model accuracy to a non-private baseline, provides a strong and statistically demonstrable level of privacy protection, and has low computational overhead. That is, the practical and scalable nature of our approach will enable the first-ever secure and collaborative AI applications in high-stakes, regulated industries. © 2025 IEEE.</t>
  </si>
  <si>
    <t>R0724</t>
  </si>
  <si>
    <t>PPDNN-SoH: privacy-preserving deep neural network for sustainable electric vehicle battery state of health prediction</t>
  </si>
  <si>
    <t>Found in: Scopus · DOI: 10.1007/s00521-025-11675-8</t>
  </si>
  <si>
    <t>In the dynamic landscape of sustainable transportation, addressing privacy concerns in electric vehicles (EVs) battery state of health (SoH) prediction is vital yet challenging. We identify various scenarios highlighting security vulnerabilities from the perspectives of EV owners/users and manufacturers/service providers. To mitigate these concerns, our proposed methodology integrates homomorphic encryption(HE)-based privacy-preserving techniques with a deep neural network (DNN) processing framework to securely handle sensitive user data intrinsic to EV systems, including location, usage patterns, and personal preferences. The proposed HE-enabled Privacy-Preserving Deep Neural Network (PPDNN) Framework can provide privacy in the training and inference phases with training data privacy, model privacy, input privacy, and output privacy. A comprehensive security analysis demonstrates the system’s effectiveness against various attacks throughout the machine learning stages. Experimental validation utilizing the Tenseal package on real battery cell datasets (B0005, B0006, B0007, and B0018) from NASA repository demonstrates the performance of both DNN and PPDNN models. The results show a decreasing mean absolute error (MAE) trend with increasing training epochs, indicating effective learning and convergence. Despite training on encrypted data to ensure privacy, the PPDNN models closely match the performance of DNN models, underscoring the HE-PPDNN framework’s ability to maintain accuracy while preserving privacy effectively. © The Author(s), under exclusive licence to Springer-Verlag London Ltd., part of Springer Nature 2025.</t>
  </si>
  <si>
    <t>R0725</t>
  </si>
  <si>
    <t>Seroprevalence and associated risk factors of mosquito-borne alphaviruses in horses in northern Queensland</t>
  </si>
  <si>
    <t>Gummow, B.; Tan, R.H.H.; Joice, R.K.; Burgess, G.; Picard, J.</t>
  </si>
  <si>
    <t>Found in: Scopus; PubMed · DOI: 10.1111/avj.12711 · PMID: 29944744</t>
  </si>
  <si>
    <t>Objective: To investigate the seroprevalence and associated risk factors of alphaviruses (Ross River virus (RRV), Barmah Forest virus (BFV) and Whataroa virus (WHAV)) in northern Queensland horses. Methods: A cross-sectional study of alphavirus antibodies in horses (n = 287) from 147 properties in northern Queensland from September 2013 to June 2014 was conducted. Owners of sampled horses were interviewed on potential risk factors. Data were analysed for associations using multivariable logistic regression. Results: Antibody titres for RRV were demonstrated in samples from 134 properties (91%; 95% confidence interval (CI) 87–96%); 22 properties (15%) had BFV reactors (95% CI 12–18%) and 2 properties (1.4%) had WHAV reactors (95% CI −0.5–3.2%). The highest seroprevalence of RRV was in the Townsville–Burdekin region (93%; 95% CI 90–96%) followed by the Mackay–Whitsunday (90%; 95% CI 88–98%) and Far North Coast–Tableland (82%; 95% CI 74–90%) regions. No association (P ≤ 0.05) could be shown between any of the viruses and age groups, sexes, annual average temperature, degree of rainfall or proximity to wet environments. An association with reported large numbers of mosquitoes was seen for RRV but not BFV. A significant association between properties in close proximity to poultry and pigs was shown for BFV. Conclusion: RRV is endemic within the horse population of northern Queensland, but horses exhibit few clinical signs and could play a role as amplifying hosts in the tropics. Exposure of horses to BFV is significant in northern Queensland and it should be considered a differential diagnosis for RRV. WHAV warrants further study. © 2018 Australian Veterinary Association</t>
  </si>
  <si>
    <t>R0726</t>
  </si>
  <si>
    <t>Enhancing Healthcare Privacy: A Synergistic Approach with Federated Learning and Blockchain Integration</t>
  </si>
  <si>
    <t>Ramesh, D.; Kumara, D.V.; Leb, C.H.</t>
  </si>
  <si>
    <t>Found in: Scopus · DOI: 10.1007/978-981-96-4148-2_24</t>
  </si>
  <si>
    <t>Preserving privacy in healthcare data is crucial for maintaining patient trust, ensuring data security, and upholding ethical standards. Protecting sensitive medical information from unauthorized access mitigates risks such as identity theft and cybercrime. This paper explores a synergistic approach to safeguarding healthcare data through the integration of Federated Learning, Homomorphic Encryption, and Blockchain technology. Federated Learning enables collaborative model training across multiple healthcare institutions without sharing sensitive data, thereby maintaining patient confidentiality. Homomorphic Encryption complements this by allowing computations to be performed on encrypted data, ensuring privacy throughout the learning process. Blockchain technology further enhances this framework by providing a transparent and immutable ledger of data transactions, reinforcing the integrity and accountability of model updates. Together, these technologies offer a comprehensive solution to privacy challenges in health care, enabling secure data sharing and robust machine learning model development without compromising patient confidentiality. The experimental analysis conducted on the proposed methodology demonstrates its effectiveness and significance in preserving and improving the security of healthcare records in a more reliable and efficient manner. © The Author(s), under exclusive license to Springer Nature Singapore Pte Ltd. 2025.</t>
  </si>
  <si>
    <t>R0727</t>
  </si>
  <si>
    <t>Secured Health Data Transmission Using Lagrange Interpolation and Artificial Neural Network</t>
  </si>
  <si>
    <t>Vidhya, S.; Kalaivani, V.</t>
  </si>
  <si>
    <t>Found in: Scopus · DOI: 10.32604/csse.2023.027724</t>
  </si>
  <si>
    <t>In recent decades, the cloud computing contributes a prominent role in health care sector as the patient health records are transferred and collected using cloud computing services. The doctors have switched to cloud computing as it provides multiple advantageous measures including wide storage space and easy availability without any limitations. This necessitates the medical field to be redesigned by cloud technology to preserve information about patient's critical diseases, electrocardiogram (ECG) reports, and payment details. The proposed work utilizes a hybrid cloud pattern to share Massachusetts Institute of Technology-Beth Israel Hospital (MIT-BIH) resources over the private and public cloud. The stored data are categorized as significant and non-significant by Artificial Neural Networks (ANN). The significant data undergoes encryption by Lagrange key management which automatically generates the key and stores it in the hidden layer. Upon receiving the request from a secondary user, the primary user verifies the authentication of the request and transmits the key via Gmail to the secondary user. Once the key matches the key in the hidden layer, the preserved information will be shared between the users. Due to the enhanced privacy preserving key generation, the proposed work prevents the tracking of keys by malicious users. The outcomes reveal that the introduced work provides improved success rate with reduced computational time. © 2023 Authors. All rights reserved.</t>
  </si>
  <si>
    <t>R0728</t>
  </si>
  <si>
    <t>A Cloud Framework for E-Health Facilitating the Sharing and Analysis of Electronic Health Records Utilizing BGN Cryptosystems</t>
  </si>
  <si>
    <t>Ramu, K.; Sravan Kumar, G.; Kaur, D.P.; Kumar, R.P.R.; Tiwari, R.; Suman, S.K.</t>
  </si>
  <si>
    <t>Found in: Scopus; IEEE · DOI: 10.1109/ICIH67754.2025.11609013</t>
  </si>
  <si>
    <t>This study introduces SEC-EHRSAF, a secure cloud-based Electronic Health Record (EHR) storage framework built on the Boneh-Goh-Nissim (BGN) cryptosystem. The investigation tackles data security issues for public healthcare cloud storage by studying India's Primary Health Centres (PHCs) and Government Hospitals (GHs). SEC-EHRSAF operates in three modes: secure storage of EHRs, controlled data transfer, and privacy-preserving analytics. The system uses Partial Homomorphic Encryption (PHE) as its storage security method alongside re-encryption schemes to facilitate data sharing operations. Performance is optimized using Chinese Remainder Theorem (CRT) and Baby Step-Giant Step (BSGS) algorithms, achieving an execution time of 5.1 ms at 80-bit security - faster than existing schemes. The research proves how cloud computing supports secure Electronic Health Record (EHR) storage alongside fast access and predictive analysis functions. Practical applicability was validated through experiments on Amazon Web Services (AWS) using both mobile and desktop platforms. The framework ensures end-to-end healthcare data protection, enabling secure sharing and analytics that strengthen public health decision-making. © 2025 IEEE.</t>
  </si>
  <si>
    <t>R0729</t>
  </si>
  <si>
    <t>MedSparseFL: Sparse and Privacy-Preserving Federated Learning for Healthcare Applications</t>
  </si>
  <si>
    <t>Zhu, B.; Niu, L.</t>
  </si>
  <si>
    <t>Found in: Scopus · DOI: 10.1080/08839514.2026.2725179</t>
  </si>
  <si>
    <t>Federated learning in healthcare faces significant challenges under non-independent and identically distributed (non-IID) medical data, including communication inefficiency, unstable convergence, and privacy risks. To address these challenges, we propose MedSparseFL, a sparse and privacy-preserving federated learning framework for healthcare applications. On the client side, MedSparseFL introduces a gradient sparsification mechanism using a lightweight Gradient Score Network (GSN) to estimate the importance of gradient updates. High-contribution dimensions are preferentially selected through probabilistic sampling combined with residual feedback, thereby alleviating the adverse effects of non-IID data on global convergence. Before transmission, the sparse gradients are compressed using Count Sketch mapping and protected via sketch-domain obfuscation and pairwise masking to enhance privacy. Additive homomorphic encryption (AHE) is further applied to the compressed sketches to reduce transmission leakage risks while maintaining computational efficiency. On the server side, global gradient estimates are obtained from aggregated sketches, and the inferred sparse support is exploited to suppress anomalous updates. Experiments on two public medical datasets show that MedSparseFL improves classification performance by 2%, reduces communication overhead, and lowers empirical privacy leakage risks under the evaluated attack settings, with privacy protection positioned at the update level under the stated threat model. © 2026 The Author(s). Published with license by Taylor &amp; Francis Group, LLC.</t>
  </si>
  <si>
    <t>R0730</t>
  </si>
  <si>
    <t>A Resilient Federated Learning Framework for LLM Security in Healthcare</t>
  </si>
  <si>
    <t>Annaiah, A.K.M.; Perez, A.; Riggan, M.; Rachakonda, L.</t>
  </si>
  <si>
    <t>Found in: Scopus; IEEE · DOI: 10.1109/iSES67504.2025.00077</t>
  </si>
  <si>
    <t>Federated learning (FL) has emerged as a promising paradigm for preserving data privacy in healthcare applications. However, large language models (LLMs) trained under this framework remain susceptible to various attacks that can expose sensitive data and impair model performance. These attacks include backdoor, model inversion, model inference, etc. All of these attempt to infringe on either the confidentiality or integrity of the LLM, posing serious risks for the healthcare industry. However, several countermeasures have been proposed to mitigate such attacks, yet their efficacy remains uncertain. We have evaluated federated learning (FL) under three progressively stronger defense configurations: (i) no defense, representing a vulnerable baseline; (ii) a standard defense, combining differential privacy (DP), Krum filtering, and the adaptive trust algorithm (ATA); and (iii) a comprehensive defense, which extends the baseline with homomorphic encryption (HE) and secure aggregation (SA). Additionally, we assessed our FL environment to evaluate the effectiveness, efficiency, and overall model health across the three configurations. This analysis demonstrates that our full defense framework provides a robust solution for maintaining data confidentiality and integrity in FL-based LLMs, both of which are critical for deployment in healthcare.  © 2025 IEEE.</t>
  </si>
  <si>
    <t>R0731</t>
  </si>
  <si>
    <t>Cerebral and renal hemodynamics: similarities, differences, and associations with chronic kidney disease and aortic hemodynamics</t>
  </si>
  <si>
    <t>Kosaki, K.; Tarumi, T.; Mori, S.; Matsui, M.; Sugawara, J.; Sugaya, T.; Kuro-o, M.; Saito, C.; Yamagata, K.; Oka, K.; Maeda, S.</t>
  </si>
  <si>
    <t>Found in: Scopus; PubMed · DOI: 10.1038/s41440-022-00944-x · PMID: 35665784</t>
  </si>
  <si>
    <t>Elevated arterial pulsatility is a common risk factor for cerebrovascular disease and chronic kidney disease (CKD), which suggests that the brain and kidneys may have similar hemodynamic profiles. The objectives of this study were twofold: 1) to compare and contrast the cerebral and renal blood flow parameters in adults without CKD (hereafter, non-CKD adults) and CKD patients and 2) to determine the common predictor(s) of cerebral and renal hemodynamics among pressure pulsatility and several cardiovascular risk factors. In 110 non-CKD adults and 66 CKD patients, cerebral and renal blood flow velocity (BFV) were measured by transcranial Doppler and Duplex ultrasonography, respectively. Pulsatile hemodynamics were assessed by the pulsatility (PI) and resistive (RI) indices. Aortic pulse pressure was measured by tonometry. Compared with non-CKD adults, CKD patients showed greater pulsatility of the BFV (i.e., systolic minus diastolic BFV), PI, and RI in the kidneys but not the brain. However, the cerebral and renal PI and RI values were strongly correlated in both non-CKD adults (both PI and RI values: rs = 0.695) and CKD patients (both PI and RI values: rs = 0.640) (all P &lt; 0.001). Multiple linear regression analysis further demonstrated that the cerebral and renal PI and RI associations remained significant after adjustment for potential covariates (e.g., age, sex, the presence of CKD). The aortic pulse pressure was a significant predictor for both cerebral and renal PI and RI values. Collectively, our findings suggest that CKD patients have higher renal flow pulsatility, which is strongly and independently associated with cerebral flow pulsatility and aortic hemodynamics. © 2022, The Author(s), under exclusive licence to The Japanese Society of Hypertension.</t>
  </si>
  <si>
    <t>R0732</t>
  </si>
  <si>
    <t>Analysis of Data Privacy Issues and Solutions for Human Activity Recognition System in the Era of Cloud Computing</t>
  </si>
  <si>
    <t>Joshi, B.K.; Joshi, B.; Mishra, A.; Katiyar, V.</t>
  </si>
  <si>
    <t>Found in: Scopus; IEEE · DOI: 10.1109/ICCCA66364.2025.11325467</t>
  </si>
  <si>
    <t>Human Activity Recognition (HAR) systems, which mainly use sensors to generate data and predict the results using machine learning, are increasingly being used in healthcare, security, and smart home devices. These devices are using the processing power and storage offered by cloud service providers, which exposes them to data privacy risks such as data breaches, re-identification, and surveillance. This paper investigates key privacy challenges in cloud-based HAR systems and discusses the effectiveness of solutions like federated learning, homomorphic encryption, and differential privacy. It analyzes the existing research approaches used by academicians and leading cloud service providers and identifies that adoption of these solutions is essential not just for compliance with regulatory standards but also for maintaining user trust. A HAR system needs to keep a balance between providing efficiency and maintaining the data privacy of the user. © 2025 IEEE.</t>
  </si>
  <si>
    <t>R0733</t>
  </si>
  <si>
    <t>Privacy-Preserving Machine Learning (PPML) Inference for Clinically Actionable Models</t>
  </si>
  <si>
    <t>Balaban, B.; Magara, S.S.; Yilgor, C.; Yucekul, A.; Obeid, I.; Pizones, J.; Kleinstueck, F.; Perez-Grueso, F.J.S.; Pellise, F.; Alanay, A.; Savas, E.; Bagci, C.; Sezerman, O.U.</t>
  </si>
  <si>
    <t>Found in: Scopus; IEEE · DOI: 10.1109/ACCESS.2025.3540261</t>
  </si>
  <si>
    <t>Machine learning (ML) refers to algorithms (often models) that are learned directly from data, germane to past experience. As algorithms have constantly been evolving with the exponential increase of computing power and vastly generated data, privacy of algorithms as well as of data becomes extremely important due to regulations and IP rights. Therefore, it is vital to address privacy and security concerns of both data and model together with other performance metrics when commercializing machine learning models. Our aim is to show that privacy-preserving machine learning inference methods can safeguard the intellectual property of models and prevent plaintext models from disclosing information about the sensitive data employed in training these ML models. Additionally, these methods protect the confidentiality of model users' sensitive patient data. We accomplish this by performing a security analysis to determine an appropriate query limit for each user, using the European Spine Study Group's (ESSG) adult spinal deformity dataset. We implement a privacy-preserving tree-based machine learning inference and run two security scenarios (scenario A and scenario B) containing four parts with progressively increasing the number of synthetic data points, which are used to enhance the accuracy of the attacker's substitute model. A target model is generated with particular operation site(s) in each scenario, and substitute models are built with nine-time threefold cross-validation using the XGBoost algorithm with the remaining sites' data to assess the security of the target model. First, we create box plots of the test sets' accuracy, sensitivity, precision, and F-score metrics to compare the substitute models' performance with the target model. Second, we compare the gain values of the target and substitute models' features. Third, we provide an in-depth analysis to check the inclusion of target model split points in substitute models with a heatmap. Finally, we compare the outputs of public and privacy-preserving models and report intermediate timing results. The privacy-preserving XGBoost model results are identical to the original plaintext model in the aforementioned two scenarios in terms of prediction accuracy. The differences between performance metrics of best-performing substitute models and target models are 0.27, 0.18, 0.25, 0.26 for scenario A, and 0.04, 0, 0.04, and 0.03 for scenario B for accuracy, sensitivity, precision, and F-score, respectively. The differences between target model accuracy and the mean accuracy values of models in each scenario on the substitute models' test dataset are 0.38 for scenario A and 0.14 for scenario B. Based on our findings, we conclude that machine learning models (i.e., our target models) may contribute to the advancement in the field of application where they are deployed. Ensuring the security of both the model and the user data enables the protection of the intellectual property of ML models, preventing the leakage of sensitive information used in training and model users' data.INDEX TERMS Homomorphic encryption, privacy-preserving machine learning, XGBoost.  © 2013 IEEE.</t>
  </si>
  <si>
    <t>R0734</t>
  </si>
  <si>
    <t>HERB+: Evolving an Industrial-Strength Privacy-Preserving Machine Learning Framework</t>
  </si>
  <si>
    <t>Liao, Q.; Santos, A.C.; Cabral, B.; Fernandes, J.P.; Lourenco, N.</t>
  </si>
  <si>
    <t>Found in: Scopus; IEEE · DOI: 10.1109/PRDC55274.2022.00035</t>
  </si>
  <si>
    <t>Supervised machine learning does not hold without data. However, the needed data can be distributed in different locations and are non-shareable under privacy constraints. Methods to circumvent disclosure restrictions in collaborative machine learning are in strong demand. Thus, we propose HERB+ (Homomorphic Encryption for Random forest and gradient Boosting plus), a confidential learning framework for tree-based models under the scenario of vertically dispersed data. While previous related work focused on a specific algorithm, this work presents a wide variety of privacy-preserved and distributed tree-based algorithms (i.e., Decision Tree, Random Forest, and Gradient Boosting Decision Trees for both classification and regression tasks). HERB+ provides the most detailed and general discussions on using Fully Homomorphic Encryption for computing distributed tree-based algorithms during the training process. Our experiments show that although the learning protocols' efficiencies are not optimal, the predictive performance and privacy are preserved. The results imply that practitioners can overcome the barrier of data sharing and produce tree-based models for data-heavy domains with strict privacy requirements, such as Health Prediction, Fraud Detection, and Risk Evaluation.  © 2022 IEEE.</t>
  </si>
  <si>
    <t>R0735</t>
  </si>
  <si>
    <t>Emerging Security Mechanisms for Medical Cyber Physical Systems</t>
  </si>
  <si>
    <t>Kocabas, O.; Soyata, T.; Aktas, M.K.</t>
  </si>
  <si>
    <t>Found in: Scopus · DOI: 10.1109/TCBB.2016.2520933</t>
  </si>
  <si>
    <t>The following decade will witness a surge in remote health-monitoring systems that are based on body-worn monitoring devices. These Medical Cyber Physical Systems (MCPS) will be capable of transmitting the acquired data to a private or public cloud for storage and processing. Machine learning algorithms running in the cloud and processing this data can provide decision support to healthcare professionals. There is no doubt that the security and privacy of the medical data is one of the most important concerns in designing an MCPS. In this paper, we depict the general architecture of an MCPS consisting of four layers: data acquisition, data aggregation, cloud processing, and action. Due to the differences in hardware and communication capabilities of each layer, different encryption schemes must be used to guarantee data privacy within that layer. We survey conventional and emerging encryption schemes based on their ability to provide secure storage, data sharing, and secure computation. Our detailed experimental evaluation of each scheme shows that while the emerging encryption schemes enable exciting new features such as secure sharing and secure computation, they introduce several orders-of-magnitude computational and storage overhead. We conclude our paper by outlining future research directions to improve the usability of the emerging encryption schemes in an MCPS. © 2004-2012 IEEE.</t>
  </si>
  <si>
    <t>R0736</t>
  </si>
  <si>
    <t>FGDN: A Federated Graph Convolutional Network framework for multi-site major depression disorder diagnosis</t>
  </si>
  <si>
    <t>Liu, C.; Shan, S.; Ding, X.; Wang, H.; Jiao, Z.</t>
  </si>
  <si>
    <t>Found in: Scopus; PubMed · DOI: 10.1016/j.compmedimag.2025.102612 · PMID: 40795658</t>
  </si>
  <si>
    <t>The vast amount of healthcare data is characterized by its diversity, dynamic nature, and large scale. It is a challenge that directly training a Graph Convolutional Neural Network (GCN) in a multi-site dataset poses to protecting the privacy of Major Depressive Disorder (MDD) patients. Federated learning enables the training of a global model without the need to share data. However, some previous methods overlook the potential value of non-image information, such as gender, age, education years, and site information. Multi-site datasets often exhibit the problem of Non-Independent and Identically Distributed (Non-IID) data, which leads to the loss of edge information across local models, ultimately weakening the generalization ability of the federated learning models. Accordingly, we propose a Federated Graph Convolutional Network framework with Dual Graph Attention Network (FGDN) for multi-site MDD diagnosis. Specifically, both linear and nonlinear information are extracted from the functional connectivity matrix via different correlation measures. A Dual Graph Attention Network (DGAT) module is designed to capture complementary information between these two types. Then a Federated Graph Convolutional Network (FedGCN) module is introduced to address the issue of missing edge information across local models. It allows each local model to receive aggregated feature information from neighboring nodes of other local models. Additionally, the privacy of patients is protected with fully homomorphic encryption. The experimental results demonstrate that FGDN achieves a classification accuracy of 61.8% on 841 subjects from three different sites, and outperforms some recent centralized learning frameworks and federated learning frameworks. This proves it fully mines the feature information in brain functional connectivity, alleviates the information loss caused by Non-IID data, and secures the healthcare data. © 2025 Elsevier Ltd</t>
  </si>
  <si>
    <t>R0737</t>
  </si>
  <si>
    <t>Private detection of relatives in forensic genomics using homomorphic encryption</t>
  </si>
  <si>
    <t>de Souza, F.D.M.; de Lassus, H.; Cammarota, R.</t>
  </si>
  <si>
    <t>Found in: Scopus; PubMed · DOI: 10.1186/s12920-024-02037-9 · PMID: 39563334</t>
  </si>
  <si>
    <t>Background: Forensic analysis heavily relies on DNA analysis techniques, notably autosomal Single Nucleotide Polymorphisms (SNPs), to expedite the identification of unknown suspects through genomic database searches. However, the uniqueness of an individual’s genome sequence designates it as Personal Identifiable Information (PII), subjecting it to stringent privacy regulations that can impede data access and analysis, as well as restrict the parties allowed to handle the data. Homomorphic Encryption (HE) emerges as a promising solution, enabling the execution of complex functions on encrypted data without the need for decryption. HE not only permits the processing of PII as soon as it is collected and encrypted, such as at a crime scene, but also expands the potential for data processing by multiple entities and artificial intelligence services. Methods: This study introduces HE-based privacy-preserving methods for SNP DNA analysis, offering a means to compute kinship scores for a set of genome queries while meticulously preserving data privacy. We present three distinct approaches, including one unsupervised and two supervised methods, all of which demonstrated exceptional performance in the iDASH 2023 Track 1 competition. Results: Our HE-based methods can rapidly predict 400 kinship scores from an encrypted database containing 2000 entries within seconds, capitalizing on advanced technologies like Intel AVX vector extensions, Intel HEXL, and Microsoft SEAL HE libraries. Crucially, all three methods achieve remarkable accuracy levels (ranging from 96% to 100%), as evaluated by the auROC score metric, while maintaining robust 128-bit security. These findings underscore the transformative potential of HE in both safeguarding genomic data privacy and streamlining precise DNA analysis. Conclusions: Results demonstrate that HE-based solutions can be computationally practical to protect genomic privacy during screening of candidate matches for further genealogy analysis in Forensic Genetic Genealogy (FGG). © The Author(s) 2024.</t>
  </si>
  <si>
    <t>R0738</t>
  </si>
  <si>
    <t>Anonymization techniques for privacy-preserving data publishing: a comprehensive survey</t>
  </si>
  <si>
    <t>Smadi, S.; Karim, N.A.; Kanaker, H.; Abdulraheem, W.K.</t>
  </si>
  <si>
    <t>Found in: Scopus · DOI: 10.11591/eei.v15i2.11224</t>
  </si>
  <si>
    <t>Data-driven innovation in healthcare, finance, and smart cities increasingly depends on sharing rich datasets, but such sharing raises severe privacy risks and regulatory challenges. Privacy-preserving data publishing (PPDP) seeks to release useful data while preventing re-identification and inference attacks. This paper presents a comprehensive survey of anonymization techniques for PPDP, spanning traditional models (k-anonymity, l-diversity, t-closeness, and pseudonymization) and modern approaches (differential privacy (DP), synthetic data generation, federated learning (FL), secure multi-party computation (SMPC), homomorphic encryption (HE), blockchain-based schemes, and quantum-safe cryptography). We propose a taxonomy that organizes these methods by privacy guarantees, data utility, scalability, and computational cost, and we provide a comparative analysis of their strengths, limitations, and typical application domains. The survey also reviews legal and ethical frameworks, with particular attention to general data protection regulation GDPR, health insurance portability and accountability act (HIPAA), and related regulations, and highlights emerging trends such as artificial intelligence (AI-driven) anonymization and privacy risks from large language models (LLMs) and quantum computing. Overall, the study shows that various techniques fail to protect all data scenarios so we need to create hybrid systems which will provide explainable anonymization solutions at different scales to protect privacy and maintain useful data utility. © 2026 Institute of Advanced Engineering and Science. All rights reserved.</t>
  </si>
  <si>
    <t>R0739</t>
  </si>
  <si>
    <t>WT-HE Net: a multimodal deep learning framework integrating whirling triangle-based geometric texture features and homomorphic encryption for brain tumor analysis</t>
  </si>
  <si>
    <t>Dutta, S.; Dwivedi, A.D.</t>
  </si>
  <si>
    <t>Found in: Scopus · DOI: 10.7717/peerj-cs.3872</t>
  </si>
  <si>
    <t>Accurate and secure classification of brain tumors from magnetic resonance imaging remains a critical problem in medical image analysis. Deep convolutional models deliver strong predictive performance but often require large, diverse datasets and offer limited interpretability. At the same time, radiologists face significant diagnostic challenges due to subtle textural variations, heterogeneous tumor morphology, and restricted access to multiparametric imaging. These clinical difficulties are further compounded by strict privacy regulations that limit the sharing of patient images. To address these issues, we propose a hybrid framework that combines mathematically defined Whirling Triangle partitioning for localized handcrafted feature extraction, convolutional neural network-based image embeddings, and a Cheon-Kim-Kim-Song homomorphic encryption-enabled inference pipeline demonstrating secure predictions without revealing plaintext data. The Whirling Triangle decomposition produces multi-scale triangular subregions from which we extract intensity, gradient, and textural descriptors (including Local Binary Patterns and Gray-Level Co-occurrence Matrix), which are fused with deep image features to produce a compact, discriminative representation. Experiments were conducted on a dataset of 7,023 T1-weighted contrast-enhanced axial brain tumor Magnetic Resonance Imaging (MRI) images, which shows 98.0% accuracy in the plaintext setting and 96.7% accuracy under encrypted inference. Copyright 2026 Dutta and Dwivedi Distributed under Creative Commons CC-BY 4.0</t>
  </si>
  <si>
    <t>R0740</t>
  </si>
  <si>
    <t>FeSEC: A Secure and Efficient Federated Learning Framework for Medical Imaging</t>
  </si>
  <si>
    <t>Asad M; Yuan Y</t>
  </si>
  <si>
    <t>Found in: PubMed · DOI: 10.1117/12.3005993 · PMID: 41459330</t>
  </si>
  <si>
    <t>Federated learning (FL) has attracted increasing attention in medical imaging as an alternative to centralized data sharing that can leverage a large amount of data from different hospitals to improve the generalization of machine learning models. However, while FL can provide certain protection for patient privacy by retaining data in local client hospitals, data privacy could still be compromised when exchanging model parameters between local clients and servers. Meanwhile, although efficient training strategies are actively investigated, significant communication overhead remains a major challenge in FL as it requires substantial model updates between clients and servers. This becomes more prominent when more complex models, such as transformers, are introduced in medical imaging and when geographically distinct collaborators are involved in FL studies for global health problems. To this end, we proposed FeSEC, a secure and efficient FL framework, to address these two challenges. In particular, we firstly consider a sparse compression algorithm for efficient communication among the distributed hospitals, and then we ingrate the homomorphic encryption with differential privacy to secure data privacy during model exchanges. Experiments on the task of COVID-19 detection show the proposed FeSEC substantially improves the accuracy and privacy preservation of FL models compared to FedAvg with less than 10% of communication cost.</t>
  </si>
  <si>
    <t>R0741</t>
  </si>
  <si>
    <t>A Secured Artificial Intelligence (AI) Assisted Personal Data Prediction and Leakage Prevention System Using Deep Learning Logic</t>
  </si>
  <si>
    <t>Divyapriya, S.; Neelaveni, P.; Sankar, R.; Mythily, V.; Lakshmi, C.S.; Vani, N.</t>
  </si>
  <si>
    <t>Found in: Scopus; IEEE · DOI: 10.1109/ICECONF65644.2025.11379512</t>
  </si>
  <si>
    <t>Securing personal data against prediction misuse and leakage threats has emerged as a pressing concern in the era of artificial intelligence. The paper suggests an AI-Assisted Secured Personal Data Prediction and Leakage Prevention System, which combines a hybrid CapsuleNetxGBoost-based system with federated privacy/differentiated privacy models. Data preprocessing includes sanitization, anonymization and synthetic data generation to make sure privacy is preserved. The CapsuleNet extracts hierarchical relationships in sensitive attributes, whereas XGBoost narrows down predictive decision-making. In order to protect against attacks further, adversarial training and immutable logging based on blockchain is added, and homomorphic encryption is also used to process queries securely. The experimental results indicate that the given method is notably superior to traditional deep learning models. In particular, it had a prediction accuracy of 98.6 (a higher score than CNN, 93.5), a precision of 98.3, a recall of 98.8, and F1-score of 98.5. Strongness against adversarial examples and leakage probability were higher than 94 and 2.1 respectively under a rigorous privacy constraint (ϵ=1.2). The Data Leakage Risk Index (DLRI), which was assisted by AI, also allowed identifying insider threats and abnormal access patterns in a dynamic way. Finally, the proposed model is not only more predictive accurate, but also resists leakage and adversarial exploitation. It has had wide applications in sensitive areas like health care, financial services and e-governance. Future studies will be aimed at extending the architecture by adding quantum-resistant-based encryption, reinforcement-based adaptive access control, as well as extending the DLRI architecture to multi-cloud and IoT-based settings. This paper takes the secure AI frameworks a step further to predictive intelligence and privacy protection. © 2025 IEEE.</t>
  </si>
  <si>
    <t>R0742</t>
  </si>
  <si>
    <t>Advancing Privacy and Accuracy with Federated Learning and Homomorphic Encryption</t>
  </si>
  <si>
    <t>Phan, Q.B.; Nguyen, D.C.; Doan, T.T.; Nguyen, T.T.</t>
  </si>
  <si>
    <t>Found in: Scopus; IEEE · DOI: 10.1109/TETCI.2026.3670702</t>
  </si>
  <si>
    <t>This paper presents a novel theoretical framework integrating federated learning (FL) with homomorphic encryption (HE) through the Cheon-Kim-Kim-Song (CKKS) algorithm to address fundamental privacy-accuracy trade-offs in distributed machine learning. Our primary contribution is a Taylor-based diagonal Hessian approximation method that enables efficient gradient computation under encryption constraints while maintaining provable convergence guarantees. The framework incorporates Byzantine-resilient client selection mechanisms and establishes formal security bounds against adversarial attacks. Experimental validation across Fashion-MNIST, medical X-ray, and Non-IID CIFAR-10 datasets demonstrates competitive accuracies (92.5-97.3% ) with superior attack resilience, limiting accuracy degradation to 2-5% under intensive poisoning scenarios compared to 15-25% in conventional approaches. The theoretical foundations and empirical results establish the practical viability of privacy-preserving FL for real-world deployment in sensitive domains.  © 2017 IEEE.</t>
  </si>
  <si>
    <t>R0743</t>
  </si>
  <si>
    <t>Exploring the future of privacy-preserving heart disease prediction: a fully homomorphic encryption-driven logistic regression approach</t>
  </si>
  <si>
    <t>Naresh, V.S.; Reddi, S.</t>
  </si>
  <si>
    <t>Found in: Scopus · DOI: 10.1186/s40537-025-01098-6</t>
  </si>
  <si>
    <t>Homomorphic Encryption (HE) offers a revolutionary cryptographic approach to safeguarding privacy in machine learning (ML), especially in processing sensitive healthcare data. This study aims to address the critical issue of privacy-preserving heart disease prediction by developing a novel Homomorphic Encryption-Driven Logistic Regression (HELR) framework, leveraging the Cheon-Kim-Kim-Song (CKKS) encryption scheme. The framework was implemented using the TenSeal and Torch libraries and evaluated on encrypted heart disease datasets with varying polynomial degrees. The study’s design involved applying the HELR model to three healthcare datasets and comparing its performance with Support Vector Machines (SVM). The major findings revealed that the HELR model achieved high accuracy, within 1% to 3% of its non-HE counterpart, while maintaining competitive computational efficiency. Furthermore, the HELR framework demonstrated robust security against various privacy attacks, including poisoning, evasion, member inference, model inversion, and model extraction, at different ML stages. Notably, the HELR model outperformed SVM in terms of accuracy, showcasing its effectiveness for secure healthcare predictions. The results suggest that HE-enhanced models can offer secure, accurate predictions, paving the way for advancements in privacy-preserving healthcare analytics. However, the study identified limitations related to the computational overhead introduced by HE and the scalability of the model for large datasets. Future work will focus on optimizing encryption techniques and exploring parallel processing methods to address these challenges. © The Author(s) 2025.</t>
  </si>
  <si>
    <t>R0744</t>
  </si>
  <si>
    <t>Secure Transfer Learning for Machine Fault Diagnosis Under Different Operating Conditions</t>
  </si>
  <si>
    <t>Jin, C.; Ragab, M.; Aung, K.M.M.</t>
  </si>
  <si>
    <t>Found in: Scopus · DOI: 10.1007/978-3-030-62576-4_14</t>
  </si>
  <si>
    <t>The success of deep learning is largely due to the availability of big training data nowadays. However, data privacy could be a big concern, especially when the training or inference is done on untrusted third-party servers. Fully Homomorphic Encryption (FHE) is a powerful cryptography technique that enables computation on encrypted data in the absence of decryption key, thus could protect data privacy in an outsourced computation environment. However, due to its large performance and resource overheads, current applications of FHE to deep learning are still limited to very simple tasks. In this paper, we first propose a neural network training framework on FHE encrypted data, namely PrivGD. PrivGD leverages the Single-Instruction Multiple-Data (SIMD) packing feature of FHE to efficiently implement the Gradient Descent algorithm in the encrypted domain. In particular, PrivGD is the first to support training a multi-class classification network with double-precision float-point weights through approximated Softmax function in FHE, which has never been done before to the best of our knowledge. Then, we show how to apply FHE with transfer learning for more complicated real-world applications. We consider outsourced diagnosis services, as with the Machine-Learning-as-a-Service paradigm, for multi-class machine faults on machine sensor datasets under different operating conditions. As directly applying the source model trained on the source dataset (collected from source operating condition) to the target dataset (collect from the target operating condition) will lead to degraded diagnosis accuracy, we propose to transfer the source model to the target domain by retraining (fine-tuning) the classifier of the source model with data from the target domain. The target domain data is encrypted with FHE so that its privacy is preserved during the transfer learning process. We implement the secure transfer learning process with our PrivGD framework. Experiments results show that by fine-tuning a source model for fewer than 10 epochs with encrypted target domain data, the model can converge to an increased diagnosis accuracy by up to 20%, while the whole fine-tuning process takes approximate 3.85 h on our commodity server. © 2020, Springer Nature Switzerland AG.</t>
  </si>
  <si>
    <t>R0745</t>
  </si>
  <si>
    <t>Privacy Threats in Machine Learning: Challenges and Comparisons across Traditional and Federated Frameworks</t>
  </si>
  <si>
    <t>Sasirekha, B.; Gunavathi, C.</t>
  </si>
  <si>
    <t>Found in: Scopus · DOI: 10.1080/19361610.2025.2562401</t>
  </si>
  <si>
    <t>Privacy-Preserving Machine Learning is a method for preventing data leakage in machine learning algorithms. This method provides different techniques to train ML model collaboratively without revealing private information. It involves protecting against malicious attacks aimed at obtaining confidential information and causing breaches in data. Unlike regular ML, FL trains locally and does not send data to a server. This review paper examines the privacy risk associated with both traditional ML and FL. We categorize the attacks based on data, model and communication vectors, analyze the effects in privacy sensitive domains such as healthcare. Additionally, it also evaluates advanced defence strategies including Homomorphic Encryption, Differential Privacy, Secure Multi-Party Computation, and anonymization, discussing their effectiveness, scalability and trade offs between privacy and model utility. Future research directions include integrating adaptive privacy methods, using explainable AI (XAI) to improve model transparency, and creating strong privacy frameworks for edge computing and IoT applications. Finally, this paper gives an in-depth look at how privacy problems might be addressed in ML and FL, assuring the ethical use of these technologies in real-world applications. © 2025 Taylor &amp; Francis Group, LLC.</t>
  </si>
  <si>
    <t>R0746</t>
  </si>
  <si>
    <t>Extension of physical activity recognition with 3D CNN using encrypted multiple sensory data to federated learning based on multi-key homomorphic encryption</t>
  </si>
  <si>
    <t>Pham, C.-H.; Huynh-The, T.; Sedgh-Gooya, E.; El-Bouz, M.; Alfalou, A.</t>
  </si>
  <si>
    <t>Found in: Scopus; PubMed · DOI: 10.1016/j.cmpb.2023.107854 · PMID: 37865060</t>
  </si>
  <si>
    <t>Background and Objective: The Internet of medical things is enhancing smart healthcare services using physical wearable sensor-based devices connected to the Internet. Machine learning techniques play an important role in the core of these services for remotely consulting patients thanks to the pattern recognition from on-device data, which is transferred to the central servers from local devices. However, transferring personally identifiable information data to servers could become a source for hackers to steal from, manipulate and perform illegal activities. Federated learning is a new branch of machine learning that creates directly training models from on-device data and aggregates these learned models on the servers without centralized data. Another way to protect data confidentiality on computer systems is data encryption. Data encryption transforms data into another form that only users with authority to a decryption key can read. In this work, we propose a novel method enabling preservation of client privacy and protection of client biomedical data from illegal hackers while transmitting through the Internet. Methods: We propose a method applying 3-dimensional convolutional neural networks for human activity recognition using multiple sensory data. In order to protect the data, we apply the bitwise XOR operator encryption technique. Then, we extend our 3-dimensional convolutional neural network methods to both traditional federated learning and the federated learning based on multi-key homomorphic encryption using the proposed encrypting data. Results: Based on leave-one-out-cross-validation, the 3-dimensional method obtains an accuracy of 94.6% and of 94.9% (without data encrypting and without federated learning) tested on two different benchmarked datasets, Sport and DaLiAC respectively. Accuracy is decreased slightly to 89.5% (from 94.6% of the baseline) when we use the proposed encrypting data method. However, the encryption-data-based method still has a potential result compared to the state-of-the-art which only uses raw data. In addition, the proposed full federated learning scheme of this work shows that illegal persons who somehow can get the trained model transmitted via networks cannot infer the private result. Conclusions: This novel method for sensory data representation which translates temporal and frequency bio-signal values to voxel intensities that can encode 3-dimensional activity images. Secondly, the proposed 3-dimensional convolutional neural network methods outperform other deep-learning-based human activity recognition approaches. Finally, extensive experiments show the proposed data-encrypted federated learning approach can achieve feasibility in terms of efficiency in privacy preservation. © 2023 Elsevier B.V.</t>
  </si>
  <si>
    <t>R0747</t>
  </si>
  <si>
    <t>SecureLR: Secure Logistic Regression Model via a Hybrid Cryptographic Protocol</t>
  </si>
  <si>
    <t>Jiang, Y.; Hamer, J.; Wang, C.; Jiang, X.; Kim, M.; Song, Y.; Xia, Y.; Mohammed, N.; Sadat, M.N.; Wang, S.</t>
  </si>
  <si>
    <t>Found in: Scopus; PubMed; IEEE · DOI: 10.1109/TCBB.2018.2833463 · PMID: 29994005</t>
  </si>
  <si>
    <t>Machine learning applications are intensively utilized in various science fields, and increasingly the biomedical and healthcare sector. Applying predictive modeling to biomedical data introduces privacy and security concerns requiring additional protection to prevent accidental disclosure or leakage of sensitive patient information. Significant advancements in secure computing methods have emerged in recent years, however, many of which require substantial computational and/or communication overheads, which might hinder their adoption in biomedical applications. In this work, we propose SecureLR, a novel framework allowing researchers to leverage both the computational and storage capacity of Public Cloud Servers to conduct learning and predictions on biomedical data without compromising data security or efficiency. Our model builds upon homomorphic encryption methodologies with hardware-based security reinforcement through Software Guard Extensions (SGX), and our implementation demonstrates a practical hybrid cryptographic solution to address important concerns in conducting machine learning with public clouds. © 2004-2012 IEEE.</t>
  </si>
  <si>
    <t>R0748</t>
  </si>
  <si>
    <t>MeDCO2: Privacy-preserving cohort exploration and analysis</t>
  </si>
  <si>
    <t>Froelicher, D.; Misbach, M.; Troncoso-Pastoriza, J.R.; Raisaro, J.L.; Hubaux, J.-P.</t>
  </si>
  <si>
    <t>Found in: Scopus; PubMed · DOI: 10.3233/SHTI200174 · PMID: 32570398</t>
  </si>
  <si>
    <t>Medical studies are usually time consuming, cumbersome and extremely costly to perform, and for exploratory research, their results are also difficult to predict a priori. This is particularly the case for rare diseases, for which finding enough patients is difficult and usually requires an international-scale research. In this case, the process can be even more difficult due to the heterogeneity of data-protection regulations, making the data sharing process particularly hard. In this short paper, we propose MedCo2 (pronounced MedCo square), a distributed system that streamlines the process of a medical study by bridging and enabling both data discovery and data analysis among multiple databases, while protecting data confidentiality and patients' privacy. MedCo2 relies on interactive protocols, homomorphic encryption and differential privacy. It enables the privacy-preserving computations of multiple statistics such as cosine similarity and variance, and the training of machine learning models, on patients that are obliviously selected according to specific criteria among multiple databases. © 2020 European Federation for Medical Informatics (EFMI) and IOS Press.</t>
  </si>
  <si>
    <t>R0749</t>
  </si>
  <si>
    <t>Privacy-Preserving Swarm Learning Based on Homomorphic Encryption</t>
  </si>
  <si>
    <t>Chen, L.; Fu, S.; Lin, L.; Luo, Y.; Zhao, W.</t>
  </si>
  <si>
    <t>Found in: Scopus · DOI: 10.1007/978-3-030-95391-1_32</t>
  </si>
  <si>
    <t>Swarm learning is a decentralized machine learning method that combines edge computing, blockchain based point-to-point network and coordination while maintaining consistency without the need for a central coordinator for data integration between different medical institutions. Swarm learning solves problems of federated learning that the model parameters are still handled by the central custodian and star structure reduces fault tolerance etc. Although Swarm learning allows fair, transparent and highly regulated shared data analysis on the premise of meeting the privacy law, there will be inference attacks targeting shared model information between nodes, which will lead to privacy disclosure. Therefore, we propose the privacy-preserving Swarm learning scheme based on homomorphic encryption: we use the threshold Paillier cryptosystem to encrypt the shared local model information without affecting the accuracy of the model. In addition, we design a partial decryption algorithm to prevent privacy disclosure caused by aggregation model information. Experiments show that our scheme can guarantee strong privacy and has negligible influence on the accuracy of the final model. © 2022, Springer Nature Switzerland AG.</t>
  </si>
  <si>
    <t>R0750</t>
  </si>
  <si>
    <t>Toward Quantum-Enhanced Privacy in Medical Data Analytics: A Framework for QOTP-based Secure Computation</t>
  </si>
  <si>
    <t>Gohin, B.; Rao, M.R.; Rao, K.L.; Chanamala, S.; Sunitha, R.; Swarupa, Y.S.</t>
  </si>
  <si>
    <t>Found in: Scopus; IEEE · DOI: 10.1109/ICPCSN68523.2026.11544001</t>
  </si>
  <si>
    <t>As quantum computing advances toward practical deployment, healthcare faces a dual challenge: enabling powerful computational analytics while guaranteeing rigorous patient data privacy. Existing classical approaches, particularly Fully Homomorphic Encryption (FHE), suffer from prohibitive performance costs and computational security assumptions vulnerable to quantum adversaries. This paper presents QPrivMed, a novel privacy-preserving framework for medical data computation to Noisy Intermediate-Scale Quantum (NISQ) devices. QPrivMed couples the Quantum One-Time Pad (QOTP) with selective homomorphic evaluation over Clifford circuits, achieving information-theoretic security for targeted clinical tasks without fault-tolerant hardware. Validated on 8-qubit IBM Quantum processors, the framework achieves 94.7% average circuit fidelity across binary medical classification scenarios, while outperforming classical FHE by a factor of 4.4× in execution time for equivalent Clifford workloads. Security analysis confirms zero mutual information leakage and tamper detection with probability ≥ 1 - 2-λ. This work bridges quantum cryptographic theory and practical healthcare data processing, establishing a scalable foundation for quantum-secured medical analytics while providing an honest assessment of current limitations and a realistic deployment timeline extending to the 2030. © 2026 IEEE.</t>
  </si>
  <si>
    <t>R0751</t>
  </si>
  <si>
    <t>One Error to Rule Them All: Can a Single Bit-Flip Disrupt Fully Homomorphic Encryption?</t>
  </si>
  <si>
    <t>Chan, V.; Mazzanti, M.; Swaminathan, K.; Vega, A.; Mocskos, E.; Venkatagiri, R.</t>
  </si>
  <si>
    <t>Found in: Scopus; IEEE · DOI: 10.1109/DSN69566.2026.00029</t>
  </si>
  <si>
    <t>Fully Homomorphic Encryption (FHE) enables secure computation on encrypted data without decryption, representing a major advance in privacy-preserving technologies. This capability is especially valuable for safety-critical domains such as healthcare, finance, and government, where sensitive data must remain protected while enabling third-party computations. Despite its importance, systematic studies of FHE's resilience - a critical concern for high-reliability applications - remain largely unexplored.In this work, we investigate the resilience of CKKS (Cheon-Kim-Kim-Song), a widely used FHE scheme that supports approximate arithmetic for privacy-preserving machine learning and scientific simulations. We provide a comprehensive evaluation of CKKS under single-bit and multi-bit hardware errors, focusing on how Residue Number System (RNS) and Number Theoretic Transform (NTT) optimizations affect (worsen) error propagation. Across over 175 million error-injection experiments spanning 500 parameter configurations, we identify error-resilience patterns that are general, data-independent, and consistent across FHE pipeline variations. Our findings offer a foundation for further work in designing fault-tolerant cryptographic systems. © 2026 IEEE.</t>
  </si>
  <si>
    <t>R0752</t>
  </si>
  <si>
    <t>A Novel Wireless Photoplethysmography Blood-Flow Volume Sensor for Assessing Arteriovenous Fistula of Hemodialysis Patients</t>
  </si>
  <si>
    <t>Chiang, P.-Y.; Chao, P.C.-P.; Tarng, D.-C.; Yang, C.-Y.</t>
  </si>
  <si>
    <t>Found in: Scopus; IEEE · DOI: 10.1109/TIE.2017.2701780</t>
  </si>
  <si>
    <t>A novel blood-flow volume (BFV) sensor is presented for assessing quality of arteriovenous fistula in hemodialysis patients via noninvasive reflectance-type photoplethysmography (PPG). BFV is nowadays in clinic practices evaluated using an ultrasound Doppler monitor, which is expensive, bulky, and can only be operated by well-trained medical personnels. This study is devoted to develop a low-cost, small-sized, portable, and easy-to-use PPG sensor that is capable of continuous measurement of BFV. New designs of front-end analog circuits, signal processing, and an intelligent neural network calibration method are employed to finally achieve high correlation (R2 = 0.7176), as opposed to the ultrasound Doppler monitor, with the root-mean-squared errors successfully controlled under 289 ml/min. © 1982-2012 IEEE.</t>
  </si>
  <si>
    <t>R0753</t>
  </si>
  <si>
    <t>A Security-First Approach to Federated Feature Engineering and Model Training in Cross-Cloud Ecosystems</t>
  </si>
  <si>
    <t>Jakku, P.C.; Chippagiri, S.; Madupati, B.; Bandrevu, M.S.</t>
  </si>
  <si>
    <t>Found in: Scopus; IEEE · DOI: 10.1109/ICOCT64433.2025.11118359</t>
  </si>
  <si>
    <t>The increasing demand for raw data protection and organizational data lockdown conditions created an opportunity for federated learning (FL) to become an essential solution that enables collaborative training of machine learning models without exposing original data. The combination of different cloud environments in cross-cloud systems makes it hard to provide both data protection and consistent features. The proposed security-first federated framework incorporates secure multiparty feature engineering together with differential privacy mechanisms as well as homomorphic encryption into the FL lifecycle. The introduced approach implements zerotrust security protocols during inter-cloud communications and uses adaptive harmonization methods to maintain data usefulness. The proposed framework incorporates a privacy-protected federated training scheme which enables independent asynchronous model updates within distributed cloud systems to bolster protection against model corruption during training and inferential attacks. Analytical tests performed on authentic healthcare and financial system data revealed an 28% decrease in privacy breaches while raising training resilience by 34% and matching model precision levels relative to traditional FL systems. The research work forms an essential base for deploying trustworthy federated learning systems that enable secure and reliable operations between multiple cloud environments. © 2025 IEEE.</t>
  </si>
  <si>
    <t>R0754</t>
  </si>
  <si>
    <t>Privacy-Preserving Gradient Descent for Distributed Genome-Wide Analysis</t>
  </si>
  <si>
    <t>Zhang, Y.; Bai, G.; Li, X.; Curtis, C.; Chen, C.; Ko, R.K.L.</t>
  </si>
  <si>
    <t>Found in: Scopus · DOI: 10.1007/978-3-030-88428-4_20</t>
  </si>
  <si>
    <t>Genome-wide analysis, which provides perceptive insights into complex diseases, plays an important role in biomedical data analytics. It usually involves large-scale human genomic data, and thus may disclose sensitive information about individuals. While existing studies have been conducted against data exfiltration by external malicious actors, this work focuses on the emerging identity tracing attack that occurs when a dishonest insider attempts to re-identify obtained DNA samples. We propose a framework named υFRAG to facilitate privacy-preserving data sharing and computation in genome-wide analysis. υFRAG mitigates privacy risks by using vertical fragmentations to disrupt the genetic architecture on which the adversary relies for re-identification. The fragmentation significantly reduces the overall amount of information the adversary can obtain. Notably, it introduces no sacrifice to the capability of genome-wide analysis—we prove that it preserves the correctness of gradient descent, the most popular optimization approach for training machine learning models. We also explore the efficiency performance of υFRAG through experiments on a large-scale, real-world dataset. Our experiments demonstrate that υFRAG outperforms not only secure multiparty computation (MPC) and homomorphic encryption (HE) protocols with a speedup of more than 221x for training neural networks, but also noise-based differential privacy (DP) solutions and traditional non-private algorithms in most settings. © 2021, Springer Nature Switzerland AG.</t>
  </si>
  <si>
    <t>R0755</t>
  </si>
  <si>
    <t>Toward Understanding Efficient Privacy-Preserving Homomorphic Comparison</t>
  </si>
  <si>
    <t>Pulido-Gaytan, B.; Tchernykh, A.; Leprévost, F.; Bouvry, P.; Goldman, A.</t>
  </si>
  <si>
    <t>Found in: Scopus; IEEE · DOI: 10.1109/ACCESS.2023.3315655</t>
  </si>
  <si>
    <t>The security issues that arise in public cloud environments raise several concerns about privacy-preserving. Conventional security practices successfully protect stored and transmitted data by encryption, but not during data processing where the data value extraction requires decryption. It creates critical exposure points for sensitive sectors like healthcare, pharmaceutical, genomics, government, and financial, among many others that cause hesitation to use these third-party services and prevent widespread practical adoption of cloud solutions. Homomorphic Encryption (HE) emerges as a mechanism for expanding the scope of public cloud services for sensitive data processing. However, high-demand solutions such as artificial intelligence and machine learning require efficient operations beyond HE additions and multiplications. In this paper, we analyze the current homomorphic comparison methods across their strengths and weaknesses and present theoretical concepts, state-of-the-art techniques, challenges, opportunities, and open problems. We theoretically prove the limits of the representability of sign and comparison functions in polynomial forms for HE schemes. We show that both functions can be represented as polynomials over the Galois field and cannot be represented over a residue ring with zero divisors. We compare the efficiency, accuracy, and computational complexity of different homomorphic comparison approaches. The experimental results demonstrate that Newton-Raphson is the fastest method for generating polynomial approximations and evaluating comparisons, and the Fourier method is the most accurate considering the L1, L2, L∞ norms and R2 measure. The bi-objective analysis presents the performance compromise between complexity and accuracy.  © 2013 IEEE.</t>
  </si>
  <si>
    <t>R0756</t>
  </si>
  <si>
    <t>PPML-TSA: A modular privacy-preserving time series classification framework[Formula presented]</t>
  </si>
  <si>
    <t>Mercier, D.; Lucieri, A.; Munir, M.; Dengel, A.; Ahmed, S.</t>
  </si>
  <si>
    <t>Found in: Scopus · DOI: 10.1016/j.simpa.2022.100286</t>
  </si>
  <si>
    <t>Privacy-preservation is of key importance for the transition of modern deep learning algorithms into everyday applications dealing with sensitive data, such as healthcare, finance and several other domains of critical infrastructure. One major impediment of research in computer science is the considerable time investment required to set up experiments and their evaluation. In the domain of privacy-preserving deep learning, this is aggravated by the dispersion of implementations throughout frameworks and libraries. This work introduces and documents PPML-TSA, a versatile framework for privacy-preserving time series classification. Our framework was initially used to evaluate privacy-preserving methods across different model architectures and datasets. PPML-TSA offers a modular design suitable for performing classification on all datasets from the entire UCR &amp; UEA repository. Its modular implementation offers quick and easy adaptation and extension to increase the number of supported model architectures and datasets. The code supports a variety of model architectures (such as AlexNet, FCN, FDN, LSTM, and LeNet) as well as privacy-preserving deep learning methods (Differential Privacy, Federated Learning, their combination and Homomorphic Encryption) out-of-the-box. We believe that our framework facilitates further research on privacy-preserving deep learning, resulting in accelerated innovation and disruption in the field. © 2022 The Author(s)</t>
  </si>
  <si>
    <t>R0757</t>
  </si>
  <si>
    <t>Advancements and challenges of federated learning in medical imaging: a systematic literature review</t>
  </si>
  <si>
    <t>Ghosh, D.; Mehjabin, M.; Rayed, M.E.; Mridha, M.F.; Kabir, M.M.</t>
  </si>
  <si>
    <t>Found in: Scopus · DOI: 10.1007/s10462-025-11489-z</t>
  </si>
  <si>
    <t>Cancer diagnosis has entered an era where precision depends not only on image quality but on the intelligence that interprets it. While deep learning has revolutionized medical imaging, its reliance on centralized data limits collaboration due to privacy constraints and fragmented data ownership. Federated Learning (FL) offers a breakthrough enabling multiple institutions to co-train robust diagnostic models without sharing sensitive patient data. This survey provides a comprehensive cancer-specific synthesis of state-of-the-art FL applications in medical imaging, spanning five critical domains: lung, breast, brain, skin, and colorectal cancers. Beyond summarizing prior work, we uncover patterns in architecture choice (U-Net variants, Convolutional Neural Network (CNN)–Recurrent Neural Network(RNN) hybrids, dataset reuse, and state-of-the-art privacy frameworks such as homomorphic encryption and blockchain-backed consensus. We expose performance bottlenecks, heterogeneity risks, and critical absences of clinical deployment benchmarks. What emerges is not just a landscape of what has been done but a roadmap for what is needed to build secure, distributed, and clinically validated Artificial Intelligence (AI) systems. This work offers a foundation for researchers and healthcare technologists aiming to close the gap between research silos and real-world deployment. © The Author(s) 2026.</t>
  </si>
  <si>
    <t>R0758</t>
  </si>
  <si>
    <t>Privacy-Preserving Federated Learning in Healthcare, E-Commerce, and Finance: A Taxonomy of Security Threats and Mitigation Strategies</t>
  </si>
  <si>
    <t>Kumar, R.; Shieh, C.-S.; Chakrabarti, P.; Kumar, A.; Moolchandani, J.; Sinha, R.</t>
  </si>
  <si>
    <t>Found in: Scopus · DOI: 10.1051/epjconf/202532801066</t>
  </si>
  <si>
    <t>Federated Learning (FL) transformed decentralized machine learning by allowing joint model training without mutually sharing raw data, hence being especially useful in privacy-sensitive applications like healthcare, e-commerce, and finance. Even with its privacy-focused architecture, FL is vulnerable to a range of security attacks such as data poisoning, model inversion, membership inference attacks, and communication interception. These attacks compromise the confidentiality of patients in healthcare, consumer data privacy in e-commerce, and financial safety in banking, thus necessitating effective privacy-preserving mechanisms. This survey presents a classification of security threats in FL, grouping them by their source, effect, and attack mode. We review state-of-the-art countermeasures, such as differential privacy, secure multi-party computation, homomorphic encryption, and resilient aggregation methods, their effectiveness, trade-offs, and real-world applicability to FL. In medicine, FL enables joint disease diagnosis without compromising patient confidentiality; in online shopping, it provides personalized suggestions without revealing customer tastes; and in banking, it improves fraud detection without violating regulatory requirements. In addition, we discuss future horizons in privacy-preserving FL, including adversarial robustness, blockchain-protected models, and tailored FL architectures, improving security and resiliency in these domains. We also discuss the balancing problems between security, accuracy, and computational efficiency with possible trade-offs in scaling privacy-preserving FL By analyzing threats and mitigation strategies systematically, this paper will provide direction to future research on designing secure, scalable, and privacy-preserving FL frameworks for the changing healthcare, e-commerce, and finance needs.  © The Authors, published by EDP Sciences, 2025.</t>
  </si>
  <si>
    <t>R0759</t>
  </si>
  <si>
    <t>FSLearning: An Efficient Federated Split Learning Framework for Privacy-Preserving Disease Prediction</t>
  </si>
  <si>
    <t>Li, B.; Jiang, X.; Hsu, Y.-C.; Harmanci, A.O.; Gao, H.; Shi, X.</t>
  </si>
  <si>
    <t>Found in: Scopus · DOI: 10.1007/978-3-031-95838-0_22</t>
  </si>
  <si>
    <t>Federated learning (FL) and split learning (SL) are two prominent distributed learning approaches that enable model training without raw data sharing. SL offers better model privacy than FL by splitting the model architecture between clients and the server, making it preferable for resource-constrained environments. However, SL is slower due to relay-based training across multiple clients. This paper introduces federated split learning, FSLearning, which combines the strengths of both FL and SL, eliminating their inherent drawbacks. FSLearning integrates tensor regression to reduce communication costs and improve training efficiency. Our analysis and empirical results show that FSLearning achieves similar test accuracy and communication efficiency as SL while significantly reducing computation time for multiple clients. Empirical results show that FSLearning reduces transmitted parameters by up to 50% using ResNet3D. By incorporating tensor regression layers (TRLs), FSLearning compresses activations, enabling efficient Homomorphic Encryption (HE) integration. Privacy evaluations confirm that DP achieves the lowest total variation distance (TVD), reducing membership inference risks. © The Author(s), under exclusive license to Springer Nature Switzerland AG 2025.</t>
  </si>
  <si>
    <t>R0760</t>
  </si>
  <si>
    <t>Quantum-driven security evolution in IoT: AI-powered cryptography and anomaly detection</t>
  </si>
  <si>
    <t>Mujlid, H.M.; Alshahrani, R.</t>
  </si>
  <si>
    <t>Found in: Scopus · DOI: 10.1007/s11227-025-07582-3</t>
  </si>
  <si>
    <t>The rapid expansion of the Internet of Things (IoT) has introduced significant cybersecurity and computational challenges that exceed the capabilities of traditional security mechanisms. This study presents a quantum–classical hybrid security model that enhances anomaly detection, encryption, and predictive maintenance in IoT networks. By integrating quantum key distribution (QKD), post-quantum cryptography (PQC), and quantum machine learning (QML), the proposed approach strengthens threat detection and ensures secure communication. Experimental validation using noisy intermediate-scale quantum (NISQ) devices and IBM quantum simulators demonstrates a 98.7% anomaly detection accuracy, an 80% reduction in latency, and a 3.9% false-positive rate, significantly outperforming traditional AI-based intrusion detection models. The quantum federated learning (QFL) framework further enhances decentralised AI accuracy by 14.5%, while QKD improves encryption resilience by increasing the secure key rate by 500%. The model’s ability to reduce training time by 50% and enhance energy efficiency by 225% makes it scalable for real-time IoT deployments. The proposed security model has wide-ranging implications for industries reliant on IoT networks, such as healthcare, smart cities, and industrial automation, where real-time anomaly detection and secure communication are critical. Organisations deploying IoT infrastructure can leverage quantum-enhanced security to mitigate evolving cyber threats, reduce operational risks, and ensure compliance with future post-quantum cryptographic standards. This research establishes a quantum-secured IoT ecosystem, reinforcing post-quantum encryption and real-time quantum security analytics to mitigate evolving cyber threats. Future directions will explore quantum homomorphic encryption (QHE), zero-trust security architectures (ZTSA), and adaptive quantum AI models, ensuring the practical deployment of quantum-enhanced cybersecurity solutions. The findings highlight quantum methodologies as a scalable, computationally efficient, and high-accuracy approach to securing next-generation IoT environments. © The Author(s), under exclusive licence to Springer Science+Business Media, LLC, part of Springer Nature 2025.</t>
  </si>
  <si>
    <t>R0761</t>
  </si>
  <si>
    <t>Privacy-Preserving Federated Learning for Retinal Disease Diagnosis Using Paillier Homomorphic Encryption with Multiple Encryption Keys</t>
  </si>
  <si>
    <t>Veda Sri, A.; Morampudi, M.K.; Dorsala, M.R.; Bojjagani, S.; Khan, M.K.</t>
  </si>
  <si>
    <t>Found in: Scopus; IEEE · DOI: 10.1109/ACCESS.2026.3664444</t>
  </si>
  <si>
    <t>Medical image analysis is crucial for diagnosing retinal diseases like Diabetic Retinopathy (DR), Retinal Vein Occlusion (RVO), and Glaucoma. This study aims to develop a secure and accurate privacy-preserving federated learning framework for retinal disease diagnosis. Federated Learning (FL) enables collaborative training without sharing raw data, mitigating privacy concerns in deep learning. However, inference attacks on model updates pose significant risks. Homomorphic encryption (HE) is widely used for privacy preservation in FL but is limited by requiring all encrypted data to use a single encryption key, increasing vulnerability. To address this, we propose a privacy-preserving FL framework integrating paillier HE with multiple encryption keys (PPFLMPHE). Each client encrypts model parameters using all client's public keys before transmission, ensuring data security even if one key is compromised. The server aggregates encrypted local parameters per key while preserving privacy, ensuring only authorized clients can decrypt it. Additionally, we enhance classification performance and address class imbalance using data augmentation techniques such as rotation, flipping, shifting, and zooming. Our approach is evaluated on retinal image datasets, including APTOS 2019, RVO, and Glaucoma, using pre-trained models such as VGG16, ResNet50, DenseNet121, MobileNetV2, and InceptionV3. Among all models, ResNet50 provides the highest performance with 98.90% accuracy and 98.70% F1-score for DR, while DenseNet121 achieves 96.66% accuracy for RVO and InceptionV3 achieves 98.32% accuracy for Glaucoma. These results demonstrate that the proposed method effectively balances privacy preservation and model performance, offering a robust and secure FL framework for retinal disease diagnosis. © 2013 IEEE.</t>
  </si>
  <si>
    <t>R0762</t>
  </si>
  <si>
    <t>Patient safety incidents in mental health residential services: a multicenter, crosssectional, survey-based study</t>
  </si>
  <si>
    <t>Russotto, S.; Conti, A.; Inguaggiato, L.; Masini, A.; Mira, J.J.; Panella, M.</t>
  </si>
  <si>
    <t>Found in: Scopus; PubMed · DOI: 10.3389/fpsyt.2026.1810559 · PMID: 42052540</t>
  </si>
  <si>
    <t>Introduction – While patient safety in general hospitals is well-researched, residential mental health services have received less attention. Psychiatric patients and staff working in such facilities face unique and complex risks. This study aims to explore and describe the frequency and characteristics of patient safety incidents (PSIs) experienced by professionals working in a cohort of Italian mental health residential services. Methods – A multicenter, cross-sectional, questionnaire-based observational study was conducted involving workers from 68 psychiatric mental health services from seven different Italian provinces. A total of 159 respondents, including both healthcare and non-healthcare professionals, took part in the study. Participants reported incidents personally experienced (FHE) or reported by colleagues (CRE) over the previous 12 months, using a taxonomy adapted from the World Health Organization’s Conceptual Framework for the International Classification for Patient Safety. Data was analyzed using descriptive statistics and zero-inflated models to identify associations between respondent characteristics and reporting behaviors. Results – A total of 4, 432 FHE and 4, 807 CRE were reported. The behavior-related events were the most frequently reported, followed by incidents related to organizational or infrastructure issues, and medication errors. Secondary analyses suggested that facilities with more than ten employees had significantly higher rates of both FHE and CRE. Furthermore, residential facilities showed a higher incidence rate of CRE compared to non-residential ones, and non-healthcare workers reported witnessing fewer incidents to colleagues (28%) compared to healthcare workers. Significant variability was also observed across different provinces. Conclusion – Residential mental health services experience a high incidence of PSIs, suggesting a risk profile distinct from general hospital settings. The predominance of behavior-related incidents corroborates the hypothesis that primary risks are mainly driven by relational dynamics. The findings highlight that both healthcare and non-healthcare staff are exposed to significant risks, suggesting the need of inclusive and comprehensive safety interventions. Consequently, specific training programs focused on relational risk management, de-escalation, and empathic communication are essential for all workers employed in these settings. Copyright © 2026 Russotto, Conti, Inguaggiato, Masini, Mira and Panella.</t>
  </si>
  <si>
    <t>R0763</t>
  </si>
  <si>
    <t>Privacy-Aware Federated Large Language Model Adaptation Using Encrypted Gradient Aggregation</t>
  </si>
  <si>
    <t>Kumar, G.S.; Vankudothu, B.; Tiwari, A.K.; Gladis Pushparathi, V.P.; Sathiya, B.; Prasan, U.D.</t>
  </si>
  <si>
    <t>Found in: Scopus; IEEE · DOI: 10.1109/ICESIC67389.2026.11496607</t>
  </si>
  <si>
    <t>Large Language Models (LLMs) have demonstrated exceptional capabilities in language understanding and generation but pose significant risks when fine-tuned using sensitive, user-specific data. Conventional methods either compromise privacy or degrade performance due to excessive noise and inefficient encryption schemes. The article introduces the new privacy preserving fine-tuning framework, namely PP-EGA-LLM, which is an alternative to homomorphic encryption system but considers interpretability at the cost of gradient filtering during the federation process. Every client calculates encrypted gradients on their own and sums them up in the framework of Secure Multi-Party Computation without sharing the content of the data. SHAP-based filtering masks sensitive components of gradient before update of a model. On sensitive medical and legal datasets, PP-EGA-LLM is more accurate (93.4%) than baselines based on differentially private and encrypted models and has a much lower leakage risk (MIR: 0.18). The model shows nearly centralized performance and acceptable inference latency on edge devices. We are optimized with utility, privacy and efficiency and thus fit quite well in the real-world application in the privacy sensitive field. The architecture can upgrade cryptographically and is therefore post quantum threat extendible. The study is leading the art of secure and ethical fine-tuning of LLMs without losing the accuracy of the data. © 2026 IEEE.</t>
  </si>
  <si>
    <t>R0764</t>
  </si>
  <si>
    <t>TrustFedHealth: Federated Learning with Homomorphic Encryption and Blockchain for Heart Disease Prediction in the Smart Healthcare</t>
  </si>
  <si>
    <t>Dang, B.T.H.; Luan, P.H.; Ngan, V.D.T.; Trong, N.T.; Duy, P.T.; Pham, V.-H.</t>
  </si>
  <si>
    <t>Found in: Scopus; IEEE · DOI: 10.1109/ATC58710.2023.10318944</t>
  </si>
  <si>
    <t>In recent years, the advancements in the Internet of Medical Things (IoMT) or smart devices have enabled the automatic monitoring of human health. Using smart healthcare devices can not only reduce the burden on hospitals but also save costs, travel time, and provide a way to diagnose diseases at home, such as stroke rates. The IoMT generates a large amount of data, which can be used to train machine learning (ML) models for accurate disease diagnosis. However, the data used to train ML models is usually private, making it challenging to share and requiring high security. To overcome this challenge, this paper proposes a collaborative framework called TrustFedHealth for training ML-based heart disease prediction models. TrustFedHealth uses Federated Learning (FL) to allow training with decentralized data stored separately on multiple machines. Moreover, Mobile Edge Computing (MEC) is incorporated into the model as a solution to optimize communication time between the different elements of the system and reduce congestion. Homomorphic Encryption (HE) is also combined with FL to protect the confidentiality of model updates between clients and aggregation servers. Additionally, Blockchain (BC) is leveraged to tackle the traceability of contributions and guarantee transparency of model updates. Through evaluation results on the Physionet's MIT-BIH Arrhythmia Dataset, TrustFedHealth provides a promising approach for training ML-based heart disease prediction models while maintaining privacy and security.  © 2023 IEEE.</t>
  </si>
  <si>
    <t>R0765</t>
  </si>
  <si>
    <t>Privacy Preserving Epigenetic PaceMaker: Stronger Privacy and Improved Efficiency</t>
  </si>
  <si>
    <t>Goldenberg, M.; Mualem, L.; Shahar, A.; Snir, S.; Akavia, A.</t>
  </si>
  <si>
    <t>Found in: Scopus · DOI: 10.1007/978-1-0716-3989-4_42</t>
  </si>
  <si>
    <t>DNA methylation data plays a crucial role in estimating chronological age in mammals, offering real-time insights into an individual’s aging process. The Epigenetic Pacemaker (EPM) model allows inference of the epigenetic age as deviations from the population trend. Given the sensitivity of this data, it is essential to safeguard both inputs and outputs of the EPM model. In a recent study by Goldenberg et al., a privacy-preserving approach for EPM computation was introduced, utilizing Fully Homomorphic Encryption (FHE). However, their method had limitations, including having high communication complexity and being impractical for large datasets. Our work presents a new privacy preserving protocol for EPM computation, improving both privacy and complexity. Notably, we employ a single server for the secure computation phase while ensuring privacy even in the event of server corruption (compared to requiring two non-colluding servers in Goldenberg et al.). Using techniques from symbolic algebra and number theory, the new protocol eliminates the need for communication during the secure computing phase, significantly improves asymptotic runtime, and offers better compatibility to parallel computing for further time complexity reduction. We have implemented our protocol, demonstrating its ability to produce results similar to the standard (insecure) EPM model with substantial performance improvement compared to Goldenberg et al. These findings hold promise for enhancing data security in medical applications where personal privacy is paramount. The generality of both the new approach and the EPM, suggests that this protocol may be useful to other uses employing similar expectation maximization techniques. © The Author(s), under exclusive license to Springer Nature Switzerland AG 2024.</t>
  </si>
  <si>
    <t>R0766</t>
  </si>
  <si>
    <t>A Sustainable Data Encryption Storage and Processing Framework via Edge Computing-Driven IoT</t>
  </si>
  <si>
    <t>Li, Q.; Huang, J.; Li, S.; Huang, C.</t>
  </si>
  <si>
    <t>Edge computing serves as a critical intermediary for secure data exchange between IoT devices and data centres in healthcare, where the protection of sensitive patient data is paramount. This study presents UdesMec, a comprehensive edge computing framework designed for efficient and secure data storage and processing in such contexts. Focusing on the challenge of implementing robust data security models in the presence of limited resources at edge nodes, UdesMec employs a unified encryption approach that is particularly suited for expert knowledge-based prediction of complex critical medical events. Using secret sharing and homomorphic encryption, it ensures the confidentiality and integrity of sensitive patient data transmitted by IoT devices, while enabling efficient computation of prediction algorithms on a cloud server. The experimental evaluation confirms the strong encryption performance and the ease of use of UdesMec, positioning it as a promising solution for the secure and reliable prediction of complex critical medical events in healthcare systems based on edge computing. © 2024, International Association of Engineers. All rights reserved.</t>
  </si>
  <si>
    <t>R0767</t>
  </si>
  <si>
    <t>Verifiable Privacy-Preserving Heart Rate Estimation Based on LSTM</t>
  </si>
  <si>
    <t>Bian, M.; He, G.; Feng, G.; Zhang, X.; Ren, Y.</t>
  </si>
  <si>
    <t>Found in: Scopus; IEEE · DOI: 10.1109/JIOT.2023.3290651</t>
  </si>
  <si>
    <t>Remote heart rate (HR) estimation via facial videos has emerged as an attractive application for healthcare monitoring. Long short-term memory (LSTM) is a kind of deep recurrent neural network architecture used for modeling sequential information, which can be utilized for remote HR estimation. Outsourcing computation is an emerging paradigm for enterprises or individuals with a huge volume of private data but limited computing power for data modeling and analysis, but the risks of privacy leakage cannot be ignored. Prior privacy-preserving LSTM-based protocols only protect sensitive data or model parameters, or approximate nonlinear functions with somewhat utility degradation. To mitigate the aforementioned issues, we propose a verifiable outsourcing protocol of LSTM training for HR estimation (VOLHR) based on batch homomorphic encryption, which not only ensures the confidentiality of the local data and model parameters but also guarantees the verifiability of the model predictions to resist the deceptive attacks. Theoretical analysis proves that VOLHR provides a higher level of privacy protection than the prior works. Computational cost analysis demonstrates that VOLHR can reduce the computational overhead greatly compared with the original LSTM models with different structures. To exhibit the practical utility, we implement VOLHR on two real-world data sets for HR estimation. Extensive evaluations demonstrate that VOLHR achieves almost the same performance as the original LSTM model and outperforms prior related protocols. © 2014 IEEE.</t>
  </si>
  <si>
    <t>R0768</t>
  </si>
  <si>
    <t>Logistic regression model training based on the approximate homomorphic encryption</t>
  </si>
  <si>
    <t>Kim, A.; Song, Y.; Kim, M.; Lee, K.; Cheon, J.H.</t>
  </si>
  <si>
    <t>Found in: Scopus · DOI: 10.1186/s12920-018-0401-7</t>
  </si>
  <si>
    <t>Background: Security concerns have been raised since big data became a prominent tool in data analysis. For instance, many machine learning algorithms aim to generate prediction models using training data which contain sensitive information about individuals. Cryptography community is considering secure computation as a solution for privacy protection. In particular, practical requirements have triggered research on the efficiency of cryptographic primitives. Methods: This paper presents a method to train a logistic regression model without information leakage. We apply the homomorphic encryption scheme of Cheon et al. (ASIACRYPT 2017) for an efficient arithmetic over real numbers, and devise a new encoding method to reduce storage of encrypted database. In addition, we adapt Nesterov's accelerated gradient method to reduce the number of iterations as well as the computational cost while maintaining the quality of an output classifier. Results: Our method shows a state-of-the-art performance of homomorphic encryption system in a real-world application. The submission based on this work was selected as the best solution of Track 3 at iDASH privacy and security competition 2017. For example, it took about six minutes to obtain a logistic regression model given the dataset consisting of 1579 samples, each of which has 18 features with a binary outcome variable. Conclusions: We present a practical solution for outsourcing analysis tools such as logistic regression analysis while preserving the data confidentiality. © 2018 The Author(s).</t>
  </si>
  <si>
    <t>R0769</t>
  </si>
  <si>
    <t>Exploring privacy mechanisms and metrics in federated learning</t>
  </si>
  <si>
    <t>Shenoy, D.; Bhat, R.; Krishna Prakasha, K.</t>
  </si>
  <si>
    <t>Found in: Scopus · DOI: 10.1007/s10462-025-11170-5</t>
  </si>
  <si>
    <t>The federated learning (FL) principle ensures multiple clients jointly develop a machine learning model without exchanging their local data. Various government enacted prohibition policies on data exchange between organizations have led to the need for privacy-preserved federated learning. Many industries have cultivated this idea of model development through federated learning to enhance performance and accuracy. This paper offers a detailed overview of the background of FL, highlighting existing aggregation algorithms, frameworks, implementation aspects, and dataset repositories, establishing itself as an essential reference for researchers in the field. The paper thoroughly reviews existing centralized and decentralized FL approaches proposed in the literature and gives an overview about the methodology, privacy techniques implemented and limitations to guide other researchers to advance their research in the field of federated learning. The paper discusses the critical role of privacy-enhancing technologies like differential privacy (DP), homomorphic encryption (HE), and secure multiparty computation (SMPC) in federated learning highlighting their effectiveness in safeguarding sensitive data while optimizing the balance between privacy, communication efficiency, and computational cost. The paper explores the applications of federated learning in privacy-sensitive areas like natural language processing (NLP), healthcare, and Internet of Things (IoT) with edge computing. We believe our work provides a novel addition by identifying privacy evaluation metrics and spotlighting the measures in terms of data privacy and correctness, communication cost, computational cost and scalability. Furthermore, it identifies emerging challenges and suggests promising research directions in the federated learning domain. © The Author(s) 2025.</t>
  </si>
  <si>
    <t>R0770</t>
  </si>
  <si>
    <t>Onboard disease prediction and rehabilitation monitoring on secure edge-cloud integrated privacy preserving healthcare system</t>
  </si>
  <si>
    <t>Jayaram, R.; Prabakaran, S.</t>
  </si>
  <si>
    <t>Found in: Scopus · DOI: 10.1016/j.eij.2020.12.003</t>
  </si>
  <si>
    <t>Edge-based privacy preserving cryptosystem is identified as the upcoming amenities of cloud-based secure remote healthcare monitoring systems. Usually, the cloud-based healthcare system will directly collect the remote patient data through a sensor layer and provide the continuous monitoring and diagnosis through various prediction processes made by the decision support system. These sensing and processing of real-time patient's medical data without compromising its privacy and security become daunting issues in the traditional healthcare services. Therefore, the proposed research incorporates the security mechanism in the patient-centric edge-cloud-based healthcare system architecture. More precisely, an edge level privacy preserving additive homomorphic encryption is proposed for secure data processing and filtering non-sensitive data in the edge layer. In addition, response time and network capacity usage are minimized in the proposed healthcare system due to effective filtering and offloading mechanisms adapted in the edge level. Next, an adaptive weighted probabilistic classifier model is proposed in the cloud layer for onboard disease prediction and rehabilitation of remote patients. It will improve the disease prediction time and prediction accuracy while comparing to traditional classifier models. Finally, security and performance analysis of the proposed Secure Edge-Cloud-based Healthcare System (SECHS) was demonstrated with respect to empirical evaluation of Parkinson disease dataset. © 2021 THE AUTHORS</t>
  </si>
  <si>
    <t>R0771</t>
  </si>
  <si>
    <t>Convergence of Blockchain, k-medoids and homomorphic encryption for privacy preserving biomedical data classification</t>
  </si>
  <si>
    <t>Akter, S.; Reza, F.; Ahmed, M.</t>
  </si>
  <si>
    <t>Found in: Scopus · DOI: 10.1016/j.iotcps.2022.05.006</t>
  </si>
  <si>
    <t>Data privacy on the Internet of Medical Things (IoMT) remains a critical concern when handling biomedical data. While extant studies focus on cryptography and differential privacy, few of them capture the utility and authenticity of data. As a result, data privacy remains the primary concern when training a machine learning (ML) model with IoMT data from various data sources/owners such as k − medoids. To overcome the above-mentioned issues, this study proposes secure ​k − medoids ​that are implemented together with Blockchain and partial homomorphic cryptosystem (Paillier) to ensure authenticity and protect all entities (i.e., data owner and data analyst) data privacy. The homomorphic property of Paillier is utilized to develop secure building blocks (i.e., secure polynomial operations, secure comparison, and secure biasing operations) to ensure data privacy and eliminate dependency on any third parties. We utilized three different biomedical datasets, and these are (I) Heart Disease Data (HDD), (II) Diabetes Data (DD), and (III) Breast Cancer Wisconsin Data (BCWD). Rigorous security analysis demonstrates that secure ​k − medoids ​protect against sensitive data breaches. It also showed superior performance in both BCWD (Accuracy 97.80%, Precision 96.83%, and Recall 99.80%) and HDD (Accuracy 82.50%, Precision 81.28%, and Recall 80.50%) datasets, respectively. However, similar performance was not reflected in the case of the DD dataset. Furthermore, the study explains why such performance results are observed. In addition, the proposed system has been proven to take less execution time compared to the extant studies. © 2022 The Authors</t>
  </si>
  <si>
    <t>R0772</t>
  </si>
  <si>
    <t>Hybrid Reasoning-based Privacy-Aware Disease Prediction Support System</t>
  </si>
  <si>
    <t>Malathi, D.; Logesh, R.; Subramaniyaswamy, V.; Vijayakumar, V.; Sangaiah, A.K.</t>
  </si>
  <si>
    <t>Found in: Scopus · DOI: 10.1016/j.compeleceng.2018.11.009</t>
  </si>
  <si>
    <t>Recent developments in Information and Communication Technologies (ICT) and online healthcare services have created a huge volume of health data. With the advancements in machine learning approaches, the research on Disease Prediction Support System (DPSS) has attracted many researchers globally. In this article, we present a hybrid reasoning-based methodology on predicting diseases. The combinatorial advantage of Fuzzy sety theory, k-nearest neighbor and case-based reasoning helps to yield enhanced prediction results. Though DPSS facilitates promising healthcare services, data security and privacy are still crucial challenging issues to be addressed. The DPSS is extended as a Privacy-Aware Disease Prediction Support System (PDPSS) using Paillier Homomorphic Encryption to preserve patients’ sensitive information from unauthorized user access. The proposed prediction model is evaluated with the statistical evaluation metrics, and the experimental results reveal the improved performance of PDPSS in enhanced prediction accuracy and better security. © 2018 Elsevier Ltd</t>
  </si>
  <si>
    <t>R0773</t>
  </si>
  <si>
    <t>4PM: Privacy-Preserving Patient-Provider Matching Service in Digital Healthcare System</t>
  </si>
  <si>
    <t>Lei, J.; Zhang, H.; Lyu, F.; Qin, J.; Pei, Q.</t>
  </si>
  <si>
    <t>Found in: Scopus · DOI: 10.1109/JBHI.2025.3644174</t>
  </si>
  <si>
    <t>For digital health platforms, the challenge is balancing patient privacy with the ability to match patients to the right providers quickly and accurately. Existing systems often suffer from privacy leakage, insufficient matching precision, and degraded performance when dealing with large-scale data. In this paper, we propose 4PM, a novel privacy-preserving patient–provider matching scheme that leverages secure computation to deliver strong privacy guarantees while ensuring efficient and accurate matching. Our method partitions patient data between two non-colluding servers via secret sharing, employing the optimized Millionaires' Protocol for secure ranking and leveraging oblivious retrieval techniques for privacy-preserving matching. 4PM significantly reduces the computational complexity of high-dimensional data, achieving end-to-end latency within 0.5 seconds in scenarios with 200 doctors and 200-dimensional symptom vectors. Our work contributes to fostering secure and trustworthy healthcare in the digital era. © 2013 IEEE.</t>
  </si>
  <si>
    <t>R0774</t>
  </si>
  <si>
    <t>Federated Learning in Quantum Computing for Privacy-Preserving and Distributed Quantum Model Training</t>
  </si>
  <si>
    <t>Mashetty, P.C.; Chittipothu, S.; Gangabathula, N.V.; Gangabathula, S.; Gutta, P.K.; Rajalakshmi, N.A.S.</t>
  </si>
  <si>
    <t>Found in: Scopus · DOI: 10.1109/ICDICI66477.2025.11135329</t>
  </si>
  <si>
    <t>The mix of quantum computing and machine learning has introduced strong quantum models able to resolve challenging tasks efficiently. Still, the use of centralized QML systems could present challenges with privacy because sharing quantum data with untrusted aggregators is especially risky. This study describes a method called Privacy-Preserving Quantum Federated Learning (PQFL), which allows multiple clients to jointly train quantum models while maintaining data confidentiality. This system offers security by combining QHE and QDP to cover the processes of aggregating protected models and enforcing privacy on the data. Hybrid quantum-classical studies reveal that PQFL is both accurate and advanced in protecting privacy and communication security. According to these results, PQFL works effectively in privacy-friendly domains including healthcare, genomics, and finance, where data needs to be managed securely. © 2025 IEEE.</t>
  </si>
  <si>
    <t>R0775</t>
  </si>
  <si>
    <t>Blockchain and homomorphic encryption based privacy-preserving model aggregation for medical images</t>
  </si>
  <si>
    <t>Kumar, R.; Kumar, J.; Khan, A.A.; Ali, H.; Bernard, C.M.; Khan, R.U.; Zeng, S.</t>
  </si>
  <si>
    <t>Found in: Scopus; PubMed · DOI: 10.1016/j.compmedimag.2022.102139 · PMID: 36395604</t>
  </si>
  <si>
    <t>Medical healthcare centers are envisioned as a promising paradigm to handle the massive volume of data for COVID-19 patients using artificial intelligence (AI). Traditionally, AI techniques require centralized data collection and training models within a single organization. This practice can be considered a weakness as it leads to several privacy and security concerns related to raw data communication. To overcome this weakness and secure raw data communication, we propose a blockchain-based federated learning framework that provides a solution for collaborative data training. The proposed framework enables the coordination of multiple hospitals to train and share encrypted federated models while preserving data privacy. Blockchain ledger technology provides decentralization of federated learning models without relying on a central server. Moreover, the proposed homomorphic encryption scheme encrypts and decrypts the gradients of the model to preserve privacy. More precisely, the proposed framework: (i) train the local model by a novel capsule network for segmentation and classification of COVID-19 images, (ii) furthermore, we use the homomorphic encryption scheme to secure the local model that encrypts and decrypts the gradients, (iii) finally, the model is shared over a decentralized platform through the proposed blockchain-based federated learning algorithm. The integration of blockchain and federated learning leads to a new paradigm for medical image data sharing over the decentralized network. To validate our proposed model, we conducted comprehensive experiments and the results demonstrate the superior performance of the proposed scheme. © 2022 Elsevier Ltd</t>
  </si>
  <si>
    <t>R0776</t>
  </si>
  <si>
    <t>A Confidentiality-Preserving Deep Learning Approach with Homomorphic Encryption for Cloud Security</t>
  </si>
  <si>
    <t>Sindhura, S.; Yas, R.M.; Musa, M.; Panduri, B.; Jeevana Sujitha, M.; Shaik, R.</t>
  </si>
  <si>
    <t>Found in: Scopus · DOI: 10.1007/978-3-032-25568-6_22</t>
  </si>
  <si>
    <t>The study presents a privacy-friendly deep learning model, in which homomorphic encryption (HE) is introduced to secure the data confidentiality but does not compromise the performance of the model to the cybersecurity systems on the cloud. Since deep learning has become an essential part of cybersecurity with operations such as threat diagnosis or anomaly analysis, its use in the cloud is associated with fundamental concerns related to privacy since sensitive data may be revealed. The proposed framework solves this problem because it allows processing encrypted data during the lifecycle of the model, using the approximation of polynomial activation functions and training secure methods. The model was tested with benchmark datasets of NSL-KDD and CICIDS2017 regarding its accuracy, latency, scaling properties, and resource consumption. Findings showed that even though the HE-enabled model comes with a moderate overhead in the amount of computation time needed, as well as resource consumption, it has allowed it to attain high accuracy and low privacy leakage. The paper reports that the suggested framework provides a secured, viable and scalable solution to real-time cybersecurity applications in the cloud environment. © The Author(s), under exclusive license to Springer Nature Switzerland AG 2026.</t>
  </si>
  <si>
    <t>R0777</t>
  </si>
  <si>
    <t>Securing Health: Privacy-Preserving Federated Learning in IoT Healthcare</t>
  </si>
  <si>
    <t>Vinitha, V.; Salim, A.</t>
  </si>
  <si>
    <t>Found in: Scopus; IEEE · DOI: 10.1109/ACCESS65134.2025.11135851</t>
  </si>
  <si>
    <t>The rapid expansion of Internet of Things (IoT) in the healthcare sector has transformed the gathering, managing, and analysis of patient data; but it also presents privacy and security concerns due to the increased vulnerability to cyber-attacks. Federated Learning (FL) is a potential solution that enhances data privacy by enabling collaborative model training across different devices without disclosing the raw data. This study explores FL as a privacy-preserving strategy alongside Differential Privacy, Homomorphic Encryption, and Secure Multi-Party Computation. It discusses security and privacy challenges in IoT healthcare, use cases of FL, and dataset information in the healthcare domain. In addition, points out possible future directions to further improve security, scalability, and model performance while drawing inferences about the current stage of FL adoption in IoT healthcare. © 2025 IEEE.</t>
  </si>
  <si>
    <t>R0778</t>
  </si>
  <si>
    <t>GuardML: Efficient Privacy-Preserving Machine Learning Services Through Hybrid Homomorphic Encryption</t>
  </si>
  <si>
    <t>Frimpong, E.; Nguyen, K.; Budzys, M.; Khan, T.; Michalas, A.</t>
  </si>
  <si>
    <t>Found in: Scopus · DOI: 10.1145/3605098.3635983</t>
  </si>
  <si>
    <t>Machine Learning (ML) has emerged as one of data science's most transformative and influential domains. However, the widespread adoption of ML introduces privacy-related concerns owing to the increasing number of malicious attacks targeting ML models. To address these concerns, Privacy-Preserving Machine Learning (PPML) methods have been introduced to safeguard the privacy and security of ML models. One such approach is the use of Homomorphic Encryption (HE). However, the significant drawbacks and inefficiencies of traditional HE render it impractical for highly scalable scenarios. Fortunately, a modern cryptographic scheme, Hybrid Homomorphic Encryption (HHE), has recently emerged, combining the strengths of symmetric cryptography and HE to surmount these challenges. Our work seeks to introduce HHE to ML by designing a PPML scheme tailored for end devices. We leverage HHE as the fundamental building block to enable secure learning of classification outcomes over encrypted data, all while preserving the privacy of the input data and ML model. We demonstrate the real-world applicability of our construction by developing and evaluating an HHE-based PPML application for classifying heart disease based on sensitive ECG data. Notably, our evaluations revealed a slight reduction in accuracy compared to inference on plaintext data. Additionally, both the analyst and end devices experience minimal communication and computation costs, underscoring the practical viability of our approach. The successful integration of HHE into PPML provides a glimpse into a more secure and privacy-conscious future for machine learning on relatively constrained end devices. © 2024 Copyright held by the owner/author(s).</t>
  </si>
  <si>
    <t>R0779</t>
  </si>
  <si>
    <t>Ethical AI Redefined: Pioneering Transparency with Hybrid Explainable Models</t>
  </si>
  <si>
    <t>Gayathri, J.; Vimal Chandran, K.S.; Mala, F.D.R.; Aadyaanjali, M.S.; Kaviya, S.; Maheshwaran, A.</t>
  </si>
  <si>
    <t>Found in: Scopus; IEEE · DOI: 10.1109/ICMSCI62561.2025.10894436</t>
  </si>
  <si>
    <t>The rapid proliferation of artificial intelligence (AI) in critical domains like healthcare, finance, and governance has necessitated the development of ethical, transparent, and responsible AI systems. This study proposes a hybrid explainable AI model to achieve ethical, transparent, and high-performance artificial intelligence solutions. Combining black-box models such as Transformers with explainable techniques like SHAP, the proposed methodology addresses key challenges in AI, including fairness, interpretability, and privacy. The model tested on a diverse and representative dataset, focusing on performance, bias detection, and explainability. Results demonstrate that the proposed model achieved a 97.71% accuracy with an F1-score of 0.96, outperforming baseline models such as CNN (87.50%) and Transformer-Causal combinations (94.10%). SHAP analysis identified key features like Age, Blood Pressure, and Cholesterol Level as the most influential predictors, ensuring transparency and trustworthiness. Fairness evaluation across sensitive attributes, including gender and ethnicity, showed Demographic Parity of 96.40% and Equal Opportunity of 94.40%, indicating minimal bias. Privacy-preserving techniques such as Differential Privacy and Homomorphic Encryption implemented, achieving robust data protection with minor trade-offs. This hybrid approach successfully balances performance, fairness, interpretability, and privacy, presenting a scalable framework for ethical AI development.  © 2025 IEEE.</t>
  </si>
  <si>
    <t>R0780</t>
  </si>
  <si>
    <t>Metaheuristic optimization based multi-key enabled encryption with image classification for big data environment in healthcare sector</t>
  </si>
  <si>
    <t>Kumar, A.S.S.; Mohan, S.; Nagesh, A.</t>
  </si>
  <si>
    <t>Found in: Scopus · DOI: 10.21817/indjcse/2021/v12i2/211202100</t>
  </si>
  <si>
    <t>In recent times, medical imaging domain undergoes significant development with respect to innovations, market growth, and exploitation with the rise in the generation of massive data quantity poses diagnostic imaging in the context of Big data. At the same time, securing medical images is needed and it remains a crucial process on the shared communication model. Encryption is considered an effective way of securing the data transmission process in big data environment. Besides, the computer aided diagnosis also provides a second opinion to professionals to manage parallelism. So, it becomes essential to design digital environments and applications which offer effective handling of medical images such as Big data. This paper presents a new Metaheuristic Optimization based Multi-Key Enabled Encryption with Image Classification (MOMEE-IC) for Big Data Environment in Healthcare Sector. The proposed model involves two major operations as encryption and image classification. Firstly, the encryption process involves Multiple key based Homomorphic Encryption (MHE) with lion optimization algorithm (LOA) based optimal key generation process, called MHE-LOA. Besides, Stacked Denoise Autoencoder with Logistic Regression (SDAE-LR) based image classification process is employed for diagnosing the images in the cloud platform. To ensure the superior results of the presented model, a wide set of simulations were performed and the results are examined under distinct aspects. © 2021, Engg Journals Publications. All rights reserved.</t>
  </si>
  <si>
    <t>R0781</t>
  </si>
  <si>
    <t>Efficient and Privacy-Preserving Similarity Range Query over Encrypted Time Series Data</t>
  </si>
  <si>
    <t>Zheng, Y.; Lu, R.; Guan, Y.; Shao, J.; Zhu, H.</t>
  </si>
  <si>
    <t>Found in: Scopus; IEEE · DOI: 10.1109/TDSC.2021.3061611</t>
  </si>
  <si>
    <t>Similarity query over time series data plays a significant role in various applications, such as signal processing, speech recognition, and disease diagnosis. Meanwhile, driven by the reliable and flexible cloud services, encrypted time series data are often outsourced to the cloud, and as a result, the similarity query over encrypted time series data has recently attracted considerable attention. Nevertheless, existing solutions still have issues in supporting similarity queries over time series data with different lengths, query accuracy and query efficiency. To address these issues, in this article, we propose a new efficient and privacy-preserving similarity range query scheme, where the time warp edit distance (TWED) is used as the similarity metric. Specifically, we first organize time series data into a kkd-tree by leveraging TWED's triangle inequality, and design an efficient similarity range query algorithm for the kkd-tree. Second, based on a symmetric homomorphic encryption technique, we carefully devise a suite of privacy-preserving protocols to provide a security guarantee for kkd-tree based similarity range queries. After that, by using the similarity range query algorithm and these protocols, we propose our privacy-preserving similarity range query scheme, in which we elaborate on two strategies to make our scheme resist against the cloud inference attack. Finally, we analyze the security of our scheme and conduct extensive experiments to evaluate its performance, and the results indicate that our proposed scheme is indeed privacy-preserving and efficient. © 2004-2012 IEEE.</t>
  </si>
  <si>
    <t>R0782</t>
  </si>
  <si>
    <t>Analysis of Deep Learning Based Secure and Robust System for the Renovation of Medical Images on IoMT</t>
  </si>
  <si>
    <t>Preethi, S.; Manoharan, K.</t>
  </si>
  <si>
    <t>Found in: Scopus · DOI: 10.1109/ICCCT63501.2025.11020428</t>
  </si>
  <si>
    <t>Medical healthcare transformations resulted from Internet of Medical Things (IoMT) integration because this technology allows physicians to carry out medical imaging examinations promptly and diagnose patient conditions in real time. Medical imaging systems built on the Internet of Medical Things framework experience crucial issues that involve weakening of images and privacy risks as well as cyber security threats. This research delivers an extensive investigation about an advanced DL framework which ensures secure medical image restoration inside IoMT platforms. GANs coupled with a Residual Attention Mechanism (RAM) allow the proposed framework to recover medical images that become degraded while retaining essential anatomical elements. A Hybrid Homomorphic Encryption (HHE) scheme brings heightened security through complete confidentiality of data whether it is transmitted or stored. The Adaptive Noise Reduction (ANR) model serves as an integral part to reduce transmission errors and their resulting artifacts and distortions. The model proves its superiority through evaluations on medical imaging benchmarks which yield better Peak Signal-to-Noise Ratio (PSNR) and Structural Similarity Index (SSIM) values compared to contemporary state-of-the-art approaches while users report improved subjective judicial scores (MOS) at the same time. The framework has established its capability for improving image clarity and data security while maintaining patient privacy roles as a promising solution for secure medical image restoration in IoMT platforms.  © 2025 IEEE.</t>
  </si>
  <si>
    <t>R0783</t>
  </si>
  <si>
    <t>Privacy Preserving Genomic Data Imputation using Autoencoders</t>
  </si>
  <si>
    <t>Pratapa, M.; Essex, A.</t>
  </si>
  <si>
    <t>Found in: Scopus · DOI: 10.1016/j.procs.2024.09.669</t>
  </si>
  <si>
    <t>Next-generation sequencing technologies have significantly increased the availability of genomic databases. These databases can be used for numerous applications in genome-wide association studies, such as disease prediction and precision medicine. Missing values in genotype data diminish the database quality. Genotype imputation is an essential low-cost tool in genomics that statistically infers missing genotype variants from an experimentally observed set of variants. Owing to the computationally intensive nature of the problem, genotype imputation is often outsourced to an external service provider. However, sharing genomic data as a plaintext raises privacy concerns and leaks sensitive information. Existing privacy-preserving approaches perform genotype imputation using linear classification models, which require training a separate classifier for each variant using previously labeled data. Self-supervised deep learning models, such as autoencoders, have recently become popular because of their ability to model complex patterns in genomic datasets and achieve significantly high accuracy. However, deep learning-based genotype imputation under a privacy-preserving setting remains largely unexplored. In this work, we propose a novel adaptation of an autoencoder-based genotype imputation model that preserves the privacy of sensitive genomic data. To our knowledge, ours is the first work to do so. Genomic data privacy is preserved using fully homomorphic encryption (FHE). FHE schemes enable efficient computations over encrypted data but suffer from noise growth as the number of computations increases. To overcome the issue of noise growth due to computationally complex deep learning, we use neural network quantization, which considerably reduces the network size while achieving high accuracy, as demonstrated in our results. We present all the necessary parameters to perform deep learning-based genotype imputation in the privacy-preserving setting. © 2024 The Authors.</t>
  </si>
  <si>
    <t>R0784</t>
  </si>
  <si>
    <t>DECML: Distributed Edge Consensus Machine Learning Framework</t>
  </si>
  <si>
    <t>Verdeyen, C.; Shepherd, C.; Markantonakis, K.; Akram, R.N.; Milroy, R.; Ghazalah, S.A.; Sauveron, D.</t>
  </si>
  <si>
    <t>Found in: Scopus; IEEE · DOI: 10.1109/GCAIOT63427.2024.10833588</t>
  </si>
  <si>
    <t>The increasing reliance on interdependent data-driven services in the Internet of Things (IoT), smart homes, and Industry 4.0 is hindered by siloed security and privacy measures. Existing solutions like federated learning and distributed machine learning, with their various approaches such as differential privacy and homomorphic encryption, while promising, face challenges in ensuring robust security and privacy. We introduce Distributed Edge Consensus Machine Learning (DECML), a novel framework that enables secure, privacy-preserving insights sharing among multiple stakeholders without exposing underlying data or models. DECML distributes queries and aggregates responses through independent nodes, achieving accuracy comparable to local deployments with minimal added latency. Our evaluation, using standard datasets and a 20-node network, demonstrates DECML’s potential for collaborative decision-making without compromising privacy. This has significant implications for domains such as cybersecurity, healthcare, and financial services, where privacy concerns hinder data sharing. ©2024 IEEE.</t>
  </si>
  <si>
    <t>R0785</t>
  </si>
  <si>
    <t>Web-based privacy-preserving multicenter medical data analysis tools via threshold homomorphic encryption: Design and development study</t>
  </si>
  <si>
    <t>Lu, Y.; Zhou, T.; Tian, Y.; Zhu, S.; Li, J.</t>
  </si>
  <si>
    <t>Found in: Scopus; PubMed · DOI: 10.2196/22555 · PMID: 33289676</t>
  </si>
  <si>
    <t>Background: Data sharing in multicenter medical research can improve the generalizability of research, accelerate progress, enhance collaborations among institutions, and lead to new discoveries from data pooled from multiple sources. Despite these benefits, many medical institutions are unwilling to share their data, as sharing may cause sensitive information to be leaked to researchers, other institutions, and unauthorized users. Great progress has been made in the development of secure machine learning frameworks based on homomorphic encryption in recent years; however, nearly all such frameworks use a single secret key and lack a description of how to securely evaluate the trained model, which makes them impractical for multicenter medical applications. Objective: The aim of this study is to provide a privacy-preserving machine learning protocol for multiple data providers and researchers (eg, logistic regression). This protocol allows researchers to train models and then evaluate them on medical data from multiple sources while providing privacy protection for both the sensitive data and the learned model. Methods: We adapted a novel threshold homomorphic encryption scheme to guarantee privacy requirements. We devised new relinearization key generation techniques for greater scalability and multiplicative depth and new model training strategies for simultaneously training multiple models through x-fold cross-validation. Results: Using a client-server architecture, we evaluated the performance of our protocol. The experimental results demonstrated that, with 10-fold cross-validation, our privacy-preserving logistic regression model training and evaluation over 10 attributes in a data set of 49,152 samples took approximately 7 minutes and 20 minutes, respectively. Conclusions: We present the first privacy-preserving multiparty logistic regression model training and evaluation protocol based on threshold homomorphic encryption. Our protocol is practical for real-world use and may promote multicenter medical research to some extent. © Yao Lu, Tianshu Zhou, Yu Tian, Shiqiang Zhu, Jingsong Li. Originally published in the Journal of Medical Internet Research (http://www.jmir.org), 08.12.2020.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</si>
  <si>
    <t>R0786</t>
  </si>
  <si>
    <t>A Hybrid EOG System Featuring Flexible a-IGZO TFTs and a 180 nm CMOS IC</t>
  </si>
  <si>
    <t>Zulqarnain, M.; Stanzione, S.; Peri, E.; Smout, S.; Willegems, M.; Harpe, P.; Myny, K.; Cantatore, E.</t>
  </si>
  <si>
    <t>Found in: Scopus · DOI: 10.1109/JFLEX.2026.3669472</t>
  </si>
  <si>
    <t>Flexible wearable sensors are becoming increasingly popular due to their capability to monitor physiological signals while ensuring high user comfort. Wearable sensors built using only flexible electronics result in inferior system performance due to the inherent limitations of flexible technologies. Flexible hybrid electronics (FHEs) combine the strengths of flexible technologies (low cost, larger area coverage, and user comfort) with the high performance and energy efficiency of silicon-integrated circuits (Si ICs). Here, an FHE system is described that addresses the challenge of system functions partitioning between flexible and Si subsystems. The presented design approach is applied in this work to a multichannel electro-oculography (EOG) system, but can be expanded to various FHE application domains. The proof of concept fully integrated eight-channel FHE EOG system exploits a front-end in a-IGZO TFT technology, interfaced with a custom Si IC that supports the front-end and provides conversion of the acquired signals to the digital domain. In this way, the low cost, flexible form factor, and the large area character of the flexible thin-film transistor (TFT) technology are leveraged, while exploiting at the same time the accuracy, computational capability, and energy efficiency of the Si IC. We propose a hybrid high-pass filter (hHPF) as an interface between the electrodes and the front-end, whereby TFTs and capacitors on foil are controlled by the Si IC. The hybrid approach exploits the capabilities of flexible electronics to bring functionality close to the electrodes and its potential to cope with a high number of sensor channels, with the better precision of CMOS, enabling a fully integrated filter without discrete components. The TFT front-end converts the input signal voltages to a pulsewidth-modulated (PWM) representation, which is then quantized in the Si IC, to provide a digital output. The Si IC enables conversion to the digital domain with much higher efficiency compared to state-of-the-art TFT solutions. The digital output is further used in an algorithm for feature extraction and classification to detect the desired signals. The experimental electrical characterization of the system demonstrates an input-referred noise of 6.68 μVrms in a 1-30 Hz band, with a chopping frequency of 1 kHz. The input impedance offered by the integrated hHPF is 6.88 G\Ω at 0.089 Hz (with multiplexing disabled). The total power consumption per channel is 84 μ W. In vivo experiments have also been performed against a gold standard (a commercial bio-potential amplifier) to confirm a faithful representation of the eye activities. The signals acquired during in vivo experiments are successfully classified using a support vector machine (SVM) classifier, with an average accuracy of 87.6% ± 2.9%. © 2022 IEEE.</t>
  </si>
  <si>
    <t>R0787</t>
  </si>
  <si>
    <t>SecureBadger: a homomorphic encryption-based framework for secure medical inference</t>
  </si>
  <si>
    <t>He, Z.; Yang, W.; Wu, L.; Guan, Z.</t>
  </si>
  <si>
    <t>Found in: Scopus · DOI: 10.1016/j.dcan.2025.08.006</t>
  </si>
  <si>
    <t>With the rapid development of Artificial Intelligence of Things (AIoT) technology, its adoption in the field of smart healthcare is becoming increasingly pervasive. Leading cloud service providers like IBM Watson Health now offer neural network inference services tailored for smart healthcare applications - users simply need to send data to the server to get the diagnosis results. However, a growing concern arises regarding the potential compromise of user privacy. Currently, researchers propose the use of secure multi-party computation and homomorphic encryption techniques to address this issue. Nevertheless, further exploration and improvement are needed to mitigate the side effects, such as increased latency and challenges in meeting real-time monitoring requirements. In this paper, we propose a secure homomorphic encryption-based inference framework named SecureBadger for two typical medical inference scenarios: disease diagnosis based on image analysis and health monitoring with smart wearable devices. We design two inference modes—large-scale batch inference and small-scale low-latency inference. Additionally, different ciphertext packaging schemes are designed to enhance inference efficiency for different inference modes, different input data types and different network layers. Experimental evaluations are conducted on several datasets, and the results indicate that SecureBadger can significantly reduce the inference time overhead in both inference modes. © 2025 Chongqing University of Posts and Telecommunications.</t>
  </si>
  <si>
    <t>R0788</t>
  </si>
  <si>
    <t>Adaptive Homomorphic Encryption-Based Tensor Factorization for Edge-Enabled Privacy-Preserving Systems</t>
  </si>
  <si>
    <t>Naik, K.J.</t>
  </si>
  <si>
    <t>Found in: Scopus; IEEE · DOI: 10.1109/FET68771.2026.11601583</t>
  </si>
  <si>
    <t>Modern data-intensive applications such as personalized recommendation systems, IoT analytics, and healthcare prediction rely on multi-dimensional and highly sparse tensors for modelling user-item-context relationships. Ensuring privacy in these settings is a persistent challenge, as Fully Homomorphic Encryption (FHE) enables encrypted computation but incurs heavy computational overhead and noise accumulation. To address these inefficiencies, this paper proposes HSTF- FHE, a Hybrid Sparse Tensor Factorization framework that integrates block-compressed sparse tensor representation, adaptive encryption level control, and SIMD-parallel encrypted computation to achieve secure and scalable tensor learning. The first innovation, the Block-Compressed Sparse Tensor (BCST) structure, transforms high-dimensional sparse tensors into compact encrypted blocks, reducing ciphertext redundancy by 45.1% and communication rounds by 59.1%compared to CSR-FHE. Secondly, the Adaptive FHE Level Control dynamically manages encryption modulus levels and employs lazy bootstrapping, minimizing noise growth and improving computational efficiency by up to 40%. Thirdly, SIMD-based Encrypted Tensor Batch Processing accelerates parallel updates, achieving an overall 2.3× reduction in runtime compared to conventional FHE-based matrix factorization.Experimental evaluations on the MovieLens 100K dataset demonstrate that HSTF-FHE achieves an RMSE of 0.827, maintaining accuracy comparable to plaintext models (0.820) while reducing training time from 472 s (CSR-FHE) to 218 s. The framework also exhibits faster convergence and better noise stability under 32-bit fractional precision, ensuring practical scalability for large, encrypted recommender systems. These results establish HSTF-FHE as a promising step toward privacy-preserving, high-performance tensor learning, suitable for deployment in sensitive domains such as healthcare, finance, and IoT-based personalized analytics. © 2026 IEEE.</t>
  </si>
  <si>
    <t>R0789</t>
  </si>
  <si>
    <t>Optimizing Privacy-Preserving Machine Learning: Comparative Insights from Encrypted Logistic Regression and SVM</t>
  </si>
  <si>
    <t>Sharma, V.; Jaiswal, A.</t>
  </si>
  <si>
    <t>Found in: Scopus; IEEE · DOI: 10.1109/NETCRYPT65877.2025.11102548</t>
  </si>
  <si>
    <t>This research presents a hybrid framework combining machine learning and cryptographic techniques for privacy-preserving spam email classification. Logistic Regression (LR) and Support Vector Machines (SVM) are employed, leveraging advanced preprocessing methods like tokenization, TF-IDF vectorization, and word embeddings for feature extraction. Homomorphic Encryption using the Paillier cryptosystem ensures computations on encrypted data, preserving privacy without compromising accuracy. LR demonstrates efficiency in training speed and interpretability, while SVM offers slightly better precision for imbalanced datasets. Encryption overhead challenges are addressed through modular arithmetic optimizations and sparse matrix representations. Evaluated on metrics such as accuracy, precision, recall, and F1-score, the framework balances robust classification with data security. This work highlights the feasibility of integrating cryptography into machine learning pipelines for secure and efficient spam detection, with potential applications in domains like healthcare and finance. Future work aims to enhance scalability, adopt transformer-based feature representation, and optimize real-time performance.  © 2025 IEEE.</t>
  </si>
  <si>
    <t>R0790</t>
  </si>
  <si>
    <t>Fair-LDP: Uncertainty-Guided Fairness and Privacy for Federated Healthcare Learning</t>
  </si>
  <si>
    <t>Chen, D.; Zhang, Q.; Kaplan, L.; Josang, A.; Jeong, D.; Chen, F.; Cho, J.-H.</t>
  </si>
  <si>
    <t>Found in: Scopus; IEEE · DOI: 10.1109/ICDM65498.2025.00020</t>
  </si>
  <si>
    <t>Federated Learning (FL) offers a promising approach for collaborative model training in healthcare while preserving data privacy. However, existing FL methods often fall short in addressing two critical challenges: client-level fairness and compounded uncertainty from data heterogeneity and privacy-preserving mechanisms. We propose fair-LDP, a fairness-aware Local Differential Privacy framework that promotes fairness and privacy via uncertainty-guided aggregation in federated healthcare AI. fair-LDP leverages evidential neural networks (ENNs) to quantify predictive uncertainty and introduces a novel strategy that uses uncertainty-driven local differential privacy to guide fairness-aware updates while preserving data privacy. This ensures equitable performance across clients with varying data quality while mitigating the influence of unreliable or outlier updates. fair-LDP incorporates an adaptive mechanism that adjusts each client's privacy budget based on model performance, balancing fairness, privacy, and accuracy. We evaluate fair-LDP on real-world healthcare datasets under both IID and non-IID settings. Our experimental results show that it consistently outperforms state-of-the-art fairness-aware and privacy-preserving FL baselines, with no added computational overhead, while maintaining privacy guarantees comparable to homomorphic encryption and secure multiparty computation. By integrating uncertainty modeling, fairness-aware aggregation, and adaptive local differential privacy, fair-LDP provides a practical and principled solution for responsible, equitable, and privacy-preserving federated learning in healthcare. © 2025 IEEE.</t>
  </si>
  <si>
    <t>R0791</t>
  </si>
  <si>
    <t>Privacy-Preserving in Medical Image Analysis: A Review of Methods and Applications</t>
  </si>
  <si>
    <t>Zhu, Y.; Yin, X.; Wee-Chung Liew, A.; Tian, H.</t>
  </si>
  <si>
    <t>Found in: Scopus · DOI: 10.1007/978-981-96-4207-6_15</t>
  </si>
  <si>
    <t>With the rapid advancement of artificial intelligence and deep learning, medical image analysis has become a critical tool in modern healthcare, significantly improving diagnostic accuracy and efficiency. However, AI-based methods also raise serious privacy concerns, as medical images often contain highly sensitive patient information. This review offers a comprehensive overview of privacy-preserving techniques in medical image analysis, including encryption, differential privacy, homomorphic encryption, federated learning, and generative adversarial networks. We explore the application of these techniques across various medical image analysis tasks, such as diagnosis, pathology, and telemedicine. Notably, we organizes the review based on specific challenges and their corresponding solutions in different medical image analysis applications, so that technical applications are directly aligned with practical issues, addressing gaps in the current research landscape. Additionally, we discuss emerging trends, such as zero-knowledge proofs and secure multi-party computation, offering insights for future research. This review serves as a valuable resource for researchers and practitioners and can help advance privacy-preserving in medical image analysis. © The Author(s), under exclusive license to Springer Nature Singapore Pte Ltd. 2025.</t>
  </si>
  <si>
    <t>R0792</t>
  </si>
  <si>
    <t>Confidential and Protected Disease Classifier using Fully Homomorphic Encryption</t>
  </si>
  <si>
    <t>Malik, A.; Ratha, N.; Yalavarthi, B.; Sharma, T.; Kaushik, A.; Jutla, C.</t>
  </si>
  <si>
    <t>Found in: Scopus; IEEE · DOI: 10.1109/CAI59869.2024.00074</t>
  </si>
  <si>
    <t>With the rapid surge in the prevalence of Large Language Models (LLMs), individuals are increasingly turning to conversational AI for initial insights across various domains, including health-related inquiries such as disease diagnosis. Many users seek potential causes on platforms like ChatGPT or Bard before consulting a medical professional for their ailment. These platforms offer valuable benefits by streamlining the diagnosis process, alleviating the significant workload of healthcare practitioners, and saving users both time and money by avoiding unnecessary doctor visits. However, Despite the convenience of such platforms, sharing personal medical data online poses risks, including the presence of malicious platforms or potential eavesdropping by attackers. To address privacy concerns, we propose a novel framework combining FHE and Deep Learning for a secure and private diagnosis system. Operating on a question-and-answer-based model akin to an interaction with a medical practitioner, this end-to-end secure system employs Fully Homomorphic Encryption (FHE) to handle encrypted input data. Given FHE's computational constraints, we adapt deep neural networks and activation functions to the encryted domain. Further, we also propose a faster algorithm to compute summation of ciphertext elements. Through rigorous experiments, we demonstrate the efficacy of our approach. The proposed framework achieves strict security and privacy with minimal loss in performance. © 2024 IEEE.</t>
  </si>
  <si>
    <t>R0793</t>
  </si>
  <si>
    <t>ENNigma: A framework for Private Neural Networks</t>
  </si>
  <si>
    <t>Barbosa, P.; Amorim, I.; Maia, E.; Praça, I.</t>
  </si>
  <si>
    <t>Found in: Scopus · DOI: 10.1016/j.future.2025.107719</t>
  </si>
  <si>
    <t>The widespread use of the Internet and digital services has significantly increased data collection and processing. Critical domains like healthcare rely on this data, but privacy and security concerns limit its usability, constraining the performance of intelligent systems, particularly those leveraging Neural Networks (NNs). NNs require high-quality data for optimal performance, but existing privacy-preserving methods, such as Federated Learning and Differential Privacy, often degrade model accuracy. While Homomorphic Encryption (HE) has emerged as a promising alternative, existing HE-based methods face challenges in computational efficiency and scalability, limiting their real-world application. To address these issues, we introduce ENNigma, a novel framework employing state-of-the-art Fully Homomorphic Encryption techniques. This framework introduces optimizations that significantly improve the speed and accuracy of encrypted NN operations. Experiments conducted using the CIC-DDoS2019 dataset — a benchmark for Distributed Denial of Service attack detection — demonstrate ENNigma's effectiveness. A classification performance with a maximum relative error of 1.01% was achieved compared to non-private models, while reducing multiplication time by up to 59% compared to existing FHE-based approaches. These results highlight ENNigma's potential for practical, privacy-preserving neural network applications. © 2025 The Authors</t>
  </si>
  <si>
    <t>R0794</t>
  </si>
  <si>
    <t>Privc: Privacy Preserving Verifiable Computation</t>
  </si>
  <si>
    <t>Gajera, H.; Das, M.L.</t>
  </si>
  <si>
    <t>Found in: Scopus; IEEE · DOI: 10.1109/COMSNETS48256.2020.9027488</t>
  </si>
  <si>
    <t>Verifiable computation in cloud setup with a privacy-preserving feature is an interesting research problem which can find application in monitoring system such as healthcare application. For example, a public cloud service provider can facilitate computation service on patients data or symptoms based on doctors prescription (e.g., prediction function) without letting the cloud server know on anything about patient's data and the patient can verify the computed response. We present a privacy-preserving verifiable computation (PriVC) scheme in which the server can authenticate a user in a privacy-preserving manner, and compute on encrypted data of the user stored in the public cloud. The server provides the proof of computation which can be verified by the user. The PriVC preserves the privacy of the user and ensures undeniability of the service offered as well as the service consumed. The PriVC scheme uses homomorphic encryption for user data encryption and a private polynomial function for computation on encrypted data. We show that the PriVC scheme is secure under indistinguishability against chosen function attack (IND-CFA), and the proof of computation is unforgeable in the standard model. © 2020 IEEE.</t>
  </si>
  <si>
    <t>R0795</t>
  </si>
  <si>
    <t>Towards compute-efficient Byzantine-robust federated learning with fully homomorphic encryption</t>
  </si>
  <si>
    <t>Jiang, S.; Yang, H.; Xie, Q.; Ma, C.; Wang, S.; Liu, Z.; Xiang, T.; Xing, G.</t>
  </si>
  <si>
    <t>Found in: Scopus · DOI: 10.1038/s42256-025-01107-6</t>
  </si>
  <si>
    <t>In highly regulated domains such as finance and healthcare, where stringent data-sharing constraints pose substantial obstacles, federated learning (FL) has emerged as a transformative paradigm in distributed machine learning, facilitating collaborative model training, preserving data decentralization and upholding governance standards. Despite its advantages, FL is vulnerable to poisoning attacks during central model aggregation, prompting the development of Byzantine-robust FL systems that use robust aggregation rules to counter malicious attacks. However, neural network models in such systems are susceptible to unintentionally memorizing and revealing individual training instances, thereby introducing substantial information leakage risks, as adversaries may exploit this vulnerability to reconstruct sensitive data through model outputs transmitted over the air. Existing solutions fall short of providing a viable Byzantine-robust FL system that is completely secure against information leakage and is computationally efficient. To address these concerns, we propose Lancelot, an efficient and effective Byzantine-robust FL framework that uses fully homomorphic encryption to safeguard against malicious client activities. Lancelot introduces a mask-based encrypted sorting mechanism that overcomes the limitations of multiplication depth in ciphertext sorting with zero information leakage. It incorporates cryptographic enhancements like lazy relinearization, dynamic hoisting and GPU acceleration to ensure practical computational efficiency. Extensive experiments demonstrate that Lancelot surpasses existing approaches, achieving a 20-fold enhancement in processing speed. © The Author(s), under exclusive licence to Springer Nature Limited 2025.</t>
  </si>
  <si>
    <t>R0796</t>
  </si>
  <si>
    <t>HEECCNB: An Efficient IoT-Cloud Architecture for Secure Patient Data Transmission and Accurate Disease Prediction in Healthcare Systems</t>
  </si>
  <si>
    <t>Veena, C.; Sridevi, M.; Liyakat, K.K.S.; Saha, B.; Reddy, S.R.; Shirisha, N.</t>
  </si>
  <si>
    <t>Found in: Scopus; IEEE · DOI: 10.1109/ICIIP61524.2023.10537627</t>
  </si>
  <si>
    <t>The rapid expansion of the Internet of Things (IoT) in various fields has brought about significant advancements in data processing capabilities, in particular with the advent of IoT-cloud-based devices. Among these advancements, the healthcare system stands as one of the most intriguing IoT-Cloud integration uses cases. However, ensuring the security and privacy of patient data has become a critical concern, necessitating the development of robust protective measures. This research addresses the challenges of data security and computation overhead in the context of an IoT-cloud-based health system. A novel strategy dubbed Homomorphic Encryption with Elliptical Curve Cryptography integrated with Naive Bayes (HEECCNB) is put forth to address these problems. This approach is intended to enable precise disease prediction based on the gathered IoT sensor data while simultaneously providing good patient data privacy inside the IoT Health Cloud system. By employing homomorphic encryption, sensitive patient information can be securely processed and analyzed within the cloud environment without the need for decryption, preserving the confidentiality of the data. Furthermore, the integration of Elliptical Curve Cryptography enhances the security of the system by providing efficient and robust cryptographic operations. The proposed HEECCNB approach demonstrates promising results in both data protection and disease prediction. Through experiments conducted on the IoT Health Cloud scheme, the research validates the effectiveness of the projected method in safeguarding patient data and accurately predicting diseases based on IoT sensor data. Hence, the HEECCNB approach presents a compelling solution to the data security and computation overhead challenges faced in IoT-cloud-based health systems. Its successful implementation could significantly enhance the overall functionality and trustworthiness of such systems, facilitating the integration of IoT technologies in healthcare for improved patient outcomes and data privacy. © 2023 IEEE.</t>
  </si>
  <si>
    <t>R0797</t>
  </si>
  <si>
    <t>Data Obfuscation Through Latent Space Projection for Privacy-Preserving AI Governance: Case Studies in Medical Diagnosis and Finance Fraud Detection</t>
  </si>
  <si>
    <t>Vaijainthymala Krishnamoorthy M</t>
  </si>
  <si>
    <t>Found in: PubMed · DOI: 10.2196/70100 · PMID: 40072927</t>
  </si>
  <si>
    <t>BACKGROUND: The increasing integration of artificial intelligence (AI) systems into critical societal sectors has created an urgent demand for robust privacy-preserving methods. Traditional approaches such as differential privacy and homomorphic encryption often struggle to maintain an effective balance between protecting sensitive information and preserving data utility for AI applications. This challenge has become particularly acute as organizations must comply with evolving AI governance frameworks while maintaining the effectiveness of their AI systems. OBJECTIVE: This paper aims to introduce and validate data obfuscation through latent space projection (LSP), a novel privacy-preserving technique designed to enhance AI governance and ensure responsible AI compliance. The primary goal is to develop a method that can effectively protect sensitive data while maintaining essential features necessary for AI model training and inference, thereby addressing the limitations of existing privacy-preserving approaches. METHODS: We developed LSP using a combination of advanced machine learning techniques, specifically leveraging autoencoder architectures and adversarial training. The method projects sensitive data into a lower-dimensional latent space, where it separates sensitive from nonsensitive information. This separation enables precise control over privacy-utility trade-offs. We validated LSP through comprehensive experiments on benchmark datasets and implemented 2 real-world case studies: a health care application focusing on cancer diagnosis and a financial services application analyzing fraud detection. RESULTS: LSP demonstrated superior performance across multiple evaluation metrics. In image classification tasks, the method achieved 98.7% accuracy while maintaining strong privacy protection, providing 97.3% effectiveness against sensitive attribute inference attacks. This performance significantly exceeded that of traditional anonymization and privacy-preserving methods. The real-world case studies further validated LSP's effectiveness, showing robust performance in both health care and financial applications. Additionally, LSP demonstrated strong alignment with global AI governance frameworks, including the General Data Protection Regulation, the California Consumer Privacy Act, and the Health Insurance Portability and Accountability Act. CONCLUSIONS: LSP represents a significant advancement in privacy-preserving AI, offering a promising approach to developing AI systems that respect individual privacy while delivering valuable insights. By embedding privacy protection directly within the machine learning pipeline, LSP contributes to key principles of fairness, transparency, and accountability. Future research directions include developing theoretical privacy guarantees, exploring integration with federated learning systems, and enhancing latent space interpretability. These developments position LSP as a crucial tool for advancing ethical AI practices and ensuring responsible technology deployment in privacy-sensitive domains.</t>
  </si>
  <si>
    <t>R0798</t>
  </si>
  <si>
    <t>Enhancement of Cybersecurity in AI Services Using Hybrid Homomorphic Encryption</t>
  </si>
  <si>
    <t>Al-Okbi, M.S.H.; Mnati, S.A.; jawed, N.A.</t>
  </si>
  <si>
    <t>Found in: Scopus · DOI: 10.1007/978-3-032-07244-3_6</t>
  </si>
  <si>
    <t>The fast progression of Artificial Intelligence (AI) in nearly all fields is equated with a high number of cyber-attacks aimed at ruining AI models. This important challenge of ensuring that data privacy holds in the course of computation remains consistently a big hurdle to the widespread adoption of AI services. The techniques of Privacy-Preserving Artificial AI (PPAI) such as Homomorphic Encryption (HE) make it possible to securely carry out computations on encrypted data. However, conventional HE often suffers from scalability and computational efficiency bottleneck, which are not suitable in resource constrained environments. In order to tackle these challenges, this paper presents a Hybrid Homomorphic Encryption (HHE) technique that makes use of the symmetric cryptography along with HE to strengthen both security and performance for AI services. With that in mind, we present the GuardAI framework, a new framework that is meant to be used for deploying AI applications, where the applications run on resource limited devices. Encrypted data classification is made possible by GuardAI which also ensures data confidentiality of the input data as well as AI models. Finally, we evaluate the performance of the proposed HHE method on a heart disease classification task using electrocardiogram (ECG) signals as an example of data contamination susceptible signals. We demonstrate that the proposed approach provides strong data privacy while resulting in little computational and communication overhead, at least as good as unencrypted inference in classification accuracy. The contribution of this work is to lay the foundation to integrate HHE in AI based cybersecurity solutions, specifically in computationally constrained environments. This work strengthens the security of AI services, by providing both increased privacy and efficiency, and thereby increases their resilience to emerging cyber threats. © The Author(s), under exclusive license to Springer Nature Switzerland AG 2026.</t>
  </si>
  <si>
    <t>R0799</t>
  </si>
  <si>
    <t>Three-Input Ciphertext Multiplication for Homomorphic Encryption</t>
  </si>
  <si>
    <t>Akherati, S.; Tang, Y.J.; Zhang, X.</t>
  </si>
  <si>
    <t>Found in: Scopus; IEEE · DOI: 10.1109/ISCAS56072.2025.11043334</t>
  </si>
  <si>
    <t>Homomorphic encryption (HE) allows computations to be directly carried out on ciphertexts and is essential to privacy-preserving computing, such as neural network inference, medical diagnosis, and financial data analysis. Only addition and 2-input multiplication are defined over ciphertexts in popular HE schemes. However, many HE applications involve non-linear functions and they need to be approximated using high-order polynomials to maintain precision. To reduce the complexity of these computations, this paper proposes 3-input ciphertext multiplication. One extra evaluation key is introduced to carry out the relinearization step of ciphertext multiplication, and new formulas are proposed to combine computations and share intermediate results. Compared to using two consecutive 2-input multiplications, computing the product of three ciphertexts utilizing the proposed scheme leads to almost a half of the latency, 29% smaller silicon area, and lower noise without sacrificing the throughput. © 2025 IEEE.</t>
  </si>
  <si>
    <t>R0800</t>
  </si>
  <si>
    <t>No more privacy Concern: A privacy-chain based homomorphic encryption scheme and statistical method for privacy preservation of user's private and sensitive data</t>
  </si>
  <si>
    <t>Sathish Kumar, G.; Premalatha, K.; Uma Maheshwari, G.; Rajesh Kanna, P.</t>
  </si>
  <si>
    <t>Found in: Scopus · DOI: 10.1016/j.eswa.2023.121071</t>
  </si>
  <si>
    <t>Internet giants collects a huge volume of data using the modern technologies and apply them to data mining for prediction and decision making in numerous fields, for instance, health care, web analysis, insurance, market basket analysis and bioinformatics. However, the huge repositories collects variety of data, it inevitably gathers a mass of private and sensitive data about the users. The revelation of such private and sensitive information may harm the user's privacy. In recent years, privacy is becoming an increasingly main concern in many data mining applications. Privacy preserving data mining (PPDM) has been evolved as the solution for the privacy issues. PPDM deals with protecting the individual's data without compromising the data utility. In this paper, privacy-chain based homomorphic encryption scheme along with the statistical transformation method weight of evidence and information value is proposed to preserve the private and sensitive information about the user. The proposed statistical transformation with homomorphic encryption (STHE) algorithm will perturb both the numerical and categorical values from the adult income, bank marketing and lung cancer datasets without affecting the data utility. In STHE, the quasi-identifiers are initially perturbed with IV and then privacy-chain based homomorphic encryption using RSA is applied to preserve the data privacy. The performance of the STHE algorithm is made compared with the state-of-the-art algorithms using the classifier models, decision tree, random forest, extreme gradient boost, and support vector machines. The experimental results shows that the proposed STHE algorithm outperforms the existing techniques in terms of accuracy, performance, data transformation, data retrieval and privacy preservation level along with the data utility. © 2023 Elsevier Ltd</t>
  </si>
  <si>
    <t>R0801</t>
  </si>
  <si>
    <t>Labeling without Seeing? Blind Annotation for Privacy-Preserving Entity Resolution</t>
  </si>
  <si>
    <t>Yao, Y.; Jin, W.; Ravi, S.</t>
  </si>
  <si>
    <t>The entity resolution problem requires finding pairs across datasets that belong to different owners but refer to the same entity in the real world. To train and evaluate solutions (either rule-based or machine-learning-based) to the entity resolution problem, generating a ground truth dataset with entity pairs or clusters is needed. However, such a data annotation process involves humans as domain oracles to review the plaintext data for all candidate record pairs from different parties, which inevitably infringes the privacy of data owners, especially in privacy-sensitive cases like medical records. To the best of our knowledge, there is no prior work on privacy-preserving ground truth labeling in the context of entity resolution. We propose a novel blind annotation protocol based on homomorphic encryption that allows domain oracles to collaboratively label ground truth without sharing data in plaintext with other parties. In addition, we design a domain-specific, user-friendly language that conceals the complex underlying homomorphic encryption circuits, making it more accessible and easier for users to adopt this technique. The empirical experiments indicate the feasibility of our privacy-preserving protocol (f-measure on average achieves more than 90% compared with the real ground truth). © 2025, Transactions on Machine Learning Research. All rights reserved.</t>
  </si>
  <si>
    <t>R0802</t>
  </si>
  <si>
    <t>Efficient privacy-preserving LSTM inference on encrypted sequential data</t>
  </si>
  <si>
    <t>He, Q.; Chen, J.; Wu, W.; Feng, Y.</t>
  </si>
  <si>
    <t>Found in: Scopus · DOI: 10.1016/j.neucom.2026.134508</t>
  </si>
  <si>
    <t>Recent advances in fully homomorphic encryption (FHE) have enabled privacy-preserving machine learning directly over encrypted data. As a representative recurrent architecture, the long short-term memory (LSTM) network is widely used for modeling sequential dependencies, yet existing FHE-based LSTM inference schemes still suffer from high latency and limited scalability. In this paper, we present an efficient privacy-preserving LSTM inference protocol on encrypted sequential data based on FHE. We insert a lightweight normalization module before nonlinear activations to bound the hidden states, thereby enabling accurate low-degree polynomial approximations of the Sigmoid, Tanh, and inverse-square-root functions via a hybrid Remez and least-squares strategy. We implement the proposed protocol using the Lattigo library, incorporating ciphertext packing optimization, rotation minimization, and SIMD-based parallelization. Experiments show that on standard text classification benchmarks, our encrypted LSTM achieves competitive accuracy compared with plaintext models and consistently outperforms the state-of-the-art FHE-based method, achieving up to a 4.7x speedup. © 2026 Elsevier B.V.</t>
  </si>
  <si>
    <t>R0803</t>
  </si>
  <si>
    <t>Compressive Sensing Based on Homomorphic Encryption and Attack Classification using Machine Learning Algorithm in WSN Security</t>
  </si>
  <si>
    <t>Ifzarne, S.; Hafidi, I.; Idrissi, N.</t>
  </si>
  <si>
    <t>Found in: Scopus · DOI: 10.1145/3386723.3387859</t>
  </si>
  <si>
    <t>Data protection is essential for sensitive applications using Wireless Sensor Networks like health monitoring or video surveillance. WSN are deployed generally in harsh environment making them vulnerable for attacks thus it's important to secure data while being transferred from the sensor until the base station. This article is a proposal for a methodology which enable attack detection and classification on WSN. Compressive sensing is used to optimize the size of data exchange and hence optimize energy consumption. Homomorphic encryption allows to reduce encryption complexity by applying arithmetic operations on cypher text. Machine learning is applied to classify the attacks quickly. © 2020 ACM.</t>
  </si>
  <si>
    <t>R0804</t>
  </si>
  <si>
    <t>A Secure, Flexible, and PPG-Based Biometric Scheme for Healthy IoT Using Homomorphic Random Forest</t>
  </si>
  <si>
    <t>Zhang, L.; Li, A.; Chen, S.; Ren, W.; Choo, K.-K.R.</t>
  </si>
  <si>
    <t>Found in: Scopus · DOI: 10.1109/JIOT.2023.3285796</t>
  </si>
  <si>
    <t>Advances in the Internet of Things, such as biosensing and camera-capturing technologies, have also resulted in biometric-based authentication approaches becoming more viable. Photoplethysmography (PPG), for example, can be leveraged to provide better biometric features for continuous authentication, in comparison to other biometrics such as fingerprint. However, the fewer morphological features in PPG signals can complicate the accurate authentication of PPG signals. Furthermore, one has to also consider transmission security and PPG template storage security. These two considerations are typically not taken into consideration in most existing PPG-based authentication schemes. Therefore, we design a secure PPG-based biometric system to achieve accurate authentication with biometric privacy protection. In our design, Homomorphic Random Forest is adopted to classify the homomorphically encrypted biometric features, thus protecting the user's PPG biometrics from being compromised in authentication. Furthermore, beat qualification screening is set up to avoid the interference of unqualified signals, and 19 features with the least redundancy from the 541 features extracted are selected as the biometric features of the user. Doing so allows us to ensure the accuracy of authentication, as demonstrated in our evaluations using five PPG databases collected by three different collection methods (contact, remote, and monitor). In addition, our experiments adopt PPG signals acquired from remote cameras, which are not considered in other PPG-based biometric systems. The experimental results show that the average accuracy of our biometric system is 96.4%, the F1 score is 96.1%, the equal error rate is 2.14%, and the authentication time is about 0.5 s.  © 2014 IEEE.</t>
  </si>
  <si>
    <t>R0805</t>
  </si>
  <si>
    <t>A New IoT-Edge Accelerator With On-Chip Learning Toward Secured Blood Flow Volume Monitoring Based on PPG and Personalized Models</t>
  </si>
  <si>
    <t>Nguyen, D.H.; Wu, H.-C.; Chao, P.C.-P.; Chen, Y.-J.; Chen, H.-L.</t>
  </si>
  <si>
    <t>Found in: Scopus; IEEE · DOI: 10.1109/JIOT.2025.3531542</t>
  </si>
  <si>
    <t>A hardware accelerator at edge for estimating blood flow volume (BFV) based on photoplethysmography (PPG) from an IoT sensor is successfully designed with on-chip learning for personalization. The success of estimating BFV via PPG helps greatly hemodialysis patients to monitor constantly and ubiquitously the quality of their arteriovenous fistulas or grafts. This accelerator with a BFV estimating algorithm implemented at edge enables faster fine-tuning computation toward favorable accuracy and secure operation without personal biological PPG data transmitted over the fly. The accelerator was built to a chip with a neural network (NN) designed via field programmable gate array (FPGA), consisting mainly of a forward unit for estimating BFV and a backward propagation by an inferencing model. The inferencing is built upon the data collected off-line, and then updated via transfer learning at edge based on additional personal data, i.e., toward personalization of the inference model. In the NN, PPG signal is first filtered through a band-pass filter to remove the noise, while power spectrum density (PSD) and direct current (DC) components are extracted as features to predict BFV. The method of cross-domain clock (CDC) with different clock operations in forward and backward propagations is employed in the accelerator to increase computing efficiency. The results show a significant accuracy increase in predicting BFV from 0.932 by the pretrained model to 0.985 by the personalized model executed in the developed accelerator chip at edge, and superior to all others reported in prior arts. © 2014 IEEE.</t>
  </si>
  <si>
    <t>R0806</t>
  </si>
  <si>
    <t>Privacy-Preserving Lung Disease Classification via ResNet50 Feature Extraction and Fully Homomorphic Encryption</t>
  </si>
  <si>
    <t>Tuan, H.A.; Nhat Khang, N.H.; Nguyen, P.P.; Tung, D.M.</t>
  </si>
  <si>
    <t>Found in: Scopus; IEEE · DOI: 10.1109/ATIGB66719.2025.11142158</t>
  </si>
  <si>
    <t>Maintaining patient privacy while ensuring diagnostic accuracy poses a critical challenge in the advancement of AI applications in healthcare. This study proposes an approach to lung disease classification leveraging Fully Homomorphic Encryption (FHE) through the Concrete-ML framework, enabling secure inference on encrypted data without exposing sensitive medical information. We evaluate the performance of FHE-based inference using two machine learning models: Logistic Regression (LR) and Decision Tree (DT). When applied to encrypted features extracted from chest X-rays, these models achieved classification accuracies of 73% and 51%, respectively. Given the computational overhead associated with FHE, direct processing of raw images and complex models remains impractical. To mitigate this, input images are pre-processed-typically resized using bicubic interpolation-and feature extraction is conducted using convolutional neural networks such as ResNet50 prior to encryption. Results show that while Decision Tree are limited under FHE, Logistic Regression offers a practical balance between privacy and performance. © 2025 IEEE.</t>
  </si>
  <si>
    <t>R0807</t>
  </si>
  <si>
    <t>Secure similar patients query with homomorphically evaluated thresholds</t>
  </si>
  <si>
    <t>Found in: Scopus · DOI: 10.1016/j.jisa.2024.103861</t>
  </si>
  <si>
    <t>Patient-centric precision medicine requires the analysis of large volumes of genomic data to tailor treatments and medications based on individual-level characteristics. Because the amount of data held by a single institution is limited, researchers may want access to genomic data held by other institutions. Owing to the inherent privacy implications of genomic data, performing comparisons on encrypted data is preferable in certain settings. The Similar patient query (SPQ) is an application that enables a secure search across genomic databases for patients with similar genetic makeup. Query results can be used to draw meaningful conclusions regarding suitable therapies. However, existing protocols either reveal intermediate computations, such as similarity scores, which can lead to membership-inference attacks, or they realize the ideal Boolean output (similar/not similar) through multiple protocol rounds, requiring the database owners to stay online throughout. This paper introduces a two-party privacy-preserving approach to perform SPQs across encrypted genomic databases based on secure function extensions of additively homomorphic encryption. In contrast to related works, our scheme enables secure computation of genomic data similarity without an external party in a single round. This is achieved for more than 1000 positions of a genome in a single public key operation of 256-bit security level in the integer factorization setting. © 2024 The Author(s)</t>
  </si>
  <si>
    <t>R0808</t>
  </si>
  <si>
    <t>FedMedNet: A Federated Privacy-Preserving Framework for Multi-Modal EHR-Based Clinical Outcome Prediction</t>
  </si>
  <si>
    <t>Nair, R.R.; Babu, T.; Nayak, D.</t>
  </si>
  <si>
    <t>Found in: Scopus · DOI: 10.1016/j.procs.2026.05.102</t>
  </si>
  <si>
    <t>Electronic health records (EHRs) contain rich multimodal data which is important in predictive modeling in the medical field. Nevertheless, the data heterogeneity and privacy policies restrict the feasibility of centralized learning in institutions. The proposed study describes FedMedNet that is a federated learning architecture which combines structured clinical information, medical imaging, and textual annotations whilst ensuring patient privacy. The novel architecture of FedMedNet enables healthcare providers to work together and use homomorphic encryption and differential privacy in a secure way. It employs adaptive aggregation with quality and staleness-aware client weighting to support accurate and robust global modeling. Experiments conducted on the MIMIC III and IV datasets show that FedMedNet achieves an AUROC of 0.892 in mortality prediction, performing within 0.6 percent of the centralized baseline and surpassing other federated approaches. Additionally, it demonstrates strong resistance to membership and reconstruction attacks while reducing communication overhead by 38.7 percent. FedMedNet enables real-world deployment of trustworthy and privacy-compliant AI in healthcare without compromising institutional autonomy. © 2026 The Authors.</t>
  </si>
  <si>
    <t>R0809</t>
  </si>
  <si>
    <t>PReDIHERO - Privacy-Preserving Remote Deep Learning Inference based on Homomorphic Encryption and Reversible Obfuscation for Enhanced Client-side Overhead in Pervasive Health Monitoring</t>
  </si>
  <si>
    <t>Boulemtafes, A.; Derhab, A.; Ali Braham, N.A.; Challal, Y.</t>
  </si>
  <si>
    <t>Found in: Scopus; IEEE · DOI: 10.1109/AICCSA53542.2021.9686893</t>
  </si>
  <si>
    <t>Homomorphic Encryption is one of the most promising techniques to deal with privacy concerns, which is raised by remote deep learning paradigm, and maintain high classification accuracy. However, homomorphic encryption-based solutions are characterized by high overhead in terms of both computation and communication, which limits their adoption in pervasive health monitoring applications with constrained client-side devices. In this paper, we propose PReDIHERO, an improved privacy-preserving solution for remote deep learning inferences based on homomorphic encryption. The proposed solution applies a reversible obfuscation technique that successfully protects sensitive information, and enhances the client-side overhead compared to the conventional homomorphic encryption approach. The solution tackles three main heavyweight client-side tasks, namely, encryption and transmission of private data, refreshing encrypted data, and outsourcing computation of activation functions. The efficiency of the client-side is evaluated on a healthcare dataset and compared to a conventional homomorphic encryption approach. The evaluation results show that PReDIHERO requires increasingly less time and storage in comparison to conventional solutions when inferences are requested. At two hundreds inferences, the improvement ratio could reach more than 30 times in terms of computation overhead, and more than 8 times in terms of communication overhead. The same behavior is observed in sequential data and batch inferences, as we record an improvement ratio of more than 100 times in terms of computation overhead, and more than 20 times in terms of communication overhead. © 2021 IEEE.</t>
  </si>
  <si>
    <t>R0810</t>
  </si>
  <si>
    <t>Securing Big Data Storage in a Cloud Environment</t>
  </si>
  <si>
    <t>Deshmukh, P.N.; Deshmukh, V.H.</t>
  </si>
  <si>
    <t>Found in: Scopus; IEEE · DOI: 10.1109/IDICAIHEI65991.2025.11378052</t>
  </si>
  <si>
    <t>The exponential growth of Big Data demands advanced cloud security mechanisms that adapt to emerging cyber threats and ensure efficient data retrieval. Traditional centralized architectures and static encryption strategies struggle against modern attack vectors and scalability challenges. This paper proposes an intelligent cloud security framework integrating AI-driven sensitivity classification, quantum-resistant and adaptive encryption, blockchain-based key management, and multi-cloud redundancy. Homomorphic encryption enables privacy-preserving computation, while an AI-based encrypted search engine enhances secure data retrieval. Extensive simulations across finance, healthcare, and government datasets demonstrate improvements in encryption speed (35 %), storage efficiency (40 %), threat mitigation (28 %), and retrieval time (50 %). The proposed system offers a robust, scalable, and future-ready solution for securing Big Data storage in cloud ecosystems. © 2025 IEEE.</t>
  </si>
  <si>
    <t>R0811</t>
  </si>
  <si>
    <t>Comparison of Fully Homomorphic Encryption and Garbled Circuit Techniques in Privacy-Preserving Machine Learning Inference</t>
  </si>
  <si>
    <t>Cheerla, K.; Othmane, L.B.; Morozov, K.</t>
  </si>
  <si>
    <t>Found in: Scopus; IEEE · DOI: 10.1109/SecDev66745.2025.00014</t>
  </si>
  <si>
    <t>Machine Learning (ML) is making its way into fields such as healthcare, finance, and Natural Language Processing (NLP), and concerns over data privacy and model confidentiality continue to grow. Privacy-preserving Machine Learning (PPML) addresses this challenge by enabling inference on private data without revealing sensitive inputs or proprietary models. Leveraging Secure Computation techniques from Cryptography, two widely studied approaches in this domain are Fully Homomorphic Encryption (FHE) and Garbled Circuits (GC). This work presents a comparative evaluation of FHE and GC for secure neural network inference. A two-layer neural network (NN) was implemented using the CKKS scheme from the Microsoft SEAL library (FHE) and the TinyGarble2.0 framework (GC) by IntelLabs. Both implementations are evaluated under the semi-honest threat model, measuring inference output error, round-trip time, peak memory usage, communication overhead, and communication rounds. Results reveal a trade-off: modular GC offers faster execution and lower memory consumption, while FHE supports non-interactive inference. ©2025 IEEE.</t>
  </si>
  <si>
    <t>R0812</t>
  </si>
  <si>
    <t>Privacy-Preserving Deep Learning in Computational Social Systems via Fully Homomorphic Encryption</t>
  </si>
  <si>
    <t>Wang, L.; Zhu, F.; Bao, L.; Alreshoodi, M.; Chen, X.</t>
  </si>
  <si>
    <t>Found in: Scopus · DOI: 10.1109/TCSS.2025.3631476</t>
  </si>
  <si>
    <t>Privacy-preserving deep learning is crucial for computational social systems such as healthcare and finance, where sensitive high-dimensional data (e.g., images, video, and sensor streams) demands robust confidentiality and model security. Traditional privacy methods often sacrifice accuracy or scalability through simplifications such as dimensionality reduction and polynomial approximations. To overcome these challenges, this article introduces the multilinear tensor product cryptosystem (MTPC), a novel fully homomorphic encryption (FHE) framework. MTPC enables efficient and accurate encrypted inference on deep neural networks with high-dimensional inputs by constructing structured multilinear mappings over ideal lattices. This approach transforms complex operations such as convolutions and nonlinear activations into encrypted tensor contractions, effectively bypassing the quadratic multiplicative depth limitations of conventional FHE schemes. Experimental evaluations on benchmark medical datasets demonstrate a minimal mean calculation error of only 0.87%. MTPC offers a scalable, trustworthy, and practical foundation for secure artificial intelligence (AI) deployment in privacy-sensitive computational social systems. © 2014 IEEE.</t>
  </si>
  <si>
    <t>R0813</t>
  </si>
  <si>
    <t>A Framework for Developing and Optimizing Fully Homomorphic Encryption Programs on GPUs</t>
  </si>
  <si>
    <t>Zhao, J.; Wu, X.; Fan, G.; Zhang, M.; Yan, S.; Ju, L.; Ji, Z.</t>
  </si>
  <si>
    <t>Found in: Scopus · DOI: 10.1145/3779212.3790120</t>
  </si>
  <si>
    <t>In sensitive domains such as healthcare and finance, machine learning increasingly employs Fully Homomorphic Encryption (FHE) to secure both user data and models. Although FHE's intrinsic parallelism naturally aligns with GPU architectures, optimizing GPU kernels alone remains insufficient for efficient end-to-end FHE application development. The inherent complexity of FHE schemes and intricate GPU-specific details impede developers from focusing on high-level program logic. Additionally, FHE's high memory requirements, fine-grained memory operations, and redundant computations introduce further optimization challenges, resulting in inefficiencies even when GPU kernels are individually optimized. This paper introduces EasyFHE, a framework designed to simplify the development and optimization of GPU-accelerated FHE applications. Similar to PyTorch, EasyFHE provides high-level interfaces for defining computational logic while automatically handling low-level tasks, such as implementation selection and memory management. Furthermore, it incorporates an optimization framework that systematically addresses performance bottlenecks by applying tailored optimization passes during the lowering from high-level FHE programs to GPU kernels. Compared to state-of-the-art open-source GPU FHE libraries, EasyFHE uniquely supports FHE programs with memory requirements exceeding typical GPU capacities, achieving an average speedup of 2.88× with a peak of 4.39×.  © 2026 Owner/Author.</t>
  </si>
  <si>
    <t>R0814</t>
  </si>
  <si>
    <t>Ensuring privacy of data in Machine Learning</t>
  </si>
  <si>
    <t>Reshmi, T.; Divakaran, S.</t>
  </si>
  <si>
    <t>Found in: Scopus; IEEE · DOI: 10.1109/RAICS61201.2024.10689750</t>
  </si>
  <si>
    <t>Machine Learning is one of the most popular advancements in technology which is being widely used in various domains, including healthcare, avionics, automotive, business, education, etc. A Machine learning approach works by learning the required knowledge from the data to be supplied by a client system. In a typical scenario, a client entrusts a third-party agency to develop a machine learning application and shares the data to the developer to enable the development of a Machine learning application. This is badly affecting the privacy of data as a third-party is getting access to sensitive data from a client system. Therefore, an effective data encoding technique is required to ensure the privacy of sensitive data while enabling a third-party agency to develop a Machine learning application on the encoded data. Existing data masking/encoding techniques such as pseudonymization, anonymization and substitution are badly affecting the machine learning process as the modification they do for masking data is preventing a machine learning approach to learn the required knowledge. Another approach known in the literature is Fully Homomorphic Encryption. But, there is no tool available based on this technique which enables a client system to mask sensitive data before giving it to a third-party Machine Learning developer. We failed to obtain the expected outcome from an off-the-shelf Machine Learning classifier when we tried to classify a benchmark dataset masked using an available implementation of Fully Homomorphic Encryption. Since enough details about the implementation is not available, we could not find and fix the issues which is causing this problem. We propose a technique based on which we implemented a tool which provides an easy-to-use Graphical User Interface enabling the client to mask sensitive data before giving it to a third-party agency for developing a Machine Learning Application. Our tool enables a client to mask sensitive data through few mouse clicks. We mask sensitive data by applying a modified version of the RSA encryption system. We have applied our tool on three benchmark datasets and applied an off-the-shelf Machine Learning classifier on the datasets masked by our tool and found that the results obtained on the masked datasets are as good as the results obtained on the unmasked datasets. © 2024 IEEE.</t>
  </si>
  <si>
    <t>R0815</t>
  </si>
  <si>
    <t>GenDiabSec: A Federated Recurrent Neural Network with Multistage DNAGen and Blockchain for Secure Collaborative Diabetes Detection</t>
  </si>
  <si>
    <t>Bouarara, H.A.; Rahmani, A.; Rahmani, M.E.; Guendouz, M.</t>
  </si>
  <si>
    <t>Found in: Scopus · DOI: 10.1007/s40998-025-00849-8</t>
  </si>
  <si>
    <t>Recently, ensuring data privacy has become a critical concern in the healthcare sector. This study presents GenDiabSec, a collaborative solution that integrates fully homomorphic encryption (FHE), a federated recurrent neural network, and blockchain-based smart contracts to securely and effectively detect diabetes. In order to maintain data privacy, GenDiabSec introduces a novel FHE scheme called DNAGen, which leverages the N-nucleotide representation, multistage genetic algorithms, homomorphic DNA operations (ADD, SUB, XOR), and the Arabidopsis thaliana DNA database. For local models, each hospital applies a new Patches-Based Bidirectional Recurrent Neural Network (PBRNN) on encrypted learning data, incorporating data augmentation to address the data imbalance issues in the Pima Indian Diabetes Dataset (PIDD). We use Federated learning (FL) for global model to securely aggregate local models without sharing raw data. Experimental evaluations using the PIDD demonstrate the superior performance of our solution, achieving an accuracy of 95%, surpassing other methods such as SVM (86.2%), KNN (82%), CNN (82%), XGBoost (82%), ResNet14 (79.6%), ResNet50 (78.7%), K-means (64.8%), GA-MLP (80%), GRNN (80.2%), RF (79.5%), DT (77.6%), LR (80.2%), MLFNN (81.73%), LDA(72.2%), Bagging(69%), SMO(71.3%) and LSTM (85%). Notably, with a CEE of 0.09 and an RMSE of 0.09, the DNAGen scheme improves detection precision and security level while reducing execution time compared to existing FHE schemes such as CKKS and BGV. Finally, by integrating average federated (AvgFed) with blockchain smart contracts, GenDiabSec facilitates collaborative training between healthcare institutions and decentralized model updates, efficiently scaling to millions of users. © The Author(s), under exclusive licence to Shiraz University 2025.</t>
  </si>
  <si>
    <t>R0816</t>
  </si>
  <si>
    <t>Big Data privacy by design computation platform</t>
  </si>
  <si>
    <t>Claro, R.; Portêlo, J.; Pardal, M.L.; Pinho, R.</t>
  </si>
  <si>
    <t>Found in: Scopus · DOI: 10.1007/978-3-030-13709-0_33</t>
  </si>
  <si>
    <t>We live in the age of Big Data, and personal user data, in particular, is necessary for the operation and improvement of healthcare services. Many times, the capture and use of personal data are not made explicit to the users, but they are central to the business model of companies. However, each person’s right to privacy needs to be respected. With the goal of reconciling these two conflicting needs, we designed and implemented a proof-of-concept platform for performing privacy-preserving computations. In particular, we implemented privacy-preserving versions of Machine Learning algorithms, namely Decision Trees, k-Means, Logistic Regression, and Support Vector Machines, using Secure Multi-party Computations with Homomorphic Encryption and Garbled Circuits. For each combination of Machine Learning algorithms with Secure Multi-party Computation techniques, we present the reasoning behind our choices and their potential consequences in terms of performance. The ultimate goal is to provide Privacy-Preserving Computation as a Service. With this platform, we wish to contribute to the faster integration of solutions developed by the scientific community in enterprise systems, thus reducing the time required for innovation to reach products used by many people where privacy improvements are urgently needed. © Springer Nature Switzerland AG 2019.</t>
  </si>
  <si>
    <t>R0817</t>
  </si>
  <si>
    <t>SE2FL: Scalable, Secure, and Energy-Efficient Federated Learning for Continuous Wearable Health IoT</t>
  </si>
  <si>
    <t>Prajwalasimha, S.N.; Saini, D.K.J.B.; Kolekar, S.; Raghav, G.; Monish, L.; Manjula, M.</t>
  </si>
  <si>
    <t>Found in: Scopus; IEEE · DOI: 10.1109/ICOIICS67115.2025.11390144</t>
  </si>
  <si>
    <t>Accelerating wearable Internet-of-Things (IoT) device proliferation toward perpetual health monitoring produces voluminous levels of sensitive physiological data, while creating unprecedented challenges in privacy preservation, communication overhead, and resource limitations. Federated Learning (FL) presents a promising solution enabling model training across devices without sharing raw data; however, deploying FL in wearable IoT is hindered due to minimal energy supplies, unstable connectivity, and susceptibility to inference and poisoning-based attacks. With this work, we introduce a Secure and Energy-Efficient Federated Learning (SE2FL) framework designed especially for wearable IoT applications in continuous health monitoring. SE2FL blends (i) lightweight homomorphic encryption-based privacy-preserving aggregation, (ii) energy-adaptive client selection considering residual client energy and communication quality, and (iii) a multi-objective optimization approach toward reducing energy expenditure while ensuring model accuracy. Systematic evaluations across benchmark biomedical datasets such as PhysioNet ECG, PAMAP2 activity recognition, and MIMIC-III vital signs indicate SE2FL reduces energy expenditure by up to 37%, reduces communication overhead by up to 24%, and withstands 92% of data poisoning efforts compared to state-of-the-art FL baselines. Our system guarantees scalable, secure, and sustainable FL-based wearable IoT deployment toward perpetual patient monitoring in real-time intervals, having direct relevance to early disease identification, personalized medicine, and future digital infrastructures supporting healthcare. © 2025 IEEE.</t>
  </si>
  <si>
    <t>R0818</t>
  </si>
  <si>
    <t>Examining Federated Learning Architecture's Capability to Protect Data Privacy During the Training of Collaborative Healthcare Models</t>
  </si>
  <si>
    <t>Appavu, N.</t>
  </si>
  <si>
    <t>Found in: Scopus; IEEE · DOI: 10.1109/ICISC65841.2025.11187468</t>
  </si>
  <si>
    <t>Working with artificial intelligence (AI) in the healthcare industry yields revolutionary results, especially when machine learning techniques are used to teamwork. Because patient data is sensitive and subject to stringent rules, central data aggregation is difficult. Federated Learning is a computer technique that allows for the decentralised deployment of artificial intelligence by training models at the source device while preserving the original data locally. By analysing healthcare collaborative systems that comprise EHR data, diagnostic imaging data, and wearable health data, researchers assess a variety of FL designs in terms of their ability to maintain privacy or their learning performance. Horizontal FL, Vertical FL, and Hybrid FL are compared based on their communication requirements, training efficiency, time to convergence, and vulnerability to data exposure. Using device simulations on a Raspberry Pi 4 and an NVIDIA Jetson Nano operating under real-world implementation constraints, the study team conducted experimental assessments. To assess real-world applications, the study uses privacy-protected methods such safe aggregation, homomorphic encryption, and differential privacy inside the FL structure. The optimal balance between superior performance as well as privacy protection in simulation operation is achieved by hybrid FL technology that combines adaptive compression with safe aggregation approaches. Our research offers useful insights into how Federalised Learning facilitates collaborative artificial brains that safeguard the privacy of medical data. By creating operational guidelines for healthcare professionals and AI developers who wish to establish large privacy-protecting smart systems, research that relies on real-world emulation acts as the study's basic novelty. In addition to explanatory model solutions for clinical deployment dependability, developers should concentrate on three primary future directions: using blockchain to enable reporting and customising models on device hardware. © 2025 IEEE.</t>
  </si>
  <si>
    <t>R0819</t>
  </si>
  <si>
    <t>Federated learning for secure and private data analysis in decentralized networks</t>
  </si>
  <si>
    <t>Pradeepa, K.; Sottarov, A.; Deogaonkar, A.; Avasthi, V.; Rakhimov, R.R.; Singhal, A.</t>
  </si>
  <si>
    <t>Found in: Scopus; IEEE · DOI: 10.1109/MEDCOM67532.2025.11405000</t>
  </si>
  <si>
    <t>Federated learning (FL), which allows collaborative machine learning without requiring the centralisation of sensitive data, has become a game-changing concept for private and safe data analysis in decentralised networks. FL enables edge devices or local nodes, such as smartphones, IoT devices, or healthcare facilities, to learn shared models remotely and send only model changes to a central server, in contrast to traditional methods that call for raw data aggregation. This framework lowers communication overhead, mitigates regulatory problems, and greatly improves data privacy and security. FL provides a workable and scalable way to create superior machine learning models in decentralised networks, where data is naturally dispersed and frequently subject to stringent privacy laws. Nevertheless, there are still issues to be resolved, such as managing non-IID data, making sure that systems are resilient to hostile attacks, and preserving effective communication. To further improve FL's privacy-preserving capabilities, recent developments like homomorphic encryption, safe multiparty computation, and differential privacy are being incorporated. This study examines the fundamentals of federated learning, goes over important methods for improving its security and privacy, and talks about how it may be used in a variety of industries, including as healthcare, finance, and smart cities. FL is one of the most important steps to safe and ethical AI in decentralized environments because it allows the collaboration of intelligence and preserves data ownership.  © 2025 IEEE.</t>
  </si>
  <si>
    <t>R0820</t>
  </si>
  <si>
    <t>EHR privacy preservation using federated learning with DQRE-Scnet for healthcare application domains</t>
  </si>
  <si>
    <t>Om Kumar, C.U.; Gajendran, S.; Bhavadharini, R.M.; Suguna, M.; Krithiga, R.</t>
  </si>
  <si>
    <t>Found in: Scopus · DOI: 10.1016/j.knosys.2023.110638</t>
  </si>
  <si>
    <t>A distributed learning technique named Federated Learning (FL) is utilized by mobile devices, clinical research labs, and hospitals for secure healthcare data sharing. FL has been utilized by several researchers for preserving the privacy of Electronic Health Record (EHR) information while updating the global server. Still, the privacy and higher number of communication rounds limit the performance of the model. Hence, this research introduces the privacy-preserving EHR information sharing technique, FL, based on deep Q reinforcement learning with spectral clustering (FL+DQRE-SCnet). In this, the local healthcare information is trained using the DCNN in the respective hospitals based on FL criteria. After learning the local model, the information is shared with the global model for updating the EHR to enhance the accuracy of disease diagnosis. The global model aggregates the information from the local models over several communication rounds by randomly selecting the local models, increasing the need for more communication rounds. Therefore, DQRE-SCnet is introduced before data aggregation to minimize the communication rounds. In addition, including a homomorphic encryption technique ensures privacy protection for FL data sharing. The analysis of FL+DQRE-SCnet based on the assessment measures of accuracy, precision, recall, and F-measure acquired maximal values of 95%, 94.9%, 94.94%, and 93.94%, respectively. Also, the error rate of 0.46 and the execution time of 1400 sec are accomplished by the FL+DQRE-SCnet method. Here, for comparing the performance of the model, the baseline methods like FedAvg, LoAdaBoost, BOFRF, PP-FedAvg and AdaFed are considered, wherein the proposed method acquired superior performance. © 2023 Elsevier B.V.</t>
  </si>
  <si>
    <t>R0821</t>
  </si>
  <si>
    <t>Using Modified Gorti-enhanced Homomorphic Cryptosystem to Improve Security of ECG Signal</t>
  </si>
  <si>
    <t>Besmi, F.Z.; Belkacem, S.; Messaoudi, N.</t>
  </si>
  <si>
    <t>Found in: Scopus · DOI: 10.26636/jtit.2025.2.2002</t>
  </si>
  <si>
    <t>While offering vast data storage capabilities, cloud computing poses numerous security- and privacy-related challenges. This requires robust security measures, particularly for sensitive data, such as electrocardiograms (ECG). Homomorphic encryption (HE) emerges as a promising solution by enabling secure computations to be performed directly on encrypted data. This study introduces a novel approach to enhance the security of ECG data. We modified the Gorti-enhanced homomorphic cryptosystem (MEHC) method by optimizing its key generation procedure and then applied the linear congruential generator (LCG) algorithm to create a list of huge prime integers. Furthermore, we increased the modulus value and enlarged the message space. These enhancements boosted overall security by substantially improving immunity to factorization attacks. We used quantization and fixed-point representation to enhance the encryption process. As an additional security layer, an evaluation process has been added to the proposed algorithm which performs various mathematical operations homomorphically on the encrypted data, rather than on the original data. This modified algorithm enables efficient and secure encryption of ECG data while preserving the ability to reliably identify arrhythmias, such as bradycardia and tachycardia. Using the MIT-BIH arrhythmia database, the proposed MEHC system demonstrated high accuracy (98.48%), sensitivity (99.10%) and positive predictive value (99.33%), while effectively safeguarding the ECG data. These results validate the efficacy of the MEHC system and confirm its suitability for secure and reliable ECG signal processing in healthcare applications. © 2025 National Institute of Telecommunications. All rights reserved.</t>
  </si>
  <si>
    <t>R0822</t>
  </si>
  <si>
    <t>RADIOGRAPHIC STUDY OF THE MEDIAL JOINT SPACE OF THE HIP IN LEGG-CALVÉ-PERTHES DISEASE</t>
  </si>
  <si>
    <t>Dujardin, R.; de Miras, D.P.; Giannotti, C.F.; Nicolau, R.B.; Dobashi, E.T.</t>
  </si>
  <si>
    <t>Found in: Scopus; PubMed · DOI: 10.1590/1413-785220223006e256112 · PMID: 36561482</t>
  </si>
  <si>
    <t>Objective: To evaluate medial joint space in affected and normal contralateral hips in patients with Legg-Calvé-Perthes disease (LCPD). Methods: To compare joint space, femoral head extrusion (FHE), medial space coefficient (MSC) of the hip, and femoral head width (FHW) in affected and normal hips, using 127 radiographs of patients with unilateral LCPD and considering age groups under and over six years old as well as their disease stage. Results: No statistically significant differences were observed regarding MSC between normal and affected hips regardless of disease staging. However, medial joint distance was significantly greater in affected hips than in normal hips. In the necrosis and fragmentation phase, distance from medial space in affected hips was significantly greater than in contralateral normal hips. Comparing only affected hips, MSC and FHW showed statistically significant differences and the group &gt; 6 yo presented higher values. Among normal hips, the group &lt; 6 yo presented a statistically significant difference considering the MSC and FHW. Conclusions: No statistically significant difference was found between the medial joint space of affected and normal hips, except for early stages of the disease (necrosis and fragmentation). The isolated use of radiographic study is insufficient in LCPD and the lack of complementation with other exams, such as magnetic resonance, can delay diagnosis of and onset of treatment for the disease. Level of Evidence III, Study of Non Consecutive Patients; without Consistently Applied Reference “Gold” Standard. © 2022,Acta Ortopedica Brasileira. All Rights Reserved.</t>
  </si>
  <si>
    <t>R0823</t>
  </si>
  <si>
    <t>Privacy Preserving Inference with Convolutional Neural Network Ensemble</t>
  </si>
  <si>
    <t>Xiong, A.; Nguyen, M.; So, A.; Chen, T.</t>
  </si>
  <si>
    <t>Found in: Scopus; IEEE · DOI: 10.1109/IPCCC50635.2020.9391544</t>
  </si>
  <si>
    <t>Machine Learning as a Service on cloud not only provides a solution to scale demanding workloads, but also allows broader accessibility for the utilization of trained deep neural networks. For example, in the medical field, cloud-based deep-learning assisted diagnoses can be life-saving, especially in developing areas where experienced doctors and domain expertise are lacking. However, preserving end-users' data privacy while using cloud service for deep learning is a challenge. Some recent works based on fully homomorphic encryption have enabled neural-network predictions on encrypted input data. In this paper, we further extend the capability of privacy preserving deep neural network inference, through a joint decision made by multiple deep neural network models on encrypted data, to address bias caused by unbalanced local training datasets. In particular, we design and implement a privacy preserving prediction method through an ensemble of convolutional neural networks. The extensive experiment results show that our method can achieve higher accuracy compared to individual models, and preserve the user data privacy at the same level. We also verify the time efficiency of our implementation. © 2020 IEEE.</t>
  </si>
  <si>
    <t>R0824</t>
  </si>
  <si>
    <t>Privacy-preserving federated learning system under malicious collaborators and aggregators</t>
  </si>
  <si>
    <t>Azad, M.A.; Shah, S.A.</t>
  </si>
  <si>
    <t>Found in: Scopus · DOI: 10.1016/j.future.2026.108530</t>
  </si>
  <si>
    <t>Centralised machine learning offers optimised computation while performing data processing, predictions and classification tasks; however, it suffers from challenges related to data privacy, compliance and user trust. The transfer and processing of sensitive data at the centralised trusted system could create a single point of failure, a single point of attack, and introduce significant security and privacy risks, and violate data sovereignty principles. This centralised implementation is not feasible in domains where privacy is a major concern for users and service providers. Federated Learning (FL) offers a decentralised alternative by enabling collaborative model training without sharing raw data with the centralised system or among collaborators. However, FL introduces new vulnerabilities, for example, inference, membership and poisoning attacks. Existing privacy-preserving approaches, such as homomorphic encryption, secure multiparty computation, and differential privacy, either impose computation or communication overheads or fail to guarantee both confidentiality and integrity simultaneously. To address these limitations, we propose a system that incorporates robust mechanisms to facilitate the privacy-preserving aggregation of model updates and ensures that shared updates cannot be exploited to infer sensitive information. To this extent, we leverage secret sharing protocol for the collaborative update of the Machine learning models and incorporate a zero-knowledge proof for the verifiability of the communicated model score and respective aggregated model. The process ensures confidentiality, integrity and verifiability of models communicated with the centralised system under honest but curious and malicious adversaries. It also enables the secure verification of the submitted (or commented) model updates. We present a rigorous security and privacy analysis alongside a comprehensive experimental evaluation using microbenchmarks that quantify computation and communication overhead. The security and privacy analysis shows that the proposed approach achieves strong privacy-preservation and robustness under different threat models. The system overheads are minimal which make it scalable and well-suited for deployment in real-world applications, for example healthcare, finance, and the Internet of Things (IoT). © 2026 Published by Elsevier B.V.</t>
  </si>
  <si>
    <t>R0825</t>
  </si>
  <si>
    <t>Privacy-aware and Resource-saving Collaborative Learning for Healthcare in Cloud Computing</t>
  </si>
  <si>
    <t>Hao, M.; Li, H.; Xu, G.; Liu, Z.; Chen, Z.</t>
  </si>
  <si>
    <t>Found in: Scopus; IEEE · DOI: 10.1109/ICC40277.2020.9148979</t>
  </si>
  <si>
    <t>Electronic health records (EHR), generated in healthcare, contain extensive digital information, such as diagnoses, medications and complications. Recently, many studies have focused on constructing deep learning (DL) models with EHR data to improve the quality of healthcare services. However, in traditional centralized training, the collection of EHR causes serious privacy issues due to vulnerable transmission channels and untrusted DL service providers. An alternative that can mitigate the above privacy threat is federated learning (FL). It enables multiple healthcare institutions to learn a global predictive model by exchanging locally calculated updates without disclosing the private dataset. Unfortunately, the latest studies have shown that the local updates still expose sensitive information about the original training data. While several privacy-preserving FL protocols have been proposed, few prior works focused on energy consumption issues. Specifically, local training requires extensive computational resources, which is prohibitively expensive for resource-limited institutions. To overcome the above problems, we propose PRCL, a Privacy-aware and Resource-saving Collaborative Learning protocol. To reduce the local computational overhead, we design a novel model splitting method that partitions the neural network into three parts and outsources the computationally large middle part to cloud servers. By using the lightweight data perturbation and packed partially homomorphic encryption, PRCL protects the privacy of the original data and labels, as well as the parameters of the model. Moreover, we analyze the security of the proposed protocol, and demonstrate the superior performance of PRCL in terms of accuracy and efficiency. © 2020 IEEE.</t>
  </si>
  <si>
    <t>R0826</t>
  </si>
  <si>
    <t>Research on privacy-preserving logistic regression scheme based on homomorphic encryption</t>
  </si>
  <si>
    <t>Pan, J.; Liu, Y.</t>
  </si>
  <si>
    <t>Found in: Scopus · DOI: 10.1117/12.3070276</t>
  </si>
  <si>
    <t>Along with the rapid development of cloud computing and machine learning technology, a large number of sensitive data are uploaded to the cloud server for processing and analysis, which leads to serious privacy-related issues. Against this background, this paper proposes a privacy-preserving logistic regression scheme based on homomorphic encryption, which mainly utilizes the Cheon-Kim-Kim-Song (CKKS) floating-point vector homomorphic encryption algorithm to ensure the security of users’ sensitive data. More specifically, the proposed scheme decomposes the machine learning algorithm into a series of basic operation modules, such as addition, multiplication, inner product, rotation, and function, thereby adopting a multi-party interactive method to address complex operations that cannot be directly implemented within the ciphertext domain. Relevant experimental results indicate that the proposed scheme is capable of maintaining a high classification accuracy while protecting data privacy, with the accuracy rate reaching 90.76% and 83.94% on the open source breast cancer dataset and Pima Indians diabetes dataset respectively. Moreover, further analysis demonstrates that the proposed scheme has an excellent performance in computing efficiency and security, which furnishes a practical solution for machine learning related to privacy preservation in a cloud environment. © 2025 SPIE.</t>
  </si>
  <si>
    <t>R0827</t>
  </si>
  <si>
    <t>Communication-Efficient and Privacy-Preserving Edge-Cloud Framework For Smart Healthcare</t>
  </si>
  <si>
    <t>Mpembele, A.B.; Rogers, T.; Ghosh, U.; Shetty, S.</t>
  </si>
  <si>
    <t>Found in: Scopus; IEEE · DOI: 10.1109/GCWkshps58843.2023.10464501</t>
  </si>
  <si>
    <t>The healthcare industry has experienced a re-markable digital transformation through the adoption of IoT technologies, resulting in a significant increase in the volume and variety of medical data generated. Challenges in processing, analyzing, and sharing healthcare data persist. Traditional cloud computing approaches, while useful for processing healthcare data, have drawbacks, including delays in data transfer, data privacy concerns, and the risk of data unavailability. In this paper, we propose a software-defined 5G and AI-enabled distributed edge-cloud collaboration platform to classify healthcare data at the edge devices, facilitate realtime service delivery, and create AI/ML-based models for identifying patients' potential medical conditions. In our architecture, we have incorporated a federated learning scheme based on homomorphic encryption to provide privacy in data sharing and processing. The proposed framework ensures secure and efficient data communication and processing, ultimately fostering effective collaboration among healthcare institutions. The models will be validated by performing a comparative time analysis, and the interplay between edge and cloud computing will be investigated to support realtime healthcare applications.  © 2023 IEEE.</t>
  </si>
  <si>
    <t>R0828</t>
  </si>
  <si>
    <t>Securing gait recognition with homomorphic encryption</t>
  </si>
  <si>
    <t>Banov, M.; Pinčić, D.; Sušanj, D.; Lenac, K.</t>
  </si>
  <si>
    <t>Found in: Scopus · DOI: 10.1038/s41598-025-14047-3</t>
  </si>
  <si>
    <t>Biometric identification systems offer strong security by relying on unique personal traits. At the same time, they raise significant privacy concerns because compromised biometric data cannot be revoked. This paper explores the use of homomorphic encryption (HE) as a means to protect biometric data during classification and reduce the risk of exposing sensitive information. Our system comprises a feature extractor which operates locally and a classifier which processes encrypted data. We demonstrate the feasibility of our approach on a gait recognition task, employing a vision transformer as a feature extractor and training several HE-compatible classifiers. Through a comprehensive statistical analysis, we evaluate the impact of HE on accuracy and computational complexity, especially with different activation functions and their polynomial approximations. Our results demonstrate the feasibility of secure and accurate gait recognition using HE, while highlighting the trade-off between security and performance. © The Author(s) 2025.</t>
  </si>
  <si>
    <t>R0829</t>
  </si>
  <si>
    <t>Privacy preserving federated framework for autism spectrum disorder screening with ensemble stacking and deep learning approaches</t>
  </si>
  <si>
    <t>Das, A.; Pattnaik, P.K.; Bandyopadhyay, A.; Sharma, N.; Singh, A.; Potharaju, S.</t>
  </si>
  <si>
    <t>Found in: Scopus · DOI: 10.1007/s44163-026-01103-8</t>
  </si>
  <si>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 © The Author(s) 2026.</t>
  </si>
  <si>
    <t>R0830</t>
  </si>
  <si>
    <t>Client-side Efficient Privacy-Preserving Remote Backpropagation for Deep Learning-based Pervasive Health Monitoring</t>
  </si>
  <si>
    <t>Boulemtafes, A.; Derhab, A.; Challal, Y.</t>
  </si>
  <si>
    <t>Found in: Scopus; IEEE · DOI: 10.1109/AICCSA66935.2025.11315416</t>
  </si>
  <si>
    <t>Producing powerful deep learning models generally requires a large amount of data, often sourced from a large community of participants. In pervasive health monitoring, privacy concerns arise from the sensitive nature of the healthrelated data shared with remote clouds for training deep models. In this context, different privacy-preserving training solutions can be found in the literature. This paper targets conventional backpropagation algorithm, and addresses privacy preservation under constrained client-side environments and high-accuracy requirement in the context of pervasive health monitoring. It proposes an enhanced privacy-preserving remote training solution based on homomorphic encryption and reversible obfuscation under a non-colluding two-server architecture. The proposed solution can effectively protect sensitive client information from the serverside, with no leakage from gradients or weights during training, while none of the model parameters are revealed to the client. Moreover, the introduced fully reversible obfuscations do not alter training computations, and maintain low computational and communication overhead.  © 2025 IEEE.</t>
  </si>
  <si>
    <t>R0831</t>
  </si>
  <si>
    <t>Privacy-preserving logistic regression trainin</t>
  </si>
  <si>
    <t>Bonte, C.; Vercauteren, F.</t>
  </si>
  <si>
    <t>Found in: Scopus; PubMed · DOI: 10.1186/s12920-018-0398-y · PMID: 30309364</t>
  </si>
  <si>
    <t>Background: Logistic regression is a popular technique used in machine learning to construct classification models. Since the construction of such models is based on computing with large datasets, it is an appealing idea to outsource this computation to a cloud service. The privacy-sensitive nature of the input data requires appropriate privacy preserving measures before outsourcing it. Homomorphic encryption enables one to compute on encrypted data directly, without decryption and can be used to mitigate the privacy concerns raised by using a cloud service. Methods: In this paper, we propose an algorithm (and its implementation) to train a logistic regression model on a homomorphically encrypted dataset. The core of our algorithm consists of a new iterative method that can be seen as a simplified form of the fixed Hessian method, but with a much lower multiplicative complexity. Results: We test the new method on two interesting real life applications: the first application is in medicine and constructs a model to predict the probability for a patient to have cancer, given genomic data as input; the second application is in finance and the model predicts the probability of a credit card transaction to be fraudulent. The method produces accurate results for both applications, comparable to running standard algorithms on plaintext data. Conclusions: This article introduces a new simple iterative algorithm to train a logistic regression model that is tailored to be applied on a homomorphically encrypted dataset. This algorithm can be used as a privacy-preserving technique to build a binary classification model and can be applied in a wide range of problems that can be modelled with logistic regression. Our implementation results show that our method can handle the large datasets used in logistic regression training. © 2018 The Author(s).</t>
  </si>
  <si>
    <t>R0832</t>
  </si>
  <si>
    <t>AgriSmartNet: A quantum-inspired secure framework for smart sensing, clustering, and PPO-SADS decision-making in precision agriculture</t>
  </si>
  <si>
    <t>Rao, A.K.; Singh, B.K.; Yadav, S.K.; Jaiswal, M.</t>
  </si>
  <si>
    <t>Found in: Scopus · DOI: 10.1016/j.suscom.2026.101340</t>
  </si>
  <si>
    <t>Modern precision agriculture requires adaptive, data-driven strategies to optimize resource use, enhance productivity, and ensure environmental sustainability. Traditional farming methods often struggle to respond to dynamic environmental conditions, resulting in inefficient irrigation, suboptimal fertilization, inadequate pest control, and insecure farm data handling. To address these challenges, we propose AgriSmartNet, a comprehensive framework integrating intelligent sensing, adaptive clustering, AI-driven decision-making, secure communication, and decentralized blockchain-based storage for real-time precision agriculture. The Event-Driven Sensing Protocol (EDSP) activates sensors only upon significant environmental changes, reducing energy consumption and redundant measurements. The Adaptive Spatial-Temporal Convergence Algorithm (ASTCA), combined with quantum-inspired reinforcement learning, enables energy-efficient clustering, prioritizes high-value data transmission, and minimizes communication overhead. AgriFortNet, leveraging graph reinforcement learning and quantum-secure homomorphic encryption, ensures secure, energy-aware routing while preserving data confidentiality. Adaptive decisions are made through a PPO-based Secure Adaptive Decision System (PPO-SADS), optimizing irrigation, pest control, and soil health interventions in real time. AgriChain Blockchain provides immutable, decentralized storage, supporting tamper-proof farm records, smart contract execution, and reputation-based trust management. Extensive experiments on simulated and real-world farms show that AgriSmartNet improves resource efficiency by 35%, reduces energy consumption by 40%, achieves 98% crop health classification accuracy, supports 250 secure transactions per second, and lowers data transmission latency by 55% compared to existing approaches. By balancing computational efficiency, network reliability, data security, and autonomous decision-making, AgriSmartNet transforms conventional farming into a self-optimizing, resilient, and sustainable ecosystem, offering actionable insights for deploying intelligent agriculture systems across diverse environments. © 2026</t>
  </si>
  <si>
    <t>R0833</t>
  </si>
  <si>
    <t>Relationships Among Cognitive Function and Cerebral Blood Flow, Oxidative Stress, and Inflammation in Older Heart Failure Patients</t>
  </si>
  <si>
    <t>Kure, C.E.; Rosenfeldt, F.L.; Scholey, A.B.; Pipingas, A.; Kaye, D.M.; Bergin, P.J.; Croft, K.D.; Wesnes, K.A.; Myers, S.P.; Stough, C.</t>
  </si>
  <si>
    <t>Found in: Scopus; PubMed · DOI: 10.1016/j.cardfail.2016.03.006 · PMID: 27002943</t>
  </si>
  <si>
    <t>Background The mechanisms for cognitive impairment in heart failure (HF) are unclear. We investigated the relative contributions of cerebral blood flow velocity (BFV), oxidative stress, and inflammation to HF-associated cognitive impairment. Methods and Results Thirty-six HF patients (≥60 years) and 40 healthy controls (68 ± 7 vs 67 ± 5 years, P &gt; .05; 69% vs 50% male, P &gt; .05) completed the Cognitive Drug Research computerized assessment battery and Stroop tasks. Common carotid (CCA) and middle cerebral arterial BFV were obtained by transcranial Doppler. Blood samples were collected for oxidant (diacron-reactive oxygen metabolites; F2-isoprostanes), antioxidant (coenzyme Q10; CoQ10), and inflammatory markers (high-sensitivity C-reactive protein). Compared with controls, patients exhibited impaired attention (Cognitive Drug Research's Power of Attention domain, congruent Stroop) and executive function (incongruent Stroop). Multiple regression modeling showed that CCA-BFV and CoQ10 but not group predicted performance on attention and executive function. Additionally, in HF patients, CCA-BFV and CoQ10 (β = −0.34 vs β = −0.35) were significant predictors of attention, and CCA-BFV (β = −0.34) was a predictor of executive function. Conclusions Power of Attention and executive function is impaired in older HF patients, and reduced CCA-BFV and CoQ10 are associated with worse cognition. Interventions addressing these mechanisms may improve cognition in older HF patients. © 2016 Elsevier Inc.</t>
  </si>
  <si>
    <t>R0834</t>
  </si>
  <si>
    <t>Federated diabetes mellitus analysis via homomorphic encryption</t>
  </si>
  <si>
    <t>Xie, Y.; Li, P.; Zhu, X.; Wu, Q.</t>
  </si>
  <si>
    <t>Found in: Scopus · DOI: 10.1088/1742-6596/1684/1/012033</t>
  </si>
  <si>
    <t>Diabetes is one of the most extensive chronic diseases in the world. Most patients suffer from the disease and its complications for a long time due to the lack of accurate and standardized treatment at early stage. Therefore, by analyzing diabetes data and establishing relevant predictive models, it is very meaningful to give reasonable health advice to high-risk groups. The establishment of an accurate prediction model requires a large number of data sources as support, and multiple medical institutions participate in data contribution and collaborative learning. Federated learning provides a secure general architecture for distributed collaborative learning. However, in the process of federated learning, the data of participants is still subject to the risk of security attacks or indirect information leakage. For example, when a participant uploads the local model parameters to an honest but curious cloud server, the cloud server can obtain relevant information from the participant. In order to solve this problem, this paper proposes a federated forest algorithm based on homomorphic encryption to strengthen the protection of the data privacy of the participants while ensuring that the accuracy of data analysis does not decrease. Analysis proves that our algorithm has good performance in privacy protection and prediction accuracy.  © Published under licence by IOP Publishing Ltd.</t>
  </si>
  <si>
    <t>R0835</t>
  </si>
  <si>
    <t>Enhancing Privacy and Efficiency Techniques in Federated Learning Systems: Applications in Healthcare, Finance, and Smart Devices</t>
  </si>
  <si>
    <t>Shukla, R.S.</t>
  </si>
  <si>
    <t>Found in: Scopus · DOI: 10.22059/jitm.2025.102921</t>
  </si>
  <si>
    <t>Federated Learning (FL) has emerged as a revolutionary technique for distributed machine learning for training a model on shared data without sharing the data itself. Nevertheless, privacy-related concerns and scalability difficulties remain a problem. This paper discusses the state-of-the-art works to improve the privacy and convergence at FL frameworks for targeted healthcare and financial applications, as well as smart devices. It focuses on methodologies that preserve user privacy, such as differential privacy, homomorphic encryption, secure multi-party computation, and methods that enhance the model’s efficiency, including model compression, communication optimization, and adaptive optimization algorithms. To overcome these challenges, this study helps in the future design of FL systems for vital domains with high scalability. Copyright © 2025, Ravi Shankar Shukla.</t>
  </si>
  <si>
    <t>R0836</t>
  </si>
  <si>
    <t>Edge-Centric Federated Learning for LLMs in Smart Manufacturing: Architectures, Challenges, and Opportunities</t>
  </si>
  <si>
    <t>Dogruluk, E.; Acikgoz, H.</t>
  </si>
  <si>
    <t>Found in: Scopus; IEEE · DOI: 10.1109/ICIMIA67127.2025.11200757</t>
  </si>
  <si>
    <t>The integration of Large Language Models (LLMs) into Industrial IoT (IIoT) systems enables 30-50% faster fault diagnosis and 25% reduction in unplanned downtime through predictive maintenance and quality control. However, deploying LLMs on resource-constrained edge devices (e.g., &lt;4 GB PLCs) faces challenges in real-time processing (&lt;10 ms latency) and compliance with industrial privacy standards (IEC 62443/GDPR). Federated Learning (FL) emerges as a critical enabler, allowing distributed training across sensors, robots and PLCs without raw data sharing. This paper presents the first comprehensive survey and taxonomy for FL+LLM in manufacturing, validated through case studies across automotive, electronics and pharmaceutical production. We systematically analyze: (1) compressed architectures (e.g., TinyBERT achieving 4ms inference), (2) EMI-resistant protocols for factory floors (tolerating 25% packet loss), and (3) privacy-accuracy tradeoffs (e.g., homomorphic encryption adding &lt;15% latency overhead). Key unresolved challenges include sub-5ms inference on legacy PLCs and cross-factory generalization under non-IID data. The work provides concrete design guidelines for implementing FL+LLM systems that meet Industry 4.0 requirements for security, reliability, and real-time performance. © 2025 IEEE.</t>
  </si>
  <si>
    <t>R0837</t>
  </si>
  <si>
    <t>A Novel Optimal Key Generation Technique for AI Driven Health Care Systems</t>
  </si>
  <si>
    <t>Pandey, B.; Bhardwaj, M.K.; Singh, A.; Sharma, M.; Singh, P.</t>
  </si>
  <si>
    <t>Found in: Scopus · DOI: 10.1007/978-3-032-28307-8_37</t>
  </si>
  <si>
    <t>The increasing integration of Artificial Intelligence (AI) and Machine Learning (ML) into healthcare systems has introduced transformative capabilities ranging from early disease diagnosis to predictive analytics. However, this integration is fraught with privacy and security challenges due to the sensitive nature of medical data and growing cyber threats. This paper presents a comprehensive survey and analytical framework for privacy-preserving AI techniques tailored for healthcare applications. We explore and compare prominent approaches including Differential Privacy (DP), Homomorphic Encryption (HE), Secure Multi-Party Computation (SMPC), and Federated Learning (FL). A detailed taxonomy of privacy threats, such as membership inference, model inversion, and data reconstruction attacks, is presented to contextualize the privacy risks in AI-driven systems. We propose a hybrid privacy-preserving architecture combining FL with DP and HE, enabling decentralized model training without sharing raw patient data, while preserving model utility and minimizing privacy leakage. The mathematical foundations of each technique are discussed, and an algorithmic implementation is provided to illustrate real-world applicability. Through comparative analysis, including heat maps, risk matrices, and performance charts, we demonstrate the effectiveness of various techniques across multiple privacy metrics. The findings of this paper underscore the importance of balancing utility and privacy in healthcare AI systems. Our work provides strategic insights for researchers and practitioners aiming to build secure, scalable, and ethically aligned AI solutions in clinical environments. © The Author(s), under exclusive license to Springer Nature Switzerland AG 2026.</t>
  </si>
  <si>
    <t>R0838</t>
  </si>
  <si>
    <t>MemFHE: End-to-end Computing with Fully Homomorphic Encryption in Memory</t>
  </si>
  <si>
    <t>Gupta, S.; Cammarota, R.; Šimunić, T.</t>
  </si>
  <si>
    <t>Found in: Scopus · DOI: 10.1145/3569955</t>
  </si>
  <si>
    <t>The increasing amount of data and the growing complexity of problems have resulted in an ever-growing reliance on cloud computing. However, many applications, most notably in healthcare, finance, or defense, demand security and privacy, which today's solutions cannot fully address. Fully homomorphic encryption (FHE) elevates the bar of today's solutions by adding confidentiality of data during processing. It allows computation on fully encrypted data without the need for decryption, thus fully preserving privacy. To enable processing encrypted data at usable levels of classic security, e.g., 128-bit, the encryption procedure introduces noticeable data size expansion - the ciphertext is much bigger than the native aggregate of native data types. In this article, we present MemFHE, which is the first accelerator of both client and server for the latest Ring-GSW (Gentry et al. [17])-based homomorphic encryption schemes using Processing in Memory (PIM). PIM alleviates the data movement issues with large FHE encrypted data while providing in situ execution and extensive parallelism needed for FHE's polynomial operations. While the client-PIM can homomorphically encrypt and decrypt data, the server-PIM can process homomorphically encrypted data without decryption. MemFHE's server-PIM is pipelined and is designed to provide flexible bootstrapping, allowing two encryption techniques and various FHE security levels based on the application requirements. We evaluate MemFHE for various security levels and compare it with state-of-the-art CPU implementations for Ring-GSW-based FHE. MemFHE is up to 20k× (265×) faster than CPU (GPU) for FHE arithmetic operations and provides on average 2,007× higher throughput than [36] while implementing neural networks with FHE.  © 2024 Association for Computing Machinery.</t>
  </si>
  <si>
    <t>R0839</t>
  </si>
  <si>
    <t>Privacy Preserving Classification via Machine Learning Model Inference on Homomorphic Encrypted Medical Data</t>
  </si>
  <si>
    <t>T'Jonck, K.; Kancharla, C.R.; Pang, B.; Hallez, H.; Boydens, J.</t>
  </si>
  <si>
    <t>Found in: Scopus · DOI: 10.1109/ET55967.2022.9920289</t>
  </si>
  <si>
    <t>This paper studies the use of homomorphic encryption to preserve privacy when using machine learning classifiers. The paper compares different parameters and explores drawbacks in terms of accuracy, speed, and packet size when using encrypted data versus unencrypted data by using a client-server use case. These comparisons were performed during multiple tests on different datasets with different sizes and complexity. These tests show it is possible to do machine learning with homomorphic encrypted data without losing accuracy. However, the increased processing time, data size and communication time have to be considered.  © 2022 IEEE.</t>
  </si>
  <si>
    <t>R0840</t>
  </si>
  <si>
    <t>Blockchain-Enabled Secure Federated Learning for Electronic Medical Records: A Scalable and Privacy-Preserving Framework</t>
  </si>
  <si>
    <t>Yatini, I.B.; Iriyanta, K.; Sutrisno, B.T.; Muhrial, H.; Prayitno, E.</t>
  </si>
  <si>
    <t>Found in: Scopus; IEEE · DOI: 10.1109/ISRITI68345.2025.11393406</t>
  </si>
  <si>
    <t>The rapid digital transformation in healthcare has accelerated the adoption of Electronic Medical Records (EMRs), yet concerns about privacy, interoperability, and security remain major challenges. Centralized learning models expose data to leakage and adversarial attacks, reducing clinical reliability. To address these issues, this study proposes a Secure Federated Learning (FL) framework integrated with Blockchain to enable scalable, privacy-preserving, and trustworthy EMR management. A quantitative experimental design was conducted using the publicly available MIMIC-III dataset in a simulated multi-institutional environment. Federated learning enabled local model training across distributed nodes, while blockchain served as a permissioned ledger for update verification, node authentication, and access control. Homomorphic encryption and differential privacy were incorporated to enhance confidentiality. System performance was evaluated in terms of predictive accuracy, calibration, communication efficiency, and security resilience. The proposed framework achieved an average prediction accuracy of 94.7%, with balanced precision (93%) and recall (92%), and an AUROC of 0.97. Calibration also improved, yielding lower Brier and ECE values compared with baselines. Communication latency remained practical at 210 ms per iteration, while bandwidth consumption decreased by 18% relative to vanilla FL. Security analysis showed that the system detected anomalous updates under poisoning attacks with an 87% success rate, while differential privacy reduced membership-inference risk toward chance levels. The blockchain layer further ensured transparency and auditability of all transactions without degrading predictive utility. In conclusion, integrating federated learning with blockchain provides a scalable, auditable, and privacy-preserving solution for EMR management. This framework advances secure digital healthcare infrastructures and establishes a foundation for real-world deployment in hospital ecosystems. © 2025 IEEE.</t>
  </si>
  <si>
    <t>R0841</t>
  </si>
  <si>
    <t>Privacy-Preserving Framework for Multi-Institutional Medical Time-Series Analysis via Homomorphic Encryption: Design and Development Study</t>
  </si>
  <si>
    <t>Lu, Y.; Tian, Y.; Zhou, T.; Xia, J.; Zhao, Z.; Sun, H.; Liu, K.; Li, J.</t>
  </si>
  <si>
    <t>Found in: Scopus; PubMed · DOI: 10.2196/87306 · PMID: 42566746</t>
  </si>
  <si>
    <t>Background: The development of robust medical AI for knowledge discovery and decision support commonly necessitates large-scale datasets from multiple institutions. However, such data aggregation is severely constrained by privacy regulations and the inherent risk of sensitive information leakage, making it difficult to navigate the utility-privacy trade-off. Objective: We aimed to design a secure multiparty deep learning system that enables privacy-preserving modeling from distributed medical time-series data without centralizing raw information or exposing model parameters. Our goal was to achieve predictive accuracy comparable to nonsecure models while providing strong security and efficiency. Methods: We developed a framework using threshold homomorphic encryption to securely train recurrent neural networks on distributed longitudinal data. To improve the efficiency, we proposed an optimized encrypted matrix multiplication scheme, a secure ciphertext refresh protocol, and used lightweight encryption parameters and low-degree approximated activation polynomials. The system was evaluated on 4 real-world intensive care unit datasets for tasks like mortality and sepsis prediction. Results: The system demonstrated practical efficiency, requiring approximately 1 minute per training iteration for processing 125 local batches over 39 variables and 48 time steps, and scaling well with data size and participant number. Securely trained models achieved predictive performance that was comparable to, and in some cases superior to, nonsecure centralized models, highlighting their ability to learn generalizable patterns in different unseen data distributions. For example, on the PhysioNet Challenge 2012 dataset, our secure model achieved an area under the curve (AUC) of 0.8480, outperforming the nonsecure baseline AUC of 0.8404. Conclusions: This work provides a viable and efficient solution for cross-institutional, privacy-preserving analysis of longitudinal medical data. The framework successfully bridges the utility-privacy gap, facilitating safer collaborative research and enabling robust knowledge discovery and decision support while adhering to strict data protection standards. © Yao Lu, Yu Tian, Tianshu Zhou, Jing Xia, Zhensong Zhao, Huiyao Sun, Kangli Liu, Jingsong Li.</t>
  </si>
  <si>
    <t>R0842</t>
  </si>
  <si>
    <t>Federated Learning Approaches for Secure and Privacy-Preserving Brain Image Processing</t>
  </si>
  <si>
    <t>Gupta, S.; Gayam, S.R.; Dunka, V.; Putha, S.; Prasad, K.D.V.; Tashmuradova, B.</t>
  </si>
  <si>
    <t>Found in: Scopus; IEEE · DOI: 10.1109/ICTBIG68706.2025.11323888</t>
  </si>
  <si>
    <t>This study introduces federated learning (FL) designs that combine homomorphic encryption, differential privacy, and gradient clipping to secure and speed up brain image processing. Federated learning has revolutionized medical machine learning while respecting privacy. The proposed method lets several medical facilities train deep learning models simultaneously while ensuring data privacy and fulfilling all standards. Federated Averaging (FedAvg) and differential privacy protect data, reduce leaks, and accelerate model convergence. A privacy budget tracker monitors privacy loss and ensures long-term privacy protection. The suggested method outperforms FL techniques in accuracy, communication overhead, computing efficiency, privacy, security, scalability, and energy efficiency. The technology increases accuracy to 94.8%, reduces transmission costs to 150 MB, and increases computing performance to 1.8 million FLOPs per second. The privacy score is 9.5/10, and the security score is 9.0/10, protecting you from dangers. It can scale to 500 clients, making it more scalable than other methods. Health care compliance has increased to 9.8/10, with more people following HIPAA and GDPR. With these advancements, the FL framework is one of the best methods for analyzing brain images with privacy protection. It allows safe, effective, and scalable medical AI app use. © 2025 IEEE.</t>
  </si>
  <si>
    <t>R0843</t>
  </si>
  <si>
    <t>Quantum-enhanced privacy aggregation for healthcare monitoring in wireless body area networks</t>
  </si>
  <si>
    <t>Othman, S.B.; Ali, O.</t>
  </si>
  <si>
    <t>Found in: Scopus; PubMed · DOI: 10.1038/s41598-026-43649-8 · PMID: 41839936</t>
  </si>
  <si>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though constrained to static or low-mobility scenarios due to free-space optical requirements; (ii) lightweight homomorphic encryption (LightHE) over enabling exact integer arithmetic with complexity; (iii) Hierarchical Federated Learning with Krum-based Byzantine resilience against compromised nodes; and (iv) SHAP-based explainable AI achieving 97.8% attribution fidelity against cardiologist-validated ground truth. Evaluated on a large-scale WBAN with sensors across 200 virtual patients, QEPA demonstrates near-optimal utility, achieving 96.8% diagnostic accuracy (only 0.3% below FedAvg) with NRMSE =, while providing unprecedented efficiency: 8.05 lower latency (31.8 ms) and 5.96 lower energy (3.32 mJ) versus Paillier, alongside 17.1 communication compression (7.68 kbit). Critically, QEPA reduces membership inference risk to 1.5% (vs. 28.3% in FedAvg) while maintaining differential privacy and resisting quantum attacks with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 © The Author(s) 2026.</t>
  </si>
  <si>
    <t>R0844</t>
  </si>
  <si>
    <t>Privacy-Preserving Federated Deep-Equilibrium Learning for Medical Image Classification</t>
  </si>
  <si>
    <t>Gkillas, A.; Ampeliotis, D.; Berberidis, K.</t>
  </si>
  <si>
    <t>Found in: Scopus · DOI: 10.1109/ISBI56570.2024.10635684</t>
  </si>
  <si>
    <t>In this work, we study the problem of skin cancer diagnosis from images by employing a network of collaborating institutions (e.g, hospitals) that cooperate under the emerging federated learning protocol. In such a scenario, the problems of not exposing sensitive patient information as well as the heterogeneity of the participating devices are of paramount importance. To this end, we propose the use of deep equilibrium models, in place of some other "traditional"deep neural network model, that offer a natural means of dealing with devices that have different computational resources. Furthermore, to prevent the leakage of sensitive information, the models exchanged in the proposed approach are homo-morpically encrypted. Numerical results indicate that the proposed approach offers the same accuracy as compared to the state-of-the-art federated learning case that "traditional"deep-learning models, but with three significant advantages: (a) increased privacy, (b) support of heterogeneous devices, and (c) significantly reduced communication requirements. © 2024 IEEE.</t>
  </si>
  <si>
    <t>R0845</t>
  </si>
  <si>
    <t>PPEM: Privacy-preserving EM learning for mixture models</t>
  </si>
  <si>
    <t>Lee, S.X.; Leemaqz, K.L.; McLachlan, G.J.</t>
  </si>
  <si>
    <t>Found in: Scopus · DOI: 10.1002/cpe.5208</t>
  </si>
  <si>
    <t>Privacy is becoming increasingly important in collaborative data analysis, especially those involving personal or sensitive information commonly arising from health and commercial settings. The aim of privacy preserving statistical algorithms is to allow inference to be drawn on the joint data without disclosing private data held by each party. This paper presents a privacy-preserving expectation–maximization (PPEM) algorithm for carrying out maximum likelihood estimation of the parameters of mixture models. We address the scenario of horizontally partitioned data distributed among three or more parties. The PPEM algorithm is a two-cycle iterative distributed algorithm for fitting mixture models under privacy-preserving requirements. A distinct advantage of PPEM is that it does not require a trusted third party for cooperative learning, unlike most existing schemes that implement a master/slave hierarchy. By adopting a ring topology and adding random noises to messages before encryption, PPEM helps prevent information leakage in the case of corrupted parties. Furthermore, in contrast to existing works, which typically assume a Honest-but-Curious adversary, we consider the much stronger case of a Malicious adversary. For illustration, PPEM is applied to two of the most popular mixture models, namely, the normal mixture model (NMM) and t-mixture model (tMM), and their effectiveness is analyzed through a security analysis. A real data example is also presented to evaluate the computational complexity and accuracy of PPEM relative to its non-privacy-preserving version. © 2019 John Wiley &amp; Sons, Ltd.</t>
  </si>
  <si>
    <t>R0846</t>
  </si>
  <si>
    <t>Security and privacy-aware Artificial Intrusion Detection System using Federated Machine Learning</t>
  </si>
  <si>
    <t>Kumar, K.P.S.; Nair, S.A.H.; Guha Roy, D.; Rajalingam, B.; Kumar, R.S.</t>
  </si>
  <si>
    <t>Found in: Scopus · DOI: 10.1016/j.compeleceng.2021.107440</t>
  </si>
  <si>
    <t>Beyond 5G networks integrating 5G technology offer efficient services globally with sustainable higher capacity and much lower latency across various applications. Moving into the beyond 5G networks, edge intelligence solutions with data-driven machine learning algorithms and cybersecurity paradigms have become crucial among various real-time applications, including smart transportation, smart health, etc. Since the data gets transferred continuously from the edge devices to the dedicated computing in any edge computing environment, it experiences a higher risk of vulnerability and complexity measures. In this view, this paper firstly defines a federated machine learning mechanism for privacy-enhanced edge intelligence model Beyond 5G networks with Paillier Homomorphic Encryption and differential privacy. Secondly, an Artificial Immune Intrusion Detection System has been designed to monitor and classify the nodes resulting in an anomaly in the edge network so that the network can experience smooth and secure data transmission as per the requirement. The experiments and comparison results show that the proposed system is more optimal and secure than the existing edge security models. © 2021</t>
  </si>
  <si>
    <t>R0847</t>
  </si>
  <si>
    <t>Privacy-preserving computations of predictive medical models with minimax approximation and non-adjacent form</t>
  </si>
  <si>
    <t>Cheon, J.H.; Jeong, J.; Lee, J.; Lee, K.</t>
  </si>
  <si>
    <t>Found in: Scopus · DOI: 10.1007/978-3-319-70278-0_4</t>
  </si>
  <si>
    <t>In 2014, Bos et al. introduced a cloud service scenario to provide private predictive analyses on encrypted medical data, and gave a proof of concept implementation by utilizing homomorphic encryption (HE) scheme. In their implementation, they needed to approximate an analytic predictive model to a polynomial, using Taylor approximations. However, their approach could not reach a satisfactory compromise so that they just restricted the pool of data to guarantee suitable accuracy. In this paper, we suggest and implement a new efficient approach to provide the service using minimax approximation and Non-Adjacent Form (NAF) encoding. With our method, it is possible to remove the limitation of input range and reduce maximum errors, allowing faster analyses than the previous work. Moreover, we prove that the NAF encoding allows us to use more efficient parameters than the binary encoding used in the previous work or balaced base-B encoding. For comparison with the previous work, we present implementation results using HElib. Our implementation gives a prediction with 7-bit precision (of maximal error 0.0044) for having a heart attack, and makes the prediction in 0.5 s on a single laptop. We also implement the private healthcare service analyzing a Cox Proportional Hazard Model for the first time. © International Financial Cryptography Association 2017.</t>
  </si>
  <si>
    <t>R0848</t>
  </si>
  <si>
    <t>Privacy Preserving Chest X-Ray Classification in Latent Space with Homomorphically Encrypted Neural Inference</t>
  </si>
  <si>
    <t>Kim, J.; Jo, G.; Ra, S.; Park, H.</t>
  </si>
  <si>
    <t>Found in: Scopus · DOI: 10.1007/978-3-032-05185-1_47</t>
  </si>
  <si>
    <t>Medical imaging data contain sensitive patient information requiring strong privacy protection. Many analytical setups require data to be sent to a server for inference purposes. Homomorphic encryption (HE) provides a solution by allowing computations to be performed on encrypted data without revealing the original information. However, HE inference is computationally expensive, particularly for large images (e.g., chest X-rays). In this study, we propose an HE inference framework for medical images that uses VQGAN to compress images into latent representations, thereby significantly reducing the computational burden while preserving image quality. We approximate the activation functions with lower-degree polynomials to balance the accuracy and efficiency in compliance with HE requirements. We observed that a downsampling factor of eight for compression achieved an optimal balance between performance and computational cost. We further adapted the squeeze and excitation module, which is known to improve traditional CNNs, to enhance the HE framework. Our method was tested on two chest X-ray datasets for multi-label classification tasks using vanilla CNN backbones. Although HE inference remains relatively slow and introduces minor performance differences compared with unencrypted inference, our approach shows strong potential for practical use in medical images. Our code is available at https://github.com/jongdory/Latent-HE. © The Author(s), under exclusive license to Springer Nature Switzerland AG 2026.</t>
  </si>
  <si>
    <t>R0849</t>
  </si>
  <si>
    <t>Blockchain-based federated learning with homomorphic encryption for privacy-preserving healthcare data sharing</t>
  </si>
  <si>
    <t>Firdaus, M.; Larasati, H.T.; Hyune-Rhee, K.</t>
  </si>
  <si>
    <t>Found in: Scopus · DOI: 10.1016/j.iot.2025.101579</t>
  </si>
  <si>
    <t>Healthcare data is often fragmented across various institutions due to its highly sensitive and private nature. In this sense, hospitals and clinics maintain electronic health records (EHRs) independently; hence, valuable data is siloed within individual organizations, preventing comprehensive analysis that could benefit from diverse data sources. Federated learning (FL) addresses these challenges by enabling the training of a shared global model using data distributed across multiple institutions without moving the data from its source. By leveraging FL, healthcare institutions can combine their data assets to improve predictive analytics, personalized medicine, and overall healthcare outcomes, ultimately benefiting patients and the healthcare system. However, the current FL model with a central server presents several challenges within healthcare, including the risk of malicious attacks, regulatory compliance, and privacy vulnerabilities. To overcome these issues, this paper introduces the FL framework with blockchain and homomorphic encryption (HE). Our framework aims to minimize the role of the central server, enable collaborative model training across healthcare organizations, and enhance data security and privacy. In this sense, blockchain ensures the integrity and transparency of the process, while homomorphic encryption ensures that the data remains private. This framework can potentially enable institutions to enrich medical knowledge while securely keeping patient data collaboratively and facilitating healthcare analytics in practical settings. © 2025</t>
  </si>
  <si>
    <t>R0850</t>
  </si>
  <si>
    <t>Machine learning techniques for homomorphically encrypted data</t>
  </si>
  <si>
    <t>Found in: Scopus · DOI: 10.1007/978-981-15-4029-5_25</t>
  </si>
  <si>
    <t>The application of cloud-oriented services has increased from personal use such as mailing systems to the medical field. Typically, a cloud service provider offers encryption services of sensitive data. However, decrypting this data in the cloud for data analysis using machine learning can lead to privacy concerns. To this end, learning over encrypted data without decrypting it is the need of the future. In this article, we present a holistic review and summarize the literature on homomorphic encryption, related issues, applications in machine learning over encrypted data, and potential future research directions. © Springer Nature Singapore Pte Ltd. 2020.</t>
  </si>
  <si>
    <t>R0851</t>
  </si>
  <si>
    <t>Integrating Cryptographic Techniques with Machine Learning Algorithms for Enhanced Data Privacy and Information Security: A Mathematical Framework</t>
  </si>
  <si>
    <t>Merlin Florrence, J.; Mishra, D.; Ghule, G.; Swarnalatha, K.; Sahu, P.K.; Singh, G.</t>
  </si>
  <si>
    <t>Found in: Scopus · DOI: 10.52783/cana.v31.1519</t>
  </si>
  <si>
    <t>Including machine learning in cryptographic schemes, notably homomorphic encryption(HE), is one prominent research direction that might hold the key to maintaining higher levels of data privacy and information security. However, almost all traditional data encryption models expect the payload to be decrypted first before any processing can take place. Such an additional decryption layer is a backdoor waiting to be breached — especially for industries, such as healthcare that have information safeguarding mandates related to sensitive data. The reports further point out that traditional cryptographic mechanisms are not adequate and hence suggest the use of lightweight cryptography in order to secure healthcare IoT enabled devices, as it trades off security with resource constraints associated with this class of small commodity sensors. HE allows encrypted data to be computed on without having to decrypt it, impede throughout processing from the sensitive. This is particularly the case in healthcare where Patient Health Records should naturally be kept private. While SVM and Random Forest are other family members of ML algorithms that can be used in HE area for a specific task like seizure detection or alcoholic predisposition from EEG signals as explored by this study. What these figures evidence are that the predictions on plaintext of data is almost as good and more often than not quicker, but computations involving encrypted date can be computationally expensive. This demonstrates the potential for privacypreserving machine-learning applications, especially in healthcare systems such as implemented by this end-to-end so… Future work needs to look into integrating HE with DL methods for high-level data analysis and designing practical ML algorithms that can be deployed on resource limited IoT devices. © 2024, International Publications. All rights reserved.</t>
  </si>
  <si>
    <t>R0852</t>
  </si>
  <si>
    <t>An Industrial IoT-Based Blockchain-Enabled Secure Searchable Encryption Approach for Healthcare Systems Using Neural Network</t>
  </si>
  <si>
    <t>Ali, A.; Almaiah, M.A.; Hajjej, F.; Pasha, M.F.; Fang, O.H.; Khan, R.; Teo, J.; Zakarya, M.</t>
  </si>
  <si>
    <t>Found in: Scopus; PubMed · DOI: 10.3390/s22020572 · PMID: 35062530</t>
  </si>
  <si>
    <t>The IoT refers to the interconnection of things to the physical network that is embedded with software, sensors, and other devices to exchange information from one device to the other. The interconnection of devices means there is the possibility of challenges such as security, trustworthiness, reliability, confidentiality, and so on. To address these issues, we have proposed a novel group theory (GT)-based binary spring search (BSS) algorithm which consists of a hybrid deep neural network approach. The proposed approach effectively detects the intrusion within the IoT network. Initially, the privacy-preserving technology was implemented using a blockchain-based methodology. Security of patient health records (PHR) is the most critical aspect of cryptography over the Internet due to its value and importance, preferably in the Internet of Medical Things (IoMT). Search keywords access mechanism is one of the typical approaches used to access PHR from a database, but it is susceptible to various security vulnerabilities. Although blockchain-enabled healthcare systems provide security, it may lead to some loopholes in the existing state of the art. In literature, blockchain-enabled frameworks have been presented to resolve those issues. However, these methods have primarily focused on data storage and blockchain is used as a database. In this paper, blockchain as a distributed database is proposed with a homomorphic encryption technique to ensure a secure search and keywords-based access to the database. Additionally, the proposed approach provides a secure key revocation mechanism and updates various policies accordingly. As a result, a secure patient healthcare data access scheme is devised, which integrates blockchain and trust chain to fulfill the efficiency and security issues in the current schemes for sharing both types of digital healthcare data. Hence, our proposed approach provides more security, efficiency, and transparency with cost-effectiveness. We performed our simulations based on the blockchain-based tool Hyperledger Fabric and OrigionLab for analysis and evaluation. We compared our proposed results with the benchmark models, respectively. Our comparative analysis justifies that our proposed framework provides better security and searchable mechanism for the healthcare system. © 2022 by the authors. Licensee MDPI, Basel, Switzerland.</t>
  </si>
  <si>
    <t>R0853</t>
  </si>
  <si>
    <t>Privacy-preserving federated transfer learning for enhanced liver lesion segmentation in PET–CT imaging</t>
  </si>
  <si>
    <t>Kumar, R.; Zeng, S.; Kumar, J.; Mao, X.</t>
  </si>
  <si>
    <t>Found in: Scopus; PubMed · DOI: 10.1016/j.artmed.2025.103245 · PMID: 40896874</t>
  </si>
  <si>
    <t>Positron Emission Tomography-Computed Tomography (PET–CT) evolution is critical for liver lesion diagnosis. However, data scarcity, privacy concerns, and cross-institutional imaging heterogeneity impede accurate deep learning model deployment. We propose a Federated Transfer Learning (FTL) framework that integrates federated learning's privacy-preserving collaboration with transfer learning's pre-trained model adaptation, enhancing liver lesion segmentation in PET–CT imaging. By leveraging a Feature Co-learning Block (FCB) and privacy-enhancing technologies (DP, HE), our approach ensures robust segmentation without sharing sensitive patient data. (1) A privacy-preserving FTL framework combining federated learning and adaptive transfer learning; (2) A multi-modal FCB for improved PET–CT feature integration; (3) Extensive evaluation across diverse institutions with privacy-enhancing technologies like Differential Privacy (DP) and Homomorphic Encryption (HE). Experiments on simulated multi-institutional PET–CT datasets demonstrate superior performance compared to baselines, with robust privacy guarantees. The FTL framework reduces data requirements and enhances generalizability, advancing liver lesion diagnostics. © 2025</t>
  </si>
  <si>
    <t>R0854</t>
  </si>
  <si>
    <t>Adaptive Multi-Tier Fully Homomorphic Encryption with Differential Privacy for Privacy-Preserving Medical Data Classification</t>
  </si>
  <si>
    <t>Palem, C.; Veeranki, S.; Thatiparthi, V.R.; Sethi, K.</t>
  </si>
  <si>
    <t>Found in: Scopus; IEEE · DOI: 10.1109/CINE68769.2026.11502879</t>
  </si>
  <si>
    <t>Fully Homomorphic Encryption (FHE) provides a powerful mechanism to perform computations on encrypted data without revealing sensitive information. However, its significant computational overhead limits scalability, especially in dataintensive healthcare applications. This paper introduces an Adaptive Multi-Tier FHE Framework designed to balance efficiency and security by dynamically adjusting encryption parameters based on data sensitivity levels. The proposed architecture integrates differential privacy (DP) through controlled noise injection to strengthen privacy guarantees. Three distinct encryption tiers: high, medium, and low are defined to support logistic regression analysis on medical datasets, optimizing computational costs while maintaining confidentiality. The framework employs bootstrapping optimizations to mitigate noise accumulation and ensure stable model performance. This work contributes toward making scalable FHE-based privacy-preserving analytics practical for large-scale medical data settings. © 2026 IEEE.</t>
  </si>
  <si>
    <t>R0855</t>
  </si>
  <si>
    <t>Enhancing Healthcare Data Privacy: Secure Aggregation in Federated Learning</t>
  </si>
  <si>
    <t>Nikumbh, P.; Azad, M.; Bhavsar, O.; Gholve, H.</t>
  </si>
  <si>
    <t>Found in: Scopus · DOI: 10.1007/978-3-032-13803-3_35</t>
  </si>
  <si>
    <t>Federated Learning (FL) has emerged as a transformative paradigm for privacy-preserving healthcare analytics, enabling collaborative model training across decentralized medical institutions without raw data exchange [1, 7]. This study introduces a hybrid FL framework (ELSA+Prio+), combining CKKS homomorphic encryption (ELSA) [8, 11]. Fernet symmetric encryption (Prio+) [4] to enhance both security and performance in Parkinson’s disease classification. The proposed dual-path neural architecture (HybridComplexANN) integrates complex-valued and real-valued learning streams, achieving 93.1% accuracy— a 15% improvement over standalone ELSA [8]—while maintaining HIPAA-compliant data privacy [9]. Evaluated against FedAvg [1], SecAgg [2], Prio+ [4], and ELSA [8] over ten communication rounds, the hybrid model demonstrated superior convergence (loss = 0.42), stability (38% lower inter-round variance), and efficiency (35% faster encryption than ELSA alone) [5]. Fine-tuning optimized hyperparameters, including adaptive learning rates (0.001) and batch normalization, further reduced overfitting by 18% [15]. The framework’s robustness was validated through resistance to model inversion attacks (98% success rate) [3, 6] and SHA-256 integrity checks. These results establish the ELSA+Prio+ hybrid as a benchmark for secure, collaborative healthcare analytics, offering an unprecedented balance between diagnostic accuracy and privacy preservation. © 2026, Springer Science and Business Media Deutschland GmbH. All rights reserved.</t>
  </si>
  <si>
    <t>R0856</t>
  </si>
  <si>
    <t>Hypoglycemic risk exposures in relation to low serum glucose values in ambulatory patients</t>
  </si>
  <si>
    <t>Abusamaan, M.S.; Marzinke, M.A.; Ashok, A.; Carroll, K.; Lane, K.; Jeun, R.; Moseley, K.F.; Carson, K.A.; Mathioudakis, N.N.</t>
  </si>
  <si>
    <t>Found in: Scopus; PubMed · DOI: 10.1097/MD.0000000000018679 · PMID: 31914062</t>
  </si>
  <si>
    <t>This study aimed to correlate hypoglycemic risk exposures (HREs) with low blood glucose value (BGV) in ambulatory patients to inform selection of a glucose critical action value (CAV).This was a retrospective study of ambulatory patients with at least 1 serum glucose ≤70 mg/dL obtained at 2 laboratories within the Johns Hopkins Health System over 3.8 years. Multivariable logistic regression was used to evaluate association of BGV cut-offs of &lt;60, &lt;54, &lt;50, and &lt;45 mg/dL with HREs. HREs were classified as "high hypoglycemic risk" (HHR), "moderate hypoglycemic risk" (MHR), "low hypoglycemic risk" (LHR), and "no hypoglycemic risk" (NHR).A total of 5404 patient samples of BG ≤70 mg/dL were analyzed, of which 30.3%, 23.2%, 28.5%, 18.0% occurred in NHR, LHR, MHR, and HHR groups, respectively. An inverse relationship was noted between BGV cut-offs and HHR, but no association was observed for LHR or MHR. After adjusting for age, sex, and race, there was an inverse association between BG thresholds and the odds of HHR. For classification of HHR, BGV cut-offs of &lt;60, &lt;54, &lt;50, and &lt;45 mg/dL correctly classified 71.2%, 69.8%, 68.8%, and 67.2% of BG samples, achieved false-positive rates of 13.6%, 4.7%, 1.7%, and 0.5% and positive likelihood ratios of 3.3, 6.0, 11.2, and 23.4, respectively.Nearly 70% of low BGVs occurred in patients with at least 1 HRE, but only ∼20% occurred in HHR patients. Given their high positive likelihood ratios, BGVs &lt;54 or &lt;50 mg/dL are reasonable candidates for CAVs that would allow sufficient clinician response time while minimizing false-positive alerts. © 2020 the Author(s). Published by Wolters Kluwer Health, Inc.</t>
  </si>
  <si>
    <t>R0857</t>
  </si>
  <si>
    <t>Fregata: Fast Private Inference With Unified Secure Two-Party Protocols</t>
  </si>
  <si>
    <t>Yang, X.; Chen, J.; Li, Y.; He, K.; Huang, X.; Jiang, Z.; Bai, H.; Du, R.</t>
  </si>
  <si>
    <t>Found in: Scopus · DOI: 10.1109/TIFS.2024.3444327</t>
  </si>
  <si>
    <t>Private Inference (PI) safeguards client and server privacy when the client utilizes the server's model to make predictions. Existing PI solutions for Convolutional Neural Networks (CNNs) employ distinct cryptographic primitives to customize secure two-party protocols for linear and non-linear layers. This requires data to be converted into a specific form to switch between protocols, thus leading to a significant increase in inference latency. In this paper, we present Fregata, a fast PI scheme for CNNs by leveraging identical cryptographic primitives to calculate both linear and nonlinear layers. Specifically, our protocols utilize homomorphic encryption to obtain additive secret shares of matrix products during the offline phase, followed by lightweight multiplication and addition operations on these shares in the latency-sensitive online phase. Benefiting from uniformity, we accelerate inference from a holistic perspective by decoupling certain procedures of our protocols and executing them asynchronously. Moreover, to improve the efficiency of the offline phase, we elaborate a homomorphic matrix multiplication calculation method with reduced computation and communication complexity compared to existing approaches. Furthermore, we minimize inference latency by employing graphics processing units to parallelize the operations on the shares during the online phase. Experimental evaluations on popular CNN models such as SqueezeNet, ResNet, and DenseNet demonstrate that Fregata reduces 35-45 times inference latency over the state-of-the-art counterparts, accompanied by a 1.6-2.8 times decrease in communication overhead. In terms of total runtime, Fregata maintains a reduction of approximately 3 times.  © 2005-2012 IEEE.</t>
  </si>
  <si>
    <t>R0858</t>
  </si>
  <si>
    <t>Explainable and secure federated learning for privacy-enhancing skin cancer classification using a lightweight multi-scale CNN</t>
  </si>
  <si>
    <t>Sayeed, A.S.M.; Birahim, S.A.; Ullah, M.S.; Islam, Y.; Paul, A.; Hasan, M.A.; Ahsan, M.; Kowalski, M.</t>
  </si>
  <si>
    <t>Found in: Scopus; PubMed · DOI: 10.1038/s41598-026-41360-2 · PMID: 41760723</t>
  </si>
  <si>
    <t>Skin diseases pose a major public health challenge, with skin cancer being the most prevalent malignancy. Early detection is critical for improving patient outcomes, yet traditional diagnostic methods rely on expert evaluation, which is limited by clinician variability, image quality, and accessibility constraints. Deep learning (DL)-based models offer automated diagnostic capabilities but require large-scale centralized data aggregation, which conflicts with privacy regulations and poses security risks. Federated Learning (FL) enables collaborative training across multiple hospitals without sharing raw patient data, yet it introduces communication overhead, security vulnerabilities, and interpretability challenges, hindering its real-world deployment. To address these issues, an Encrypted FedAvg-Based Explainable Federated Learning approach has been proposed utilizing a Lightweight Deep Learning Multi-Scale Convolutional Neural Network (LWMS-CNN) for efficient, privacy-enhanced, and interpretable skin cancer diagnosis. The proposed method integrates Homomorphic Encryption (HE) in a simulated federated system for secure model aggregation, privacy enhancements while maintaining strong diagnostic performance. Additionally, SHapley Additive exPlanations (SHAP) and GradCAM enhance interpretability, enabling clinicians to understand AI-driven predictions. Experimental evaluations on the HAM10000 dataset demonstrate that the proposed LWMS-CNN-FL model achieves 98.62% accuracy, with only a 0.3% tradeoff when encryption is applied, ensuring robust security without compromising diagnostic reliability. The model’s generalization ability is further confirmed through assessments on additional benchmark datasets, including ISIC 2019, where it achieved an accuracy of 96.22%, and PAD-UFES-20, where it reached 89.84%. By integrating lightweight deep learning, federated learning, encryption, and explainability, this study presents a scalable, privacy-enhanced, computationally efficient, and clinically interpretable AI-driven solution for secure and accurate early skin cancer detection in world healthcare applications. © The Author(s) 2026.</t>
  </si>
  <si>
    <t>R0859</t>
  </si>
  <si>
    <t>Towards Privacy Preserving HAR in Contested Environments: An FHE-ORAM Architecture</t>
  </si>
  <si>
    <t>Aryendu, I.; Ratazzi, P.; Wang, Y.</t>
  </si>
  <si>
    <t>Found in: Scopus · DOI: 10.1109/MILCOM64451.2025.11310056</t>
  </si>
  <si>
    <t>Real-time military personnel activity detection can be achieved through wearable sensors for enhanced operational readiness and safety during training and on the modern battle-field. Data collected from wearable sensors can prevent personnel injuries and aid tactical decision-making. However, several privacy and security issues arise from collecting physiological data that can reveal sensitive information about the coordinates and fatigue level of the personnel, which could compromise operational security. In this paper, we present a novel system that enables secure and privacy-preserving inference on the public cloud infrastructure by leveraging the benefits of Fully Homomorphic Encryption (FHE) techniques for end-to-end encryption and Oblivious Random Access Memory (ORAM) for mitigating the leakage in memory access patterns. A thorough security analysis and experimental validation validate the feasibility of our proposed approach, achieving an 87.45% activity detection accuracy and paving the way forward for guaranteeing end-to-end privacy in untrusted operational environments.  © 2025 IEEE.</t>
  </si>
  <si>
    <t>R0860</t>
  </si>
  <si>
    <t>Classification and recognition of encrypted EEG data based on neural network</t>
  </si>
  <si>
    <t>Liu, Y.; Huang, H.; Xiao, F.; Malekian, R.; Wang, W.</t>
  </si>
  <si>
    <t>Found in: Scopus · DOI: 10.1016/j.jisa.2020.102567</t>
  </si>
  <si>
    <t>With the rapid development of Machine Learning technology applied in electroencephalography (EEG) signals, Brain-Computer Interface (BCI) has emerged as a novel and convenient human-computer interaction for smart home, intelligent medical and other Internet of Things (IoT) scenarios. However, security issues such as sensitive information disclosure and unauthorized operations have not received sufficient concerns. There are still some defects with the existing solutions to encrypted EEG data such as low accuracy, high time complexity or slow processing speed. For this reason, a classification and recognition method of encrypted EEG data based on neural network is proposed, which adopts Paillier encryption algorithm to encrypt EEG data and meanwhile resolves the problem of floating point operations. In addition, it improves traditional feed-forward neural network (FNN) by using the approximate function instead of activation function and realizes multi-classification of encrypted EEG data. Extensive experiments are conducted to explore the effect of several metrics (such as the hidden neuron size and the learning rate updated by improved simulated annealing algorithm) on the recognition results. Followed by security and time cost analysis, the proposed model and approach are validated and evaluated on public EEG datasets provided by PhysioNet, BCI Competition IV and EPILEPSIAE. The experimental results show that our proposal has the satisfactory accuracy, efficiency and feasibility compared with other solutions. © 2020 Elsevier Ltd</t>
  </si>
  <si>
    <t>R0861</t>
  </si>
  <si>
    <t>Multi-cloud Privacy-Preserving Logistic Regression</t>
  </si>
  <si>
    <t>Cortés-Mendoza, J.M.; Tchernykh, A.; Babenko, M.; Pulido-Gaytán, B.; Radchenko, G.</t>
  </si>
  <si>
    <t>Found in: Scopus · DOI: 10.1007/978-3-030-92864-3_35</t>
  </si>
  <si>
    <t>Clouds can significantly reduce the cost and time of business solutions. However, cloud services introduce significant security and privacy challenges when they process sensitive information. For instance, a dataset for machine learning could contain delicate information that traditional encryption approaches cannot protect during data analysis. Homomorphic Encryption (HE) schemes and secure Multi-Party Computation (MPC) are considered solutions for privacy protection in third-party infrastructures. In this paper, we propose a Multi-Cloud Logistic Regression based on Residue Number System (MC-LR-RNS) that provides security, parallel processing, and scalability. To validate the efficiency and practicability of the solution, we provide its analysis with different configurations, datasets, and cloud service providers. We use six available datasets from medicine (diabetes, cancer, drugs, etc.) and genomics. The analysis shows that MC-LR-RNS provides the same levels of quality as non-HE solutions and improved performance due to multi-cloud parallel computations. © 2021, Springer Nature Switzerland AG.</t>
  </si>
  <si>
    <t>R0862</t>
  </si>
  <si>
    <t>Privacy-preserving predictive modeling for early detection of chronic kidney disease</t>
  </si>
  <si>
    <t>Found in: Scopus · DOI: 10.1007/s13721-024-00452-7</t>
  </si>
  <si>
    <t>With the phenomenal growth of machine learning, privacy protection has become a major concern in medical science. Sensitive medical information, such as chronic kidney disease (CKD) data, is subject to privacy protections and cannot be shared with others without patients’confidentiality and data security. This research study aims to design a secure and effective methodology for developing a predictive model for the early detection of chronic kidney disease. In our research study, we addressed two major problems: accurate diagnosis of chronic kidney disease and data security. The workflow in this research paper is divided into two stages. In the initial phase, to prioritize shorter processing times and improve the model’s performance, we applied two meta-heuristic algorithms, the genetic algorithm and the bat algorithm, as feature selection methods to identify the most relevant features for accurate CKD diagnosis. In the subsequent phase of our study, we proposed a privacy-preserving logistic regression-based chronic kidney disease inference model to perform predictive analysis on encrypted chronic kidney disease data. In this model, we used the Paillier homomorphic cryptosystem that provides strong security assurances, ensuring secure communication and processing of medical data, which maintains patients’confidentiality during diagnosis. Our proposed model, utilizing the genetic algorithm feature selection approach, achieves higher accuracy at 98.75% compared to the original features and bat algorithm selected features. We also observed that this model had less computation time compared to the original features and bat algorithm-selected features. To confirm the efficiency of our proposed model, we compared its performance with those obtained by applying the logistic regression algorithm to plain text. We found that, in all cases, we achieved the same performance as observed with encrypted data. © The Author(s), under exclusive licence to Springer-Verlag GmbH Austria, part of Springer Nature 2024.</t>
  </si>
  <si>
    <t>R0863</t>
  </si>
  <si>
    <t>High security and privacy protection model for STI/HIV risk prediction</t>
  </si>
  <si>
    <t>Tang, Z.; Van Nguyen, T.P.; Yang, W.; Xia, X.; Chen, H.; Mullens, A.B.; Dean, J.A.; Osborne, S.R.; Li, Y.</t>
  </si>
  <si>
    <t>Found in: Scopus; PubMed · DOI: 10.1177/20552076241298425 · PMID: 39574801</t>
  </si>
  <si>
    <t>Introduction: Applying and leveraging artificial intelligence within the healthcare domain has emerged as a fundamental pursuit to advance health. Data-driven models rooted in deep learning have become powerful tools for use in healthcare informatics. Nevertheless, healthcare data are highly sensitive and must be safeguarded, particularly information related to sexually transmissible infections (STIs) and human immunodeficiency virus (HIV). Methods: We employed federated learning (FL) in combination with homomorphic encryption (HE) for STI/HIV prediction to train deep learning models on decentralized data while upholding rigorous privacy. The dataset included 168,459 data entries collected from eight countries between 2013 and 2018. The data for each country was split into two groups, with 70% allocated for training and 30% for testing. Our strategy was based on two-step aggregation to enhance model performance and leverage the area under the curve (AUC) and accuracy metrics and involved a secondary aggregation at the local level before utilizing the global model for each client. We introduced a dropout approach as an effective client-side solution to mitigate computational costs. Results: Model performance was progressively enhanced from an AUC of 0.78 and an accuracy of 74.4% using the local model to an AUC of 0.94 and an accuracy of 90.7% using the more advanced model. Conclusion: Our proposed model for STI/HIV risk prediction surpasses those achieved by local models and those constructed from centralized data sources, highlighting the potential of our approach to improve healthcare outcomes while safeguarding sensitive patient information. © The Author(s) 2024.</t>
  </si>
  <si>
    <t>R0864</t>
  </si>
  <si>
    <t>Touch of Privacy: A Homomorphic Encryption-Powered Deep Learning Framework for Fingerprint Authentication</t>
  </si>
  <si>
    <t>Found in: Scopus; IEEE · DOI: 10.1109/ACCESS.2025.3555311</t>
  </si>
  <si>
    <t>Deep learning and fully homomorphic encryption (FHE) are integrated for privacy-preserving fingerprint recognition. Convolutional neural network (CNN) extract fingerprint features encrypted using the Cheon-Kim-Kim-Song (CKKS) FHE scheme. TenSEAL ensures all computations occur in the encrypted domain, preventing raw biometric data exposure during authentication. A subset of the SOCOFing dataset, comprising 7,200 altered fingerprints from 90 individuals across three difficulty levels, is used for training (80%), validation (10%), and testing (10%). One real fingerprint per user is encrypted and stored for authentication, reducing computational complexity. The CNN classifies encrypted features without decryption, ensuring secure authentication. The system, utilizing Euclidean similarity, achieves 99.06% test accuracy with a loss of 0.1692, a True Acceptance Rate (TAR) of 99.19%, a False Rejection Rate (FRR) of 0.81%, a False Acceptance Rate (FAR) of 0%, and a True Rejection Rate (TRR) of 100%, with a minimal Equal Error Rate (EER) of 0.40%. Encrypted templates require only 31 MB for 90 users, averaging 344 KB per fingerprint per user. Despite a 157.26x encryption overhead, remains feasible for real-time applications, completing an encrypted comparison in 0.025 seconds with a total processing time of 0.136 seconds per fingerprint. Adhering to ISO/IEC 24745 biometric protection standards, the system ensures irreversibility, unlinkability, and renewability of biometric templates. Decryption occurs only on the client side, keeping raw fingerprint data inaccessible to the server. The results confirm the feasibility of FHE for secure fingerprint authentication in cloud-based environments, benefiting applications in healthcare, banking, and access control. © 2013 IEEE.</t>
  </si>
  <si>
    <t>R0865</t>
  </si>
  <si>
    <t>MedShieldFL-a privacy-preserving hybrid federated learning framework for intelligent healthcare systems</t>
  </si>
  <si>
    <t>Murala, D.K.; Krishna, G.S.; kiran, T.V.S.; Mohamud, A.K.</t>
  </si>
  <si>
    <t>Found in: Scopus; PubMed · DOI: 10.1038/s41598-025-27303-3 · PMID: 41345162</t>
  </si>
  <si>
    <t>Recent advances in artificial intelligence have greatly increased the accuracy of computer-assisted diagnosis for serious conditions including brain tumours. However, concerns about data privacy, class imbalance, and the diversity of medical datasets limit the application of centralised deep learning models in healthcare. This article introduces MedShieldFL, a hybrid privacy-preserving federated learning architecture that enables secure and decentralised brain tumour classification across many medical institutions. The approach uses data augmentation techniques to reduce class imbalance and homomorphic encryption to safely aggregate model changes while safeguarding sensitive patient data. The basic model is a ResNet-18-based classifier that strikes the ideal balance between accuracy and speed. The test results for MedShieldFL show that it can accurately group data into 93% to 96% of the time. This approach improves performance by about 2% compared to traditional federated learning models and keeps data privacy safe enough. The framework makes sure that the extra work that encryption adds to real-world programs stays within acceptable limits. This keeps execution times fair. Medical picture evaluation with MedShieldFL is a useful and flexible technology that protects privacy. This makes it easier for current healthcare systems to use AI that is safe and works with other AI. © The Author(s) 2025.</t>
  </si>
  <si>
    <t>R0866</t>
  </si>
  <si>
    <t>On fully homomorphic encryption for privacy-preserving deep learning</t>
  </si>
  <si>
    <t>Hernandez Marcano, N.J.; Moller, M.; Hansen, S.; Jacobsen, R.H.</t>
  </si>
  <si>
    <t>Found in: Scopus; IEEE · DOI: 10.1109/GCWkshps45667.2019.9024625</t>
  </si>
  <si>
    <t>Given the rise of Machine Learning (ML) applications using sensitive private data, we present an implementation of Fully Homomorphic Encryption (FHE) with Convolutional Neural Networks (CNNs) for privacy-preserving Deep Learning (DL). This permits to utilize DL image recognition algorithms without compromising personal data of served customers, e.g medical images. The combination of FHE and CNN is accomplished by using logic circuits, which enable to conduct deep learning algorithms on ciphertext instead of plaintext. We provide a set of practical measurements from an implementation on the number of logic circuit operations required to carry out privacy-preserving ML. The results are function of the numerical representation and security parameters. Our results indicate that the protection of customer data is a trade-off between the required level of security, prediction capability and computational complexity. Thus, we reach full correct classification with 6 bits in the fractional part, and evaluate the time costs associated with our circuits as a function of its security parameters. © 2019 IEEE.</t>
  </si>
  <si>
    <t>R0867</t>
  </si>
  <si>
    <t>A minimum blood glucose value less than or equal to 120 mg/dL under glycemic control is associated with increased 14-day mortality in nondiabetic intensive care unit patients with sepsis and stress hyperglycemia</t>
  </si>
  <si>
    <t>Chan, M.-C.; Tseng, J.-S.; Hsu, K.-H.; Shih, S.-J.; Yi, C.-Y.; Wu, C.-L.; Kou, Y.R.</t>
  </si>
  <si>
    <t>Found in: Scopus; PubMed · DOI: 10.1016/j.jcrc.2016.04.002 · PMID: 27288613</t>
  </si>
  <si>
    <t>Purpose: Hyperglycemia is common in critically ill patients, but results of previous trials on glycemic control have been controversial. This study aimed to investigate whether the minimum blood glucose value during the first 72 hours after admission (72-min-BGV) was associated with mortality in patients with severe sepsis. Materials and methods: This is a retrospective analysis of prospectively acquired clinical data from an intensive care unit of a tertiary referral hospital in central Taiwan. Patients were included if they were admitted due to severe sepsis from July 2010 to June 2011. Results: A total of 127 patients (100 males and 27 females) were included for analysis. A 72-min-BGV less than or equal to 120 mg/dL was associated with increased 14-day mortality. Further subgroup analysis revealed that this association existed only in the patients without diabetes. In multivariate logistic regression analysis, a 72-min-BGV less than or equal to 120 mg/dL was an independent risk factor for 14-day mortality (adjusted odds ratio, 5.09; 95% confidence interval, 1.26-23.33; P= .024) in the patients without diabetes. Conclusions: A 72-min-BGV less than or equal to 120 mg/dL was an independent risk factor for 14-day mortality in nondiabetic patients with hyperglycemia admitted to our intensive care unit due to severe sepsis, but not in diabetic patients under the same setting. © 2016 Elsevier Inc.</t>
  </si>
  <si>
    <t>R0868</t>
  </si>
  <si>
    <t>Parallel and memory-efficient homomorphically encrypted CNNs using vector and tensor representations</t>
  </si>
  <si>
    <t>Moreno-Chamorro, N.; Castillo, M.; Aliaga, J.I.; Dolz, M.F.</t>
  </si>
  <si>
    <t>Found in: Scopus · DOI: 10.1016/j.cam.2026.117797</t>
  </si>
  <si>
    <t>Homomorphic Encryption (HE) enables computation on encrypted data, providing strong privacy guarantees for sensitive applications such as healthcare, finance, and cloud computing. However, integrating HE into Convolutional Neural Networks (CNNs) introduces substantial computational challenges, including high memory usage, multiplicative depth limits, and error accumulation. This work presents a set of parallel and memory-efficient algorithms for encrypted CNN inference using the Residue Number System Cheon-Kim-Kim-Song (RNS-CKKS) scheme. We extend the TenSEAL library with four optimized convolution strategies (Direct, Toeplitz, Lowering, and Rotation). Three methods rely on the CKKSTensor representation, while a novel CKKSVector-based method encodes the entire input in a single ciphertext to reduce memory overhead. All implementations exploit multithreading and SIMD-style slot parallelism, and include optimized matrix multiplication primitives for encrypted linear algebra. These techniques are integrated into privacy-preserving versions of CryptoNets and LoLa, enabling end-to-end encrypted inference for convolutional and fully connected layers. Experimental evaluation on two CPU processors, an Intel Xeon Sapphire, a high-performance server processor, and an ARM Cortex-A78AE embedded in an NVIDIA Jetson Orin, an edge device processor, shows that Rotation excels in single-sample inference, Direct performs best for larger batch sizes, and Toeplitz minimizes memory usage. A detailed error analysis quantifies trade-offs among accuracy, efficiency, and memory, demonstrating the influence of polynomial modulus degree on numerical precision. Overall, vector-based representations combined with parallelism provide a practical and high-performance solution for secure CNN inference on both servers and resource-constrained edge devices. © 2026 The Authors</t>
  </si>
  <si>
    <t>R0869</t>
  </si>
  <si>
    <t>Risk factors and predictive performance for first healthcare encounter indicating homelessness using administrative data among Calgary residents diagnosed with addiction or mental health conditions</t>
  </si>
  <si>
    <t>Found in: Scopus; PubMed · DOI: 10.1371/journal.pdig.0001064 · PMID: 41171772</t>
  </si>
  <si>
    <t>Individuals diagnosed with addiction or mental health (AMH) conditions are more likely to experience potentially adverse outcomes of homelessness. Despite their link to later outcomes, research on initial episodes of AMH outcomes is limited. This study aims to use administrative data to identify the factors associated with the first healthcare encounters with indicators of homelessness (FHE-H) for individuals diagnosed with AMH. We assessed logistic regression and compared its performance with machine learning models, including random forests and extreme gradient boosting (XGBoost). We conducted a retrospective cohort study linking several administrative datasets for 232,253 individuals with Alberta health insurance in Calgary, Canada, who were aged between 18 and 65 and diagnosed with AMH between April 1, 2013, and March 31, 2018. We assessed outcomes in two years following cohort entry. Individuals with episodes of FHE-H (2,606 individuals) before the index date were excluded. Multivariable logistic regression models were used to identify factors associated with outcomes by estimating adjusted odds ratios (AORs) with 95% confidence intervals. Among 229,647 individuals diagnosed with AMH, 1,886 (0.82%) experienced FHE-H during the follow-up period. Mental health emergency visits (AORs=5.28 [95% CI: 4.41, 6.33]), substance misuse (AORs=3.87 [95% CI: 3.28, 4.56], substance use disorders (AORs=2.03 [95% CI: 1.64, 2.50]), and male sex (AORs=1.28 [95% CI: 1.14, 1.44]) were associated with FHE-H. XGBoost performance improved over logistic regression, with increases in area under the curve (AUC) by 1% and precision by 2%. Overall, several AMH features were associated with FHE-H, and machine learning models outperformed logistic regression, although to a small degree. © 2025 Shahidi et al. This is an open access article distributed under the terms of the Creative Commons Attribution License, which permits unrestricted use, distribution, and reproduction in any medium, provided the original author and source are credited.</t>
  </si>
  <si>
    <t>R0870</t>
  </si>
  <si>
    <t>Securing Diabetic Prediction with Federated Learning and Homomorphic Encryption</t>
  </si>
  <si>
    <t>Bhaskar, D.K.; Minimol, B.; Binu, V.P.</t>
  </si>
  <si>
    <t>Found in: Scopus; IEEE · DOI: 10.1109/ETIS64005.2025.10961602</t>
  </si>
  <si>
    <t>The rising worldwide impact of diabetes emphasizes the need for precise and personalized prediction models. However, the ethical and legal challenges associated with handling sensitive healthcare data necessitate innovative solutions that balance predictive accuracy with individual privacy. This research investigates the novel integration of two cutting-edge technologies, Federated Learning (FL) and Homomorphic Encryption (HE), to advance field of diabetic prediction while prioritizing data privacy. In this study, we give a detailed exploration of the Federated Learning and Homomorphic Encryption framework for diabetic prediction. We discuss the technical implementation, evaluate the system's predictive performance, and assess its ability to protect sensitive patient information. Our experiments reveal that the proposed approach achieves good prediction accuracy while preserving individual privacy, thereby offering a promising avenue for the development of secure and collaborative diabetic prediction models.  © 2025 IEEE.</t>
  </si>
  <si>
    <t>R0871</t>
  </si>
  <si>
    <t>Uncertainty-Aware Hypergraph Representation Learning for Neurodegenerative Disease Detection</t>
  </si>
  <si>
    <t>Yuan, M.; Yin, C.; Li, J.; Hu, J.; Li, H.; Perc, M.</t>
  </si>
  <si>
    <t>Found in: Scopus · DOI: 10.1016/j.chaos.2026.118154</t>
  </si>
  <si>
    <t>Hypergraph-based representations provide a systematic way to model higher-order interactions among multiple brain regions, which is important for detecting neurodegenerative diseases. However, existing hypergraph learning methods for brain network analysis face two major challenges. First, conventional binarization of functional connectivity neglects intrinsic uncertainty induced by progressive and heterogeneous pathological processes, which can bias network construction. Second, under the limited neuroimaging data, generic contrastive augmentation strategies introduce biologically implausible perturbations, hindering effective representation learning. We propose an Uncertainty-aware Hypergraph Representation Learning framework (UH-FRL) for neurodegenerative disease detection. We first develop an Uncertainty Relationship Construction (URC) module to infer functional connectivity states under uncertainty by leveraging fuzzy set theory and fuzzy inference. To mitigate data scarcity, we introduce a fuzzy contrastive strategy that generates semantically consistent augmented samples guided by the inferred fuzzy connectivity, reducing unrealistic distortions. We further design a Fuzzy Hypergraph Encoder (FHE) that aggregates uncertainty-aware information from hyperedges and node features through fuzzy rule-based modeling and hypergraph message passing, enabling the learning of robust and discriminative representations of brain network organization patterns. We evaluate UH-FRL on two public datasets and one private clinical dataset. The results show that UH-FRL consistently outperforms state-of-the-art methods, demonstrating strong effectiveness and robustness for neurodegenerative disease detection. The code of implementation is available at: https://github.com/yincan-y/UH-FRL/tree/master . Copyright © 2026. Published by Elsevier Ltd.</t>
  </si>
  <si>
    <t>R0872</t>
  </si>
  <si>
    <t>Privacy-Preserving Disease Prediction with Secure Data Deduplication on Untrusted Cloud Servers</t>
  </si>
  <si>
    <t>Jain, K.; Singh, P.; Li, X.</t>
  </si>
  <si>
    <t>Found in: Scopus; IEEE · DOI: 10.1109/MIPR62202.2024.00114</t>
  </si>
  <si>
    <t>In the era of digital healthcare, ensuring the privacy of sensitive health data while optimizing storage on cloud servers is paramount. This paper introduces a novel privacy-preserving framework that not only predicts diseases based on encrypted symptom data but also employs secure data deduplication techniques to significantly reduce storage requirements. Our approach utilizes homomorphic encryption to safeguard patient identities and a unique dual-level deduplication process that efficiently handles disease prescriptions. We demonstrate this through rigorous testing of the effectiveness of our system in maintaining privacy and optimizing cloud storage, setting a new standard for secure digital healthcare solutions.  © 2024 IEEE.</t>
  </si>
  <si>
    <t>R0873</t>
  </si>
  <si>
    <t>Privacy-Preserving Online Medical Prediagnosis Training Model Based on Soft-Margin SVM</t>
  </si>
  <si>
    <t>Deng, G.; Tang, M.; Xi, Y.; Zhang, M.</t>
  </si>
  <si>
    <t>Found in: Scopus; IEEE · DOI: 10.1109/TSC.2022.3194121</t>
  </si>
  <si>
    <t>Online medical prediagnosis systems have already shown great achievement in providing the guidance of healthcare services with lower time and cost. Achieving a high-precision medical primary diagnosis system faces many severe challenges on the privacy of individual health information, the distributed storage of medical data and the diversity of the disease. In this paper, we propose an efficient and privacy-preserving framework for obtaining a pre-clinical guide model, which allows an authorized data analysis center to train a disease classifier using a combination of medical data gathered from different entities. Our proposed scheme is based on soft-margin support vector machine (SVM) which takes Taylor polynomial of exponential-loss as penalty. Our scheme achieves the following advantages: the trained model can tolerate some abnormal samples therefore has higher generalization ability, and the training process can constraint the inefficient operations in the encrypted domain thus leads to the availability of partial homomorphic encryption system. Lately, we prove that the proposed scheme achieves the goal of medical prediagnosis system construction and data without privacy leakage to data analysis center and model parameters without exposure to data providers, as well as demonstrating its utility and efficiency using real-world medical datasets.  © 2008-2012 IEEE.</t>
  </si>
  <si>
    <t>R0874</t>
  </si>
  <si>
    <t>MediVault: An Auditable and Secure Federated Learning System for Privacy-Preserving Healthcare Collaboration</t>
  </si>
  <si>
    <t>Li, J.; Adeel, U.; Akram, M.S.</t>
  </si>
  <si>
    <t>Found in: Scopus · DOI: 10.3390/a19060427</t>
  </si>
  <si>
    <t>Healthcare analytics is often limited by data silos and strict privacy requirements, which make it difficult to share patient-level records across organisations and to build robust predictive models. Federated learning (FL) provides an alternative by keeping data local and exchanging model updates instead of raw records. However, many existing FL solutions remain difficult to deploy in healthcare settings, as they provide limited support for auditability, governance-oriented evidence, and system-level transparency. This paper presents MediVault, an auditable and security-aware federated learning-based system for privacy-preserving healthcare collaboration. MediVault combines round-based federated training, prototype-level protected update exchange, audit-ready telemetry, and an interactive dashboard that exposes non-sensitive evidence of collaboration, model progress, and protocol execution. In addition, the system supports controlled reporting to improve stakeholder communication during pilot deployments. We evaluate MediVault on two public healthcare classification datasets, Breast Cancer Wisconsin (Diagnostic) and Heart Disease, under IID and label-skewed Non-IID settings. Experiments are conducted using logistic regression, linear SVM, and an additional lightweight MLP under matched settings. The observed results suggest that federated training remains competitive with centralised training under the evaluated settings. A prototype-level overhead analysis further shows that protected update exchange introduces measurable computational and communication costs, especially for larger update vectors. These findings indicate that MediVault can support initial system-level validation of auditable, privacy-preserving healthcare FL workflows, while further work is needed for larger-scale deployment, stronger adversarial evaluation, and real-world clinical validation. © 2026 by the authors.</t>
  </si>
  <si>
    <t>R0875</t>
  </si>
  <si>
    <t>Privacy-Preserving Machine Learning for Mental Health Prediction Using Homomorphic Encryption</t>
  </si>
  <si>
    <t>Abbas, S.; Sultana, A.; Nasir, M.; Garcia-Ruiz, M.; Lin, W.</t>
  </si>
  <si>
    <t>Found in: Scopus; IEEE · DOI: 10.1109/SNPD65828.2025.11252977</t>
  </si>
  <si>
    <t>Student mental health issues, such as stress, anxiety, and depression, are increasingly prevalent in academic institutions, significantly affecting well-being and academic performance. Recent machine learning (ML)-based systems have demonstrated promise in predicting mental health conditions using survey data, but these approaches often process sensitive information in plaintext, risking privacy breaches or relying on centralized data storage vulnerable to leaks. Homomorphic encryption (HE) has been proposed for secure ML, but existing implementations either focus on simpler datasets (e.g., numerical/IoT data) or incur impractical computational overhead (e.g., high RAM usage or prolonged training times) for real-world mental health applications. To address these gaps, we introduce a privacy-preserving predictive model for student mental health using logistic regression trained directly on encrypted data via the TenSEAL library. Our work uniquely combines a leveled fully homomorphic encryption (FHE) scheme to ensure end-to-end confidentiality, replacing the standard sigmoid with a quadratic approximation for homomorphic compatibility. We also perform a comprehensive efficiency analysis that evaluates RAM usage and training time across polynomial-modulus degrees to balance security and practicality, a trade-off underexplored in prior HEbased mental health studies. Experimental results show that our encrypted model achieves 84% accuracy (vs. 96% unencrypted) with minimal performance loss, while benchmarks demonstrate scalable resource consumption. This work advances the feasibility of implementing FHE in sensitive domains such as mental health, offering a rigorous template for privacy-preserving ML without compromising predictive utility.  © 2025 IEEE.</t>
  </si>
  <si>
    <t>R0876</t>
  </si>
  <si>
    <t>Application of homomorphic encryption on neural network in prediction of acute lymphoid Leukemia</t>
  </si>
  <si>
    <t>Khilji, I.Q.; Saha, K.; Shonon, J.A.; Hossain, M.I.</t>
  </si>
  <si>
    <t>Found in: Scopus · DOI: 10.14569/IJACSA.2020.0110646</t>
  </si>
  <si>
    <t>Machine learning is now becoming a widely used mechanism and applying it in certain sensitive fields like medical and financial data has only made things easier. Accurate Diagnosis of cancer is essential in treating it properly. Medical tests regarding cancer in recent times are quite expensive and not available in many parts of the world. CryptoNets, on the other hand, is an exhibit of the use of Neural-Networks over data encrypted with Homomorphic Encryption. This project demonstrates the use of Homomorphic Encryption for outsourcing neural-network predictions in case of Acute Lymphoid Leukemia (ALL). By using CryptoNets, the patients or doctors in need of the service can encrypt their data using Homomorphic Encryption and send only the encrypted message to the service provider (hospital or model owner). Since Homomorphic Encryptions allow the provider to operate on the data while it is encrypted, the provider can make predictions using a pre-trained Neural-Network while the data remains encrypted all throughout the process and finally sending the prediction to the user who can decrypt the results. During the process the service provider (hospital or the model owner) gains no knowledge about the data that was used or the result since everything is encrypted throughout the process. Our work proposes a Neural Network model which will be able to predict ALL-Acute Lymphoid Leukemia with approximate 80% accuracy using the C_NMC Challenge dataset. Prior to building our own model, we used the dataset and pre-process it using a different approach. We then ran on different machine learning and Neural Network models like VGG16, SVM, AlexNet, ResNet50 and compared the validation accuracies of these models with our own model which lastly gives better accuracy than the rest of the models used. We then use our own pre-trained Neural Network to make predictions using CryptoNets. We were able to achieve an encrypted prediction of about 78% which is close to what we achieved when validating our own CNN model that has a validation accuracy of 80% for prediction of Acute Lymphoid Leukemia (ALL). © Science and Information Organization.</t>
  </si>
  <si>
    <t>R0877</t>
  </si>
  <si>
    <t>A Blockchain-Enabled Federated Neuro-Symbolic Framework for Secure Wearable Biosensor-Based Health Monitoring</t>
  </si>
  <si>
    <t>Alshudukhi, K.S.; Tariq, N.</t>
  </si>
  <si>
    <t>Found in: Scopus; PubMed · DOI: 10.3390/bios16080442 · PMID: 42645060</t>
  </si>
  <si>
    <t>Wearable biosensors generate continuous physiological data in smart Internet of Disease (IoD) environments. These data can support early disease detection and remote patient monitoring. However, wearable data are often noisy, sensitive, and distributed across different devices. This paper proposes a multimodal neuro-symbolic model to overcome these limitations and incorporates it into a secure Edge–Fog–Cloud framework for anomaly detection in smart healthcare applications. The proposed system integrates the semantic analysis of clinical text using Bio-ClinicalBERT with temporal numerical data using an LSTM-based model, creating a unified neuro-symbolic artificial intelligence (AI) pipeline. Initial data processing is performed at the Edge, whereas inference is carried out at distributed Fog nodes for low-latency anomaly detection. Model training is handled in the Cloud, and privacy-preserving federated learning (FL) is supported through Homomorphic Encryption (HomEnc) to facilitate collaborative model training without sharing raw patient data. A sharded Tangle ledger is also used, with transactions broadcast by the Fog nodes and validated in the Cloud to create tamper-evident transaction logs. Furthermore, Honey Encryption (HoneyEnc) is integrated into the Fog layer to enhance security against brute-force attacks. Experimental results show that the proposed framework achieved 99.22% accuracy and a 99.31% F1-score on the held-out test set, with bootstrap 95% confidence intervals of 98.96–99.47% for accuracy and 99.08–99.53% for the F1-score. It also reduced detection latency from 185 ms in the baseline setting to approximately 50 ms in the Fog-inference setting. The blockchain layer achieved approximately 500 Transactions Per Second (TPS), while higher throughput was observed under increased transaction load and shard parallelism. Because the evaluation is based on synthetic multimodal EHR-like data and controlled simulations, the reported findings should be interpreted as proof-of-concept internal validation rather than evidence of deployment-ready clinical generalizability; external validation using real wearable biosensor data, hospital IoMT streams, or public clinical datasets such as MIMIC-III/MIMIC-IV is required before clinical deployment. These results highlight the potential of the proposed system for secure data processing and trustworthy anomaly detection in smart healthcare environments. © 2026 by the authors.</t>
  </si>
  <si>
    <t>R0878</t>
  </si>
  <si>
    <t>End-to-End Privacy-Aware Federated Learning for Wearable Health Devices via Encrypted Aggregation in Programmable Networks</t>
  </si>
  <si>
    <t>Khan, H.; Kavati, R.; Pulkaram, S.S.; Jalooli, A.</t>
  </si>
  <si>
    <t>Found in: Scopus; PubMed · DOI: 10.3390/s25227023 · PMID: 41305229</t>
  </si>
  <si>
    <t>The widespread use of wearable Internet of Things (IoT) devices has transformed modern healthcare through the real-time monitoring of physiological signals. However, real- time responsiveness and data privacy are big challenges. Federated Learning (FL) keeps direct data exposure to a minimum but is susceptible to inference attacks on model updates and heavy communication overhead. In-network computing (INC) solutions currently offer greater efficiency but without cryptographic security, whereas homomorphic encryption (HE) offers high privacy but at the expense of latency and scalability. To bridge this gap, we present Edge-Assisted Homomorphic Federated Learning (EAH-FL), a framework that unifies Cheon–Kim–Kim–Song (CKKS) HE with in-network aggregation. Lightweight clients outsource encryption and decryption to trusted edge devices, whereas programmable switches carry out aggregation in the encrypted domain. Massive-scale simulations over realistic healthcare data sets demonstrate that EAH-FL preserves near-plaintext model accuracy (F1-score &gt; 0.93), delivers packet delivery ratios &gt; 0.95, and converges well for various client scales. The encryption expense is mostly incurred by the edge layer rather than resource-constrained wearables. Through the use of encryption, in- network acceleration, and smart routing, EAH-FL provides the first practical solution that achieves strong privacy, low latency, and scalability for real-time federated learning in healthcare in a single solution. These results validate its viability as a deployable and secure building block for next-generation digital health monitoring. © 2025 by the authors.</t>
  </si>
  <si>
    <t>R0879</t>
  </si>
  <si>
    <t>An efficient multi-party scheme for privacy preserving collaborative filtering for healthcare recommender system</t>
  </si>
  <si>
    <t>Kaur, H.; Kumar, N.; Batra, S.</t>
  </si>
  <si>
    <t>Found in: Scopus · DOI: 10.1016/j.future.2018.03.017</t>
  </si>
  <si>
    <t>Patient oriented decision-making in medical domains can enhance the efficiency of the modern healthcare recommender system provided the data scattered across different geographical regions is collected, mined and analyzed efficiently. Different sites, having Arbitrary Distributed Data (ADD) of healthcare services at various nodes can collaborate with each other to generate customer's preference leading to mutual advantage and overcoming of the issues related to insufficient ratings of various medical services. However, due to privacy, financial and legal issues, different parties defer from sharing their confidential data. If the parties are assured of data confidentiality, they might agree for fruitful collaboration. Few existing studies proposed Privacy Preserving Collaborative Filtering (PPCF) on ADD, but these techniques considered only two parties. Moreover, the computation cost of off-line model generation process is high since these techniques use homomorphic encryption techniques. To fill these gaps, this paper propose PPCF scheme on ADD based on multi-party random masking and polynomial aggregation techniques. In the proposal, two phases are considered namely as: off-line model generation and online prediction generation. Three protocols have been considered for privacy preservation so that analysis of each protocol is performed separately. The Paillier homomorphic encryption system is also used to calculate the length of vector X securely, so that only additive property of homomorphic encryption is used. Analysis of the proposed scheme has been done for security, accuracy, coverage and performance on healthcare and Movieslens datasets. It has been experimentally demonstrated that the proposed scheme maintains data owner's confidentiality, and privacy measure so that it does not affect the accuracy of prediction generation on integrated data. Comparative analysis of the proposed scheme has also been done with other related schemes based on off-line and online computation overheads. The results obtained demonstrated that the proposed scheme has significant improvement by a factor of 36% (approx) with respect to the aforementioned parameters. © 2018 Elsevier B.V.</t>
  </si>
  <si>
    <t>R0880</t>
  </si>
  <si>
    <t>An Enhanced Model for Smart Healthcare by Integrating Hybrid ML, LSTM, and Blockchain</t>
  </si>
  <si>
    <t>Kumar, C.K.; Nagamani, G.M.</t>
  </si>
  <si>
    <t>Found in: Scopus · DOI: 10.18280/isi.300105</t>
  </si>
  <si>
    <t>Conventional healthcare systems are traditionally challenged by fragmented data, lack of predictive insights, and security concerns, which spouse their effectiveness and efficiency. This paper will cover these gaps by developing an integrated Smart Healthcare System leveraging the power of the Internet of Things and Artificial Intelligence processes. To that end, we have proposed a holistic model that integrates several advanced methodologies to help in enhanced disease prediction and patient monitoring, with data security and privacy protection. We further apply the Hybrid Machine Learning (ML) models specifically; Random Forest Classifier integrated with k-means clustering for the prediction of diseases. This will cluster patients according to their similarity in health characteristics and provide an accurate disease risk prediction with an accuracy of 85-90%. Accordingly, Long Short Term Memory (LSTM) networks will be used for deeper timestamp series analyses with the following input sets: predicted disease probabilities, time-stamped health monitoring data, and patient lifestyle information sets. This model is outstanding both in regard to forecasting disease progression and in detecting anomalous health events with less than a 5% false positive rate. For protection and integrity of the data, we will use an Ethereum blockchain framework with respective smart contracts. The approach will provide secure, immutable health data storage and controlled, traceable access in full compliance with the requirements of various data protection regulations, such as GDPR. What's more, differentially private computations on encrypted data samples are guaranteed by combining homomorphic encryption methods with differential privacy techniques. The former ensures that in any kind of data analysis, at the point of execution, individual patient privacy is maintained, while the latter ensures an accurate, aggregated health data insight for different scenarios. By incorporating these methods, a robust smart healthcare system would be developed, one which, other than the ability to predict and monitor the progression of a disease very precisely, was able to protect patients' data and respect privacy. The same work has far-reaching implications in achieving better patient outcomes through earlier interventions and provision of increased security to the data, apart from enhancing trust in digital solutions for healthcare. ©2025 The authors.</t>
  </si>
  <si>
    <t>R0881</t>
  </si>
  <si>
    <t>A Cryptographic Federated Learning-Based Channel Estimation for Next-Generation Networks</t>
  </si>
  <si>
    <t>Catak, F.O.; Kuzlu, M.</t>
  </si>
  <si>
    <t>Found in: Scopus; IEEE · DOI: 10.1109/VCC60689.2023.10474729</t>
  </si>
  <si>
    <t>In recent years, advancements in Artificial Intelligence (AI) have significantly improved communication systems in terms of data transmission rate, latency, and accuracy, along with high demand to support a variety of new applications and services, including Virtual Reality (VR) and Augmented Reality (AR), Metaverse, large-scale Internet of Things (IoT), e-health, autonomous and flying vehicles. AI is pivotal in developing next-generation communication systems, such as 5G and beyond, and is expected to play an even more significant role in the future. However, using AI methods brings significant challenges due to centralized high computing demand, data diversity, and security concerns. Fortunately, Federated Learning (FL) is a decentralized form of machine learning that offers a promising solution to these challenges. This paper proposes a cryptographic FL-based channel estimation model using AI models for next-generation networks to encrypt the data to prevent privacy attacks. The study uses homomorphic encryption (HE) to address this issue, providing a secure multi-party computation protocol (SMCP) to safeguard AI-based channel estimation models.  © 2023 IEEE.</t>
  </si>
  <si>
    <t>R0882</t>
  </si>
  <si>
    <t>Twist Reliability Assessment of Flexible Batteries in Wearable Applications</t>
  </si>
  <si>
    <t>Found in: Scopus · DOI: 10.1109/ITherm51669.2021.9503147</t>
  </si>
  <si>
    <t>Flexible power sources in FHE applications may be subjected to loads of flexing, twisting, folding and stretching. Lithium-ion batteries less than 1-mm in thickness are capable of powering thin flexible wearable electronics. While the reliability and performance of thick block lithium-ion batteries has been studied in great detail – relatively little is known about thin flexible power sources under stresses of daily-motion. In this study, degradation of thin-flexible power source reliability has been studied under twist stresses of magnitude to replicate stresses of daily motion of human body using motion-control setups in a lab-environment. The samples are subjected to 150 charging-discharging cycles and the 60 twist-motion per every discharge cycle. The twist motion and the charging-discharging of the battery have been controlled via micro-controller and the LabView, respectively. Additionally, FEM model have been developed to predict the life of the battery and analyze acceleration factors between test conditions and use conditions. © 2021 IEEE</t>
  </si>
  <si>
    <t>R0883</t>
  </si>
  <si>
    <t>Hyena: Optimizing Homomorphically Encrypted Convolution for Private CNN Inference</t>
  </si>
  <si>
    <t>Roh, H.; Choi, W.-S.</t>
  </si>
  <si>
    <t>Found in: Scopus; IEEE · DOI: 10.1145/3676536.3676832</t>
  </si>
  <si>
    <t>Private inference using homomorphic encryption has gained a great attention to leverage powerful predictive models, e.g., deep convolutional neural networks (CNNs), in the area where data privacy is crucial, such as in healthcare or medical services. Processing convolution layers, however, occupies a huge portion (more than 85 %) of the total latency for private CNN inference. To solve this issue, this paper presents Hyena utilizing a novel homomorphic convolution algorithm that provides speedup, communication cost, and storage saving. We first note that padded convolution provides the advantage of model storage saving, but it does not support output channel packing, thereby increasing the amount of computation and communication. We address this limitation by proposing a novel plaintext multiplication algorithm using the Walsh-Hadamard matrix. Furthermore, we propose the optimization techniques to significantly reduce the latency of the proposed convolution by selecting the optimal encryption parameters and applying lazy reduction. Overall, Hyena achieves 1.6-3.8× speedup and reduces the weight storage by 2000-8000× compared to the conventional convolution. For deep CNNs like VGG-16, ResNet-20, and MobileNetV1 on ImageNet, Hyena reduces the end-to-end latency by 1.3-2.5×, the memory usage by 2.1-7.9× and communication cost by 1.4-1.5× compared to conventional method. © 2024 Copyright is held by the owner/author(s).</t>
  </si>
  <si>
    <t>R0884</t>
  </si>
  <si>
    <t>Federated Deep Reinforcement Learning for Privacy-Preserving Robotic-Assisted Surgery</t>
  </si>
  <si>
    <t>Hafeez, S.; Mulkana, S.R.; Imran, M.A.; Sevegnani, M.</t>
  </si>
  <si>
    <t>Found in: Scopus · DOI: 10.1109/ICDCSW63273.2025.00128</t>
  </si>
  <si>
    <t>The integration of Reinforcement Learning (RL) into robotic-assisted surgery (RAS) holds significant promise for advancing surgical precision, adaptability, and autonomous decision-making. However, the development of robust RL models in clinical settings is hindered by key challenges, including stringent patient data privacy regulations, limited access to diverse surgical datasets, and high procedural variability. To address these limitations, this paper presents a Federated Deep Reinforcement Learning (FDRL) framework that enables decentralised training of RL models across multiple healthcare institutions without exposing sensitive patient information. A central innovation of the proposed framework is its dynamic policy adaptation mechanism, which allows surgical robots to select and tailor patient-specific policies in real-time, thereby ensuring personalised and optimised interventions. To uphold rigorous privacy standards while facilitating collaborative learning, the FDRL framework incorporates secure aggregation, differential privacy, and homomorphic encryption techniques. Experimental results demonstrate a 60% reduction in privacy leakage compared to conventional methods, with surgical precision maintained within a 1.5% margin of a centralised baseline. This work establishes a foundational approach for adaptive, secure, and patient-centric AI-driven surgical robotics, offering a pathway toward clinical translation and scalable deployment across diverse healthcare environments.  © 2025 IEEE.</t>
  </si>
  <si>
    <t>R0885</t>
  </si>
  <si>
    <t>The case of adversarial inputs for secure similarity approximation protocols</t>
  </si>
  <si>
    <t>Kornaropoulos, E.M.; Efstathopoulos, P.</t>
  </si>
  <si>
    <t>Found in: Scopus · DOI: 10.1109/EuroSP.2019.00027</t>
  </si>
  <si>
    <t>Computing similarity between high-dimensional data is a fundamental problem in data mining and information retrieval, with numerous applications-such as e-discovery and patient similarity. To address the relevant performance and scalability challenges, approximation methods are employed. A common characteristic among all privacy-preserving approximation protocols based on sketching is that the sketching is performed locally and is based on common randomness. Inspired by the power of attacks on machine learning models, we introduce the study of adversarial inputs for secure similarity approximations. To formally capture the framework of this family of attacks we present a new threat model where a party is assumed to use the common randomness to perturb her input 1) offline, and 2) before the execution of any secure protocol, so as to steer the approximation result to a maliciously chosen output. We define perturbation attacks under this adversarial model and propose attacks for the techniques of minhash and cosine sketching. We demonstrate the simplicity and effectiveness of the attacks by measuring their success on synthetic and real data from the areas of e-discovery and patient similarity. To mitigate such perturbation attacks we propose a server-aided architecture, where an additional party, the server, assists in the secure similarity approximation by handling the common randomness as private data. We revise and introduce the necessary secure protocols so as to apply minhash and cosine sketching techniques in the server-aided architecture. Our implementation demonstrates that this new design can mitigate offline perturbation attacks without sacrificing the efficiency and scalability of the reconstruction protocol. © 2019 IEEE.</t>
  </si>
  <si>
    <t>R0886</t>
  </si>
  <si>
    <t>SAFE-MED for Privacy-Preserving Federated Learning in IoMT via Adversarial Neural Cryptography</t>
  </si>
  <si>
    <t>Khan, M.Z.; Abbass, W.; Abbas, N.; Javed, M.A.; Alahmadi, A.; Majeed, U.</t>
  </si>
  <si>
    <t>Found in: Scopus · DOI: 10.3390/math13182954</t>
  </si>
  <si>
    <t>Federated learning (FL) offers a promising paradigm for distributed model training in Internet of Medical Things (IoMT) systems, where patient data privacy and device heterogeneity are critical concerns. However, conventional FL remains vulnerable to gradient leakage, model poisoning, and adversarial inference, particularly in privacy-sensitive and resource-constrained medical environments. To address these challenges, we propose SAFE-MED, a secure and adversarially robust framework for privacy-preserving FL tailored for IoMT deployments. SAFE-MED integrates neural encryption, adversarial co-training, anomaly-aware gradient filtering, and trust-weighted aggregation into a unified learning pipeline. The encryption and decryption components are jointly optimized with a simulated adversary under a minimax objective, ensuring high reconstruction fidelity while suppressing inference risk. To enhance robustness, the system dynamically adjusts client influence based on behavioral trust metrics and detects malicious updates using entropy-based anomaly scores. Comprehensive experiments are conducted on three representative medical datasets: Cleveland Heart Disease (tabular), MIT-BIH Arrhythmia (ECG time series), and PhysioNet Respiratory Signals. SAFE-MED achieves near-baseline accuracy with less than 2% degradation, while reducing gradient leakage by up to 85% compared to vanilla FedAvg and over 66% compared to recent neural cryptographic FL baselines. The framework maintains over 90% model accuracy under 20% poisoning attacks and reduces communication cost by 42% relative to homomorphic encryption-based methods. SAFE-MED demonstrates strong scalability, reliable convergence, and practical runtime efficiency across heterogeneous network conditions. These findings validate its potential as a secure, efficient, and deployable FL solution for next-generation medical AI applications. © 2025 by the authors.</t>
  </si>
  <si>
    <t>R0887</t>
  </si>
  <si>
    <t>Machine learning in precision medicine to preserve privacy via encryption</t>
  </si>
  <si>
    <t>Briguglio, W.; Moghaddam, P.; Yousef, W.A.; Traoré, I.; Mamun, M.</t>
  </si>
  <si>
    <t>Found in: Scopus · DOI: 10.1016/j.patrec.2021.07.004</t>
  </si>
  <si>
    <t>Precision medicine is an emerging approach for disease treatment and prevention that delivers personalized care to individual patients by considering their genetic makeups, medical histories, environments, and lifestyles. Despite the rapid advancement of precision medicine and its considerable promise, several underlying technological challenges remain unsolved. One such challenge of great importance is the security and privacy of precision health-related data, such as genomic data and electronic health records, which stifle collaboration and hamper the full potential of machine-learning (ML) algorithms. To preserve data privacy while providing ML solutions, this article makes three contributions. First, we propose a generic machine learning with encryption (MLE) framework, which we used to build an ML model that predicts cancer from one of the most recent comprehensive genomics datasets in the field. Second, our framework's prediction accuracy is slightly higher than that of the most recent studies conducted on the same dataset, yet it maintains the privacy of the patients’ genomic data. Third, to facilitate the validation, reproduction, and extension of this work, we provide an open-source repository that contains the design and implementation of the framework, all the ML experiments and code, and the final predictive model deployed to a free cloud service. © 2021 Elsevier B.V.</t>
  </si>
  <si>
    <t>R0888</t>
  </si>
  <si>
    <t>Private pathological assessment via machine learning and homomorphic encryption</t>
  </si>
  <si>
    <t>Al Badawi, A.; Faizal Bin Yusof, M.</t>
  </si>
  <si>
    <t>Found in: Scopus; PubMed · DOI: 10.1186/s13040-024-00379-9 · PMID: 39252108</t>
  </si>
  <si>
    <t>Purpose: The objective of this research is to explore the applicability of machine learning and fully homomorphic encryption (FHE) in the private pathological assessment, with a focus on the inference phase of support vector machines (SVM) for the classification of confidential medical data. Methods: A framework is introduced that utilizes the Cheon-Kim-Kim-Song (CKKS) FHE scheme, facilitating the execution of SVM inference on encrypted datasets. This framework ensures the privacy of patient data and negates the necessity of decryption during the analytical process. Additionally, an efficient feature extraction technique is presented for the transformation of medical imagery into vectorial representations. Results: The system’s evaluation across various datasets substantiates its practicality and efficacy. The proposed method delivers classification accuracy and performance on par with traditional, non-encrypted SVM inference, while upholding a 128-bit security level against established cryptographic attacks targeting the CKKS scheme. The secure inference process is executed within a temporal span of mere seconds. Conclusion: The findings of this study underscore the viability of FHE in enhancing the security and efficiency of bioinformatics analyses, potentially benefiting fields such as cardiology, oncology, and medical imagery. The implications of this research are significant for the future of privacy-preserving machine learning, promoting progress in diagnostic procedures, tailored medical treatments, and clinical investigations. © The Author(s) 2024.</t>
  </si>
  <si>
    <t>R0889</t>
  </si>
  <si>
    <t>HEDEL: Homomorphically Encrypted Distributed Ensemble Learning</t>
  </si>
  <si>
    <t>Pazzi, R.; Falcetta, A.; Roveri, M.</t>
  </si>
  <si>
    <t>Found in: Scopus; IEEE · DOI: 10.1109/IJCNN64981.2025.11228475</t>
  </si>
  <si>
    <t>Privacy-Preserving Machine and Deep Learning (PP-MDL) leverages Homomorphic Encryption (HE) to enable the inference and training of Machine and Deep Learning (ML and DL) models on encrypted data, addressing the stringent privacy requirements of domains such as healthcare and finance. While PP-MDL has achieved maturity in inference tasks, training on encrypted data remains a significant challenge due to the computational overhead and operational constraints of HE. This paper introduces Homomorphically Encrypted Distributed Ensemble Learning (HEDEL), a distributed training architecture that enables the training of encrypted ensemble models, starting from encrypted base models and encrypted datasets, by combining Transfer Learning (TL) and Multi-Key Homomorphic Encryption (MKHE). HEDEL presents two unique features. First, TL enables HEDEL to dramatically reduce the computational cost of encrypted training by requiring only a few training epochs to achieve high-accuracy models, making it particularly effective in data-scarce scenarios. Second, MKHE provides a fine-grained access control mechanism for datasets and base models. Through collaborative decryption, model providers can not only regulate who accesses their models but also limit how often these models are used for training and inference. This ensures secure, controlled usage while preventing unauthorized or excessive access, even when a third party offers HEDEL. By combining the efficiency of TL with the security and control of MKHE, HEDEL provides a robust and scalable solution for PP-MDL in collaborative environments involving model providers, who share encrypted models to enable TL, and users who seek accurate, privacy-preserving predictions on their private datasets. Experimental results highlight its ability to overcome HE constraints while delivering high accuracy and strong privacy guarantees. © 2025 IEEE.</t>
  </si>
  <si>
    <t>R0890</t>
  </si>
  <si>
    <t>A Federated Learning Framework for Privacy-Preserving Healthcare Diagnostics Using Biomedical Signal Analysis</t>
  </si>
  <si>
    <t>Gantla, H.R.; Rajani, D.; Kavitha, K.R.; Koshti, R.; Goyal, P.; Bhattacharyya, S.</t>
  </si>
  <si>
    <t>Found in: Scopus · DOI: 10.1007/978-981-95-7292-2_4</t>
  </si>
  <si>
    <t>The rapid digitalization of healthcare systems has generated vast volumes of biomedical signals, including electrocardiograms (ECG), electroencephalograms (EEG), and photoplethysmograms (PPG). While these data streams offer unprecedented opportunities for early disease diagnostics, their collection and centralized processing raise severe concerns about patient privacy, data ownership, and regulatory compliance. Traditional machine learning pipelines require the gathering of raw data, increasing potential for data leaks, and violating confidentiality policies. Federated learning (FL) is a very attractive approach to eliminate the functionality of a centroid and instead allowing training to occur collectively across disparate health care nodes, while still ensuring raw patient data does not leave the medical facility. However, while federated learning has exciting potential as a paradigm, there are several challenges to its traditional implementation including; potential communication overhead, model divergence when several players are exposed to the same material from a population, and limited robustness to adversarial attacks. To address these challenges, this paper proposes a federated diagnostic framework which protects patient privacy that combines biomedical signal preprocessing, differential privacy, homomorphic encryption, as well an optimized aggregation scheme meant for non-IID clinical data. The novelty lies in embedding adaptive personalization layers at local nodes while maintaining a globally consistent diagnostic backbone. Experimental evaluation was performed on benchmark biomedical datasets (MIT-BIH Arrhythmia, Sleep-EDF, and PhysioNet EEG Motor Movement) under cross-institutional simulation. The framework achieved an accuracy of 94.7% in arrhythmia detection, 93.1% in seizure classification, and maintained &lt;2% accuracy drop when differential privacy was enforced with ε = 1.0. Communication latency was reduced by 27% compared to FedAvg, and robustness improved against model inversion attacks with &gt;40% resilience margin. These results confirm the framework’s feasibility for real-world privacy-preserving healthcare diagnostics, bridging the gap between diagnostic accuracy and regulatory compliance. © The Author(s), under exclusive license to Springer Nature Singapore Pte Ltd. 2026.</t>
  </si>
  <si>
    <t>R0891</t>
  </si>
  <si>
    <t>Secure federated learning applied to medical imaging with fully homomorphic encryption</t>
  </si>
  <si>
    <t>Lessage, X.; Collier, L.; Van Ouytsel, C.-H.B.; Legay, A.; Mahmoudi, S.; Massonet, P.</t>
  </si>
  <si>
    <t>Found in: Scopus; IEEE · DOI: 10.1109/ICAIC60265.2024.10433836</t>
  </si>
  <si>
    <t>This study explores the convergence of Federated Learning (FL) and Fully Homomorphic Encryption (FHE) through an innovative approach applied to a confidential dataset composed of mammograms from Belgian medical records. Our goal is to clarify the feasibility and challenges associated with integrating FHE into the context of Federated Learning, with a particular focus on evaluating the memory constraints inherent in FHE when using sensitive medical data. The results highlight notable limitations in terms of memory usage, underscoring the need for ongoing research to optimize FHE in real-world applications. Despite these challenges, our research demonstrates that FHE maintains comparable performance in terms of Receiver Operating Characteristic (ROC) curves, affirming the robustness of our approach in secure machine learning applications, especially in sectors where data confidentiality, such as medical data management, is imperative. The conclusions not only shed light on the technical limitations of FHE but also emphasize its potential for practical applications. By combining Federated Learning with FHE, our model preserves data confidentiality while ensuring the security of exchanges between participants and the central server © 2024 IEEE.</t>
  </si>
  <si>
    <t>R0892</t>
  </si>
  <si>
    <t>Secure naïve bayes classification protocol over encrypted data using fully homomorphic encryption</t>
  </si>
  <si>
    <t>Yasumura, Y.; Ishimaki, Y.; Yamana, H.</t>
  </si>
  <si>
    <t>Found in: Scopus · DOI: 10.1145/3366030.3366056</t>
  </si>
  <si>
    <t>Machine learning classification has a wide range of applications. In the big data era, a client may want to outsource classification tasks to reduce the computational burden at the client. Meanwhile, an entity may want to provide a classification model and classification services to such clients. However, applications such as medical diagnosis require sensitive data that both parties may not want to reveal. Fully homomorphic encryption (FHE) enables secure computation over encrypted data without decryption. By applying FHE, classification can be outsourced to a cloud without revealing any data. However, existing studies on classification over FHE do not achieve the scenario of outsourcing classification to a cloud while preserving the privacy of the classification model, client's data and result. In this work, we apply FHE to a naïve Bayes classifier and, to the best of our knowledge, propose the first concrete secure classification protocol that satisfies the above scenario. © 2019 Association for Computing Machinery.</t>
  </si>
  <si>
    <t>R0893</t>
  </si>
  <si>
    <t>Confidential Computing Techniques in Neural Network Training and Inference: From TEE to Cryptographic Foundations</t>
  </si>
  <si>
    <t>Wang, B.-B.; Yang, H.-W.; Hao, M.; He, H.; Zhang, W.-Z.</t>
  </si>
  <si>
    <t>Found in: Scopus · DOI: 10.11897/SP.J.1016.2026.00885</t>
  </si>
  <si>
    <t>With the extensive deployment of deep neural networks in key areas such as image recognition, natural language processing, medical decision-making and financial risk control, issues of data security and privacy protection have become increasingly prominent. During the processes of training and inference, models often need to directly access highly sensitive data, while traditional encryption and access-control mechanisms cannot effectively prevent data leakage in open or untrusted computing environments, revealing a trust gap in the practical deployment of deep learning. Confidential computing technology establishes a protected execution environment at the hardware or cryptographic level, in which data remain usable but invisible, thus providing new ideas and fundamental support for the privacy protection of neural networks. This technology enables secure model training and inference without revealing plaintext data, thereby realising trustworthy artificial intelligence across cloud, edge and multi-party collaborative settings. However, confidential computing still faces challenges such as large performance overheads, high programming complexity and limited compatibility, and its application in the field of neural networks requires a balance between security, efficiency and deployability. This paper systematically reviews the core technological pathways and evolutionary trends of confidential computing in neural-network training and inference, providing a comprehensive overview ranging from hardware-based security schemes built on trusted execution environments to software-based secure computation frameworks grounded in cryptographic primitives. At the hardware level, the paper focuses on the system architectures and security mechanisms of confidential-computing technologies such as Intel SGX, AMD SEV and NVIDIA GPU privacy extensions in supporting deep-learning tasks, and compares performance-optimisation strategies and system-design differences between CPU and GPU environments. From the cryptographic perspective, this paper discusses in depth the main homomorphic-encryption schemes used in neural-network inference, analysing their issues in numerical precision, latency and ciphertext expansion, as well as secure multi-party computation applied in joint training and distributed inference, examining their communication complexity and fault-tolerance mechanisms; it also introduces the latest explorations of zero-knowledge proofs in verifiable model computation and privacy-preserving inference. Furthermore, the paper reviews hybrid frameworks combining homomorphic encryption and multi-party computation, elucidating their design trade-offs and representative applications in terms of efficiency, security and scalability, and explores the latest advances in improving confidential-computing performance through hardware acceleration and system-level optimisation. Finally, the paper summarises the currently available confidential-computing framework systems for artificial neural networks, compares and analyses their advantages and limitations in terms of security models, functional capabilities, system performance and applicable scenarios, and proposes strategies and considerations for framework selection in different application scenarios including training, inference, federated learning and cross-domain collaboration. The comprehensive analysis indicates that although confidential computing has made significant progress in both theoretical research and engineering practice, existing solutions still find it difficult to achieve a full balance among efficiency, security and generality in the context of rapidly increasing model complexity, hardware constraints and growing demands for multi-party trust collaboration. Future development requires breakthroughs through the collaborative design of basic theory, cryptographic protocols and hardware architectures, and the promotion of standardized interfaces, verifiable execution and programmable security systems, so as to build a highly efficient and trustworthy ecosystem for next-generation secure intelligent computing. © 2026 Science Press. All rights reserved.</t>
  </si>
  <si>
    <t>R0894</t>
  </si>
  <si>
    <t>MedBlindTuner: Towards Privacy-Preserving Fine-Tuning on Biomedical Images with Transformers and Fully Homomorphic Encryption</t>
  </si>
  <si>
    <t>Panzade, P.; Takabi, D.; Cai, Z.</t>
  </si>
  <si>
    <t>Found in: Scopus · DOI: 10.1007/978-3-031-63592-2_15</t>
  </si>
  <si>
    <t>Advancements in machine learning (ML) have significantly revolutionized medical image analysis, prompting hospitals to rely on external ML services. However, the exchange of sensitive patient data, such as chest X-rays, poses inherent privacy risks when shared with third parties. Addressing this concern, we propose MedBlindTuner, a privacy-preserving framework leveraging fully homomorphic encryption (FHE) and a data-efficient image transformer (DEiT). MedBlindTuner enables the training of ML models exclusively on FHE-encrypted medical images. Our experimental evaluation demonstrates that MedBlindTuner achieves comparable accuracy to models trained on non-encrypted images, offering a secure solution for outsourcing ML computations while preserving patient data privacy. To the best of our knowledge, this is the first work that uses data-efficient image transformers and fully homomorphic encryption in this domain. © The Author(s), under exclusive license to Springer Nature Switzerland AG 2024.</t>
  </si>
  <si>
    <t>R0895</t>
  </si>
  <si>
    <t>Medical Image Data Security Risk Identification Based on 6G Wireless Sensor Networks and AI-Assisted Technology</t>
  </si>
  <si>
    <t>Li, C.; Zhang, Z.; Xiao, H.</t>
  </si>
  <si>
    <t>Found in: Scopus · DOI: 10.1007/s11277-024-11204-1</t>
  </si>
  <si>
    <t>This study presents a novel technique to protect medical image data from security risks under 6G wireless technology-based communications called FUZET—Fuzzy Encryption for medical image data. This innovative approach combines homomorphic encryption with the Fuzzy Analytic Hierarchy Process (FAHP) and technique for Order Preference by similarity to the Ideal Solution (TOPSIS) framework to improve the security assessment of 6G web-based image processing systems for handling medical image data. Additionally, the important combination of AI-assisted XG boost algorithm improves the entire security risk identification process by using machine learning techniques. This research aims to overcome the critical challenge of identifying risks related to medical imaging (MRI), CT, X-ray and ultrasonic images, particularly in the context of 6G wireless sensor networks. To prevent incorrect diagnoses, protecting these extremely private and sensitive medical picture data from unauthorised access is essential. Thus, a key concern in the healthcare industry is medical imaging security. Even with today’s improved attack types, technologies like 6G, which uses ultra-high-speed low latency to transport data at very high speeds, still face challenges. Combining the decision-making concepts of (FAHP and TOPSIS) and AI technology of XG boost with encryption techniques, the proposed study provides a systematic and rigorous assessment of security risks from various domains, such as data integrity, confidentiality, accessibility and compliance with regulatory standards. The usage of 6G wireless sensor networks allows continuous transmission and exchange of data, and the proposed AI-based technology improves the efficiency and accuracy of security risk identification processes. Additionally, this study highlights the significance of the research in addressing the pressing need for robust security measures in medical image processing systems. It highlights the ability of FUZET to reduce security threats and safeguard sensitive healthcare data. © The Author(s), under exclusive licence to Springer Science+Business Media, LLC, part of Springer Nature 2024.</t>
  </si>
  <si>
    <t>R0896</t>
  </si>
  <si>
    <t>An encrypted dual-attention federated learning framework for personalized electrocardiogram classification</t>
  </si>
  <si>
    <t>Le, K.; Phan, Q.B.; Nguyen, N.M.; Nguyen, T.T.</t>
  </si>
  <si>
    <t>Found in: Scopus · DOI: 10.1016/j.health.2026.100482</t>
  </si>
  <si>
    <t>Electrocardiogram (ECG) analysis is fundamental to the diagnosis and monitoring of cardiovascular diseases. In multi-center healthcare settings, collaborative model development is challenged by heterogeneous patient populations and stringent privacy requirements that restrict the sharing of sensitive data and model parameters. This study presents privacy-preserving dual-attention federated learning (PriDA-FL), a framework that integrates personalized federated learning with encrypted parameter aggregation for multi-center ECG classification. The proposed approach employs a transformer adaptor attached to a frozen, pretrained ECG foundation model, with attention heads partitioned into globally shared and client-specific components. This design simultaneously enables local adaptation, controls parameter transmission, and protects privacy by ensuring that client-specific parameters are excluded from server-visible communication channels. The framework is evaluated on the federated cardiovascular disease (FedCVD) benchmark, comprising four clinical ECG datasets under a 20-class multi-label classification setting. PriDA-FL is compared with federated representation learning (FedRep), federated tuning and personalization (FedTP), and low-rank adaptation (LoRA) under a matched eight-million-parameter configuration. PriDA-FL achieves an average per-client Micro-F1 score of (Formula presented), remaining within 1% of FedRep ((Formula presented) ) and FedTP ((Formula presented) ) while outperforming personalization-free baselines by 13%–26%. Adjusting the attention-head ratio yields global Micro-F1 scores ranging from (Formula presented) to (Formula presented), comparable to FedTP within the seed variance. A 10,000-iteration gradient inversion attack fails to reconstruct ECG waveforms from plaintext global updates. Furthermore, restricting Cheon–Kim–Kim–Song (CKKS) homomorphic encryption to globally shared parameters reduces the encrypted communication payload by 71.5% while increasing per-round computational overhead by only 1.06 times. These results demonstrate that a construction-time partition of transformer attention heads can simultaneously support personalized learning and privacy-preserving parameter exchange, providing an efficient and secure framework for collaborative ECG analytics and clinical decision support across distributed healthcare institutions. © 2026 The Authors. Published by Elsevier Inc. This is an open access article under the CC BY-NC-ND license. http://creativecommons.org/licenses/by-nc-nd/4.0/</t>
  </si>
  <si>
    <t>R0897</t>
  </si>
  <si>
    <t>Privacy-Preserving Deep Sequential Model with Matrix Homomorphic Encryption</t>
  </si>
  <si>
    <t>Jang, J.; Lee, Y.; Kim, A.; Na, B.; Yhee, D.; Lee, B.; Cheon, J.H.; Yoon, S.</t>
  </si>
  <si>
    <t>Found in: Scopus · DOI: 10.1145/3488932.3523253</t>
  </si>
  <si>
    <t>Making deep neural networks available as a service introduces privacy problems, for which homomorphic encryption of both model and user data potentially offers the solution at the highest privacy level. However, the difficulty of operating on homomorphically encrypted data has hitherto limited the range of operations available and the depth of networks. We introduce an extended CKKS scheme MatHEAAN to provide efficient matrix representations and operations together with improved noise control. Using the MatHEAAN we developed a deep sequential model with a gated recurrent unit called MatHEGRU. We evaluated the proposed model using sequence modeling, regression, and classification of images and genome sequences. We show that the hidden states of the encrypted model, as well as the results, are consistent with a plaintext model. © 2022 ACM.</t>
  </si>
  <si>
    <t>R0898</t>
  </si>
  <si>
    <t>Logistic regression on homomorphic encrypted data at scale</t>
  </si>
  <si>
    <t>Han, K.; Hong, S.; Cheon, J.H.; Park, D.</t>
  </si>
  <si>
    <t>Found in: Scopus · DOI: 10.1609/aaai.v33i01.33019466</t>
  </si>
  <si>
    <t>Machine learning on (homomorphic) encrypted data is a cryptographic method for analyzing private and/or sensitive data while keeping privacy. In the training phase, it takes as input an encrypted training data and outputs an encrypted model without ever decrypting. In the prediction phase, it uses the encrypted model to predict results on new encrypted data. In each phase, no decryption key is needed, and thus the data privacy is ultimately guaranteed. It has many applications in various areas such as finance, education, genomics, and medical field that have sensitive private data. While several studies have been reported on the prediction phase, few studies have been conducted on the training phase. In this paper, we present an efficient algorithm for logistic regression on homomorphic encrypted data, and evaluate our algorithm on real financial data consisting of 422,108 samples over 200 features. Our experiment shows that an encrypted model with a sufficient Kolmogorov Smirnow statistic value can be obtained in ~17 hours in a single machine. We also evaluate our algorithm on the public MNIST dataset, and it takes ~2 hours to learn an encrypted model with 96.4% accuracy. Considering the inefficiency of homomorphic encryption, our result is encouraging and demonstrates the practical feasibility of the logistic regression training on large encrypted data, for the first time to the best of our knowledge. © 2019, Association for the Advancement of Artificial Intelligence (www.aaai.org). All rights reserved.</t>
  </si>
  <si>
    <t>R0899</t>
  </si>
  <si>
    <t>Privacy-preserving model evaluation for logistic and linear regression using homomorphically encrypted genotype data</t>
  </si>
  <si>
    <t>Hong, S.; Choi, Y.A.; Joo, D.S.; Gürsoy, G.</t>
  </si>
  <si>
    <t>Found in: Scopus; PubMed · DOI: 10.1016/j.jbi.2024.104678 · PMID: 38936565</t>
  </si>
  <si>
    <t>Objective: Linear and logistic regression are widely used statistical techniques in population genetics for analyzing genetic data and uncovering patterns and associations in large genetic datasets, such as identifying genetic variations linked to specific diseases or traits. However, obtaining statistically significant results from these studies requires large amounts of sensitive genotype and phenotype information from thousands of patients, which raises privacy concerns. Although cryptographic techniques such as homomorphic encryption offers a potential solution to the privacy concerns as it allows computations on encrypted data, previous methods leveraging homomorphic encryption have not addressed the confidentiality of shared models, which can leak information about the training data. Methods: In this work, we present a secure model evaluation method for linear and logistic regression using homomorphic encryption for six prediction tasks, where input genotypes, output phenotypes, and model parameters are all encrypted. Results: Our method ensures no private information leakage during inference and achieves high accuracy (≥93% for all outcomes) with each inference taking less than ten seconds for ∼200 genomes. Conclusion: Our study demonstrates that it is possible to perform linear and logistic regression model evaluation while protecting patient confidentiality with theoretical security guarantees. Our implementation and test data are available at https://github.com/G2Lab/privateML/. © 2024 The Author(s)</t>
  </si>
  <si>
    <t>R0900</t>
  </si>
  <si>
    <t>An efficient and practical approach for privacy-preserving Naive Bayes classification</t>
  </si>
  <si>
    <t>Vu, D.-H.; Vu, T.-S.; Luong, T.-D.</t>
  </si>
  <si>
    <t>Found in: Scopus · DOI: 10.1016/j.jisa.2022.103215</t>
  </si>
  <si>
    <t>Nowadays, the development of machine learning has brought about tremendous benefits. Nevertheless, the process of building machine learning models can violate sensitive and private information in data, especially in some specific domains such as banking, medical, e-commerce. In this paper, we propose a novel privacy preservation solution for the Naive Bayes classification technique, a powerful machine learning algorithm. Because of being based on a new cryptographic protocol called secure multi-sum computation, the proposed solution not only protects data holders’ privacy but also guarantees the classification model's accuracy. Moreover, the experimental results demonstrate that our solution outperforms the typical privacy-preserving Naive Bayes classifiers, and it is efficient in real-life applications. © 2022 Elsevier Ltd</t>
  </si>
  <si>
    <t>R0901</t>
  </si>
  <si>
    <t>Federated Attention-Encrypted Learning for Privacy-Preserving Medical Image Classification</t>
  </si>
  <si>
    <t>Arangasamy, R.; Kodela, V.; Soumya, G.; Srivastava, S.; Meghashree, A.C.</t>
  </si>
  <si>
    <t>Found in: Scopus; IEEE · DOI: 10.1109/ICMNWC66779.2025.11354261</t>
  </si>
  <si>
    <t>In modern era, the progress made in artificial intelligence in medicine has changed the way medical images are analyzed, but the privacy and security issues due to centralized collection of patient-sensitive data are huge issues. Traditional deep learning operates on data centralization, violating confidentiality and disrupting collaborative work between medical institutions. This work presents a Federated AttentionEncrypted Federated Learning (FAE-FL) model for medicalimage classification which is privacy-preserving. In this study, the ChestX-ray14 dataset is utilized, distributed over multiple medical nodes, enabling decentralized learning without raw data transfer. The images are pre-processed with normalizing and Contrast Limited Adaptive Histogram Equalization (CLAHE) to suppress the effects of variation in image uniformity and contrast across the medical facilities. An Attention-based ResNet (ARFE) is used for deep feature extraction, which emphasizes parts of the image relevant to the disease, to improve diagnostic accuracy. The FAE-FL model utilizes Partial Homomorphic Encryption (PHE) and Differential Privacy (DP) to provide security of the model updates, combined with Federated Averaging (FedAvg) for the efficiency of global aggregation of the model with cooperation. Experimental results proved the proposed FAE-FL framework achieved better accuracy (98.90%), precision (98.98%), recall (99.67%), and F1-score (98.76%) than exiting Federated Learning (FL) model with significantly reduced encryption overhead, ensuring both high diagnostic performance and strict patient data confidentiality in decentralized healthcare environments.  © 2025 IEEE.</t>
  </si>
  <si>
    <t>R0902</t>
  </si>
  <si>
    <t>Chronic Kidney Disease Prediction: A Study of Encrypted Datasets</t>
  </si>
  <si>
    <t>Chaudhary, S.; Dhotre, S.; Patil, T.</t>
  </si>
  <si>
    <t>Found in: Scopus · DOI: 10.1007/978-981-96-7249-3_28</t>
  </si>
  <si>
    <t>Protecting privacy of data is a critical issue when handling sensitive medical information and homomorphic encryption (HE) emerges as a promising method facilitating computation on encrypted data. However, securely and efficiently processing private information in cloud computing remains challenging. Fully Homomorphic Encryption (FHE) can be a possible solution to privacy issues such that untrusted third parties may process cipher data without compromising the confidentiality of information. FHE shall prove valuable in distributed computation environments where confidentiality and integrity of data is also equally important. This survey provides a comprehensive review of FHE on theoretical foundations, current developments, limitations, potential applications, and available tools. The survey also suggests that FHE can be combined with machine learning to enable efficient predictions while safeguarding patient data privacy. © The Author(s), under exclusive license to Springer Nature Singapore Pte Ltd. 2025.</t>
  </si>
  <si>
    <t>R0903</t>
  </si>
  <si>
    <t>Secured and efficient MLP algorithm based on Sand Cat Swarm Optimization and homomorphic encryption for healthcare data</t>
  </si>
  <si>
    <t>Dakhare, B.S.; Ragha, L.L.</t>
  </si>
  <si>
    <t>Found in: Scopus · DOI: 10.1007/s13748-024-00335-y</t>
  </si>
  <si>
    <t>Security is necessary to ensure that patient data is transferred securely across connected devices due to it is sensitive and confidential.Still Still, certain areas of the data transmission network, such as server systems and Internet of Things (IoT) devices are unsecure, allowing hackers to access and exploit sensitive data.To address these issues, the machine learning algorithm is made more secure and effective by using the Multilayer Perceptron (MLP) algorithm with Optimized Sand Cat Swarm Optimization (SCSO) and CKKS based Fully Homomorphic Encryption (FHE). In this proposed solution, healthcare private data is used as an input for data security. LDA is first used for reducing the dataset dimensionality, which enables the development of a better model without losing any data. The LDA outcome is then sent into CKKS-FHE to encrypts the data by applying the AES-256 bit for key generation. The encrypted data is fed into MLP machine learning for secure training, and SCSO optimization is used in MLP to tune the hyperparameter to avoid overfitting while also predicting heart disease using a classifier. Performance measures for encrypting data are used to assess and compare the proposed method with existing methods. For the proposed model, the encrypted data achieved the following performance metrics: 88.41%, 87.56%, 89.32%, 87.15%, 89.65% and 89.13 for accuracy, precision, NPV, specificity, recall, and F1_score, respectively. From the experimental outcomes, the evaluated outcome of the proposed approach for encrypting data is better to secure the health care data efficiently. © Springer-Verlag GmbH Germany, part of Springer Nature 2024.</t>
  </si>
  <si>
    <t>R0904</t>
  </si>
  <si>
    <t>Privacy-preserving self-serviced medical diagnosis scheme based on secure multi-party computation</t>
  </si>
  <si>
    <t>Li, D.; Liao, X.; Xiang, T.; Wu, J.; Le, J.</t>
  </si>
  <si>
    <t>Found in: Scopus · DOI: 10.1016/j.cose.2019.101701</t>
  </si>
  <si>
    <t>With the development of the “Internet + Intelligent Medical”, patients can online diagnose some common diseases via the Internet. However, during the diagnostic process, there exist many severe problems on privacy for medical sensitive data of patients. To solve these problems, in this paper, we present a new privacy-preserving self-serviced medical diagnosis scheme based on secure multi-party computation (SMC). In our scheme, a registered patient first encrypts his/her medical health data and sends it to the hospital server, then the hospital server calculates the similarity value between the patient's medical health data and the trait vector of hospital disease. Finally, the hospital server searches for the disease that matches the patient according to the calculated similarity value, and sends the treatment method of this disease to the patient. Specifically, based on homomorphic encryption (HE) and privacy-preserving access control, our self-serviced medical diagnosis scheme can achieve privacy preservation of patient's medical health data and confidentiality of hospital diagnosis mode. Through detailed security analysis, we show that our scheme can resist various known security threats. In addition, our scheme not only reduces the cost of treatment for the patients and relieves the hospitals’ heavy pressure in the course of diagnosis, but can also predict other diseases of the patients, which can make the patients a more clear understanding of their current physical condition, and the patients can obtain the most appropriate treatment. © 2019</t>
  </si>
  <si>
    <t>R0905</t>
  </si>
  <si>
    <t>Integrating Homomorphic Encryption with Blockchain Technology for Machine Learning Applications</t>
  </si>
  <si>
    <t>Paul, S.P.; Sreenivasu, S.V.N.; Islam, S.Md.; Raghunath, B.; Dhote, K.; Vetrithangam, D.</t>
  </si>
  <si>
    <t>Found in: Scopus · DOI: 10.53759/7669/jmc202505031</t>
  </si>
  <si>
    <t>Leveraging cutting-edge technology like blockchain and machine intelligence, smart healthcare systems have emerged as a potential strategy for enhancing healthcare services. In order to secure health data, this study offers a unique design and analysis of a smart healthcare system that applies blockchain technique and the paillier homomorphic encryption algorithm in addition to a machine learning algorithm to detect cardiological disease. The suggested method seeks to solve the problems with predictive analytics and safe health data exchange in the medical field. Sensitive information is encrypted during transmission and storage using the Paillier Homomorphic Encryption technique, guaranteeing its confidentiality. By providing traceability and accountability in data access and sharing, blockchain technology is used to construct a safe and transparent record of health transactions. In addition, a machine learning algorithm is used to forecast cardiac illness based on the encrypted data, giving medical practitioners insightful information to help them make judgments. The integration of these technologies and their advantages in improving healthcare services are highlighted in the discussion of the proposed scheme's constructional and operational specification section. Simulation experiments are used to assess the suggested method’s efficiency and reflect its efficacy in terms of data security, detection accurateness, and computing proficiency. Comparing the integrated approach to conventional approaches, the results demonstrate a considerable improvement in prediction accuracy and security of health data. To sum up, the suggested smart healthcare system provides a thorough approach to guaranteeing the security of patient data and enhancing predictive analytics in the medical field. Machine learning, blockchain technology, and Paillier homomorphic encryption are all integrated into it, which shows promise for improving healthcare services and developing the field of smart healthcare systems. ©2025 The Authors.</t>
  </si>
  <si>
    <t>R0906</t>
  </si>
  <si>
    <t>A Medical Pre-diagnosis Scheme Based on Neural Network and Inner Product Function Encryption</t>
  </si>
  <si>
    <t>Cui, X.; Liu, H.; Tang, M.; Ma, Y.</t>
  </si>
  <si>
    <t>Found in: Scopus; IEEE · DOI: 10.1109/ICECAI58670.2023.10176838</t>
  </si>
  <si>
    <t>Artificial neural networks are widely used in various fields, such as intelligent road networks, Internet of Things, and smart medical systems due to their ability to process large amounts of data in parallel, store information in a distributed manner, and self-organize and self-learn. Cloud computing technology has further expanded the development of neural network applications. However, user data often contains sensitive information, and once the data management right is transferred to the cloud, it faces serious security and privacy issues. In the medical field, privacy-preserving implementation of classification algorithms is crucial for ensuring the privacy of electronic medical diagnosis services. Current privacy-preserving medical pre-diagnosis schemes based on homomorphic encryption impose a significant computational and communication burden on users and servers. This paper proposes an efficient privacy-preserving medical pre-diagnosis scheme based on neural networks and inner product function encryption that protects user privacy during pre-diagnosis while having small computational and communication overheads. © 2023 IEEE.</t>
  </si>
  <si>
    <t>R0907</t>
  </si>
  <si>
    <t>Securing Federated Learning: Approaches, Mechanisms and Opportunities</t>
  </si>
  <si>
    <t>Moshawrab, M.; Adda, M.; Bouzouane, A.; Ibrahim, H.; Raad, A.</t>
  </si>
  <si>
    <t>Found in: Scopus · DOI: 10.3390/electronics13183675</t>
  </si>
  <si>
    <t>With the ability to analyze data, artificial intelligence technology and its offshoots have made difficult tasks easier. The tools of these technologies are now used in almost every aspect of life. For example, Machine Learning (ML), an offshoot of artificial intelligence, has become the focus of interest for researchers in industry, education, healthcare and other disciplines and has proven to be as efficient as, and in some cases better than, experts in answering various problems. However, the obstacles to ML’s progress are still being explored, and Federated Learning (FL) has been presented as a solution to the problems of privacy and confidentiality. In the FL approach, users do not disclose their data throughout the learning process, which improves privacy and security. In this article, we look at the security and privacy concepts of FL and the threats and attacks it faces. We also address the security measures used in FL aggregation procedures. In addition, we examine and discuss the use of homomorphic encryption to protect FL data exchange, as well as other security strategies. Finally, we discuss security and privacy concepts in FL and what additional improvements could be made in this context to increase the efficiency of FL algorithms. © 2024 by the authors.</t>
  </si>
  <si>
    <t>R0908</t>
  </si>
  <si>
    <t>Racial/ethnic disparity in obesity among US youth, 1999-2013</t>
  </si>
  <si>
    <t>An, R.</t>
  </si>
  <si>
    <t>Found in: Scopus · DOI: 10.1515/ijamh-2015-0068</t>
  </si>
  <si>
    <t>Background: One fundamental goal in the Healthy People 2020 is to achieve health equity and eliminate disparities. Objective: To examine the annual trends in racial/ethnic disparity in obesity among US youth from 1999 to 2013. Subjects: Nationally representative sample of 108,811 students in grades 9th-12th from the Youth Risk Behavior Surveillance System (YRBSS) 1999-2013 surveys. Methods: Body mass index (BMI) was calculated based on self-reported height and weight. Obesity in youth is defined as BMI at or above 95th sex- and age-specific percentile of the 2000 Centers for Disease Control and Prevention growth charts. Multiple logistic regressions were conducted to estimate the annual prevalence of obesity by race/ethnicity, adjusted for gender and age group and accounted for the YRBSS survey design. Between-group variance (BGV) was used to measure absolute racial/ ethnic disparity in obesity, and the mean log deviation (MLD) and the Theil Index (T) were used to measure relative racial/ethnic disparity in obesity, weighted by corresponding racial/ethnic population size. Results: The obesity prevalence among non-Hispanic Whites, non-Hispanic African Americans, non-Hispanic other race or multi-race, and Hispanic increased from 10.05%, 12.31%, 10.25%, and 13.24% in 1999 to 13.14%, 15.76%, 10.87%, and 15.20% in 2013, respectively. Both absolute and relative racial/ethnic disparity in obesity increased initially since 1999 but then steadily declined starting from mid-2000s back to around its original level by 2013. Conclusion: The obesity epidemic in youth is marked by salient and persistent disparity pertaining to race/ethnicity. No improvement on racial/ethnic disparity in obesity among American youth was observed during 1999-2013. © 2017 Walter de Gruyter GmbH, Berlin/Boston.</t>
  </si>
  <si>
    <t>R0909</t>
  </si>
  <si>
    <t>Privacy-aware continuous federated biometric authentication (PACFBA) using federated deep learning: a novel usable security framework</t>
  </si>
  <si>
    <t>Al Abdulwahid, A.</t>
  </si>
  <si>
    <t>Found in: Scopus · DOI: 10.1038/s41598-026-55046-2</t>
  </si>
  <si>
    <t>With the rapid growth of mobile, IoT, and edge-based ecosystems, the need for secure, seamless, and privacy-preserving authentication mechanisms has become increasingly critical. Traditional authentication methods, such as passwords and single-step biometrics, verify users only at the initial login stage and fail to ensure continuous user verification throughout an active session, exposing systems to significant security risks. To address this limitation, this study proposes the Privacy-Aware Continuous Federated Biometric Authentication (PACFBA) framework, a novel Federated Learning (FL)-based approach for continuous, decentralized user authentication. PACFBA integrates a hybrid Convolutional Neural Network (CNN) and Long Short-Term Memory (LSTM) architecture to jointly capture spatial and temporal biometric patterns, improving adaptability in heterogeneous environments. To ensure secure model updates and protect user data, PACFBA incorporates Differential Privacy (DP) and Homomorphic Encryption (HE) within the FL process, preventing the transfer of sensitive biometric information to central servers. Experimental results demonstrate that PACFBA achieves an accuracy of 92.5%, precision of 90.8%, recall of 91.2%, and an F1-score of 0.91, while reducing communication overhead by 20% and improving privacy preservation by 35% compared to centralized models. These results confirm PACFBA’s potential for enhancing continuous authentication in mobile, IoT, and edge-based environments. However, further empirical validation using large-scale, heterogeneous, real-world datasets is necessary before the framework can be considered fully deployment-ready. This research contributes to designing scalable, secure, and adaptive authentication frameworks to address emerging challenges in decentralized digital ecosystems. © The Author(s) 2026.</t>
  </si>
  <si>
    <t>R0910</t>
  </si>
  <si>
    <t>Adaptive Multimodal Fusion in Vertical Federated Learning for Decentralized Glaucoma Screening</t>
  </si>
  <si>
    <t>Jabbar, A.; Huang, J.; Jabbar, M.K.; Ali, A.</t>
  </si>
  <si>
    <t>Found in: Scopus; PubMed · DOI: 10.3390/brainsci15090990 · PMID: 41008349</t>
  </si>
  <si>
    <t>Background/Objectives: Early and accurate detection of glaucoma is vital for preventing irreversible vision loss, yet traditional diagnostic approaches relying solely on unimodal retinal imaging are limited by data sparsity and constrained context. Furthermore, real-world clinical data are often fragmented across institutions under strict privacy regulations, posing significant challenges for centralized machine learning methods. Methods: To address these barriers, this study proposes a novel Quality Aware Vertical Federated Learning (QAVFL) framework for decentralized multimodal glaucoma detection. The proposed system dynamically integrates clinical text, retinal fundus images, and biomedical signal data through modality-specific encoders, followed by a Fusion Attention Module (FAM) that adaptively weighs the reliability and contribution of each modality. Unlike conventional early fusion or horizontal federated learning methods, QAVFL operates in vertically partitioned environments and employs secure aggregation mechanisms incorporating homomorphic encryption and differential privacy to preserve patient confidentiality. Results: Extensive experiments conducted under heterogeneous non-IID settings demonstrate that QAVFL achieves an accuracy of 98.6%, a recall of 98.6%, an F1-score of 97.0%, and an AUC of 0.992, outperforming unimodal and early fusion baselines with statistically significant improvements (p &lt; 0.01). Conclusions: The findings validate the effectiveness of dynamic multimodal fusion under privacy-preserving decentralized learning and highlight the scalability and clinical applicability of QAVFL for robust glaucoma screening across fragmented healthcare environments. © 2025 by the authors.</t>
  </si>
  <si>
    <t>R0911</t>
  </si>
  <si>
    <t>Privacy preservation of genome data analysis using homomorphic encryption</t>
  </si>
  <si>
    <t>Kachouh, B.; Hariss, K.; Sliman, L.; Samhat, A.E.; Alsuliman, T.</t>
  </si>
  <si>
    <t>Found in: Scopus · DOI: 10.1007/s11761-021-00326-0</t>
  </si>
  <si>
    <t>Very few organizations can afford the necessary infrastructure for genomic data analytic, which requires a very large amount of storage and computational resources. In this context, cloud computing platforms can be adopted as a practical solution for storage and computations. However, sharing such sensitive information with cloud providers can lead to violating privacy preservation and public regulations. To resolve this problem, homomorphic encryption (HE) can be used. Homomorphic encryption enables computation over encrypted data, which helps tackling the problem of privacy preservation. Despite this advantage, existing HE schemes suffer from high computational complexity and storage overhead; designing a practical HE scheme that provides simultaneously the efficiency and the required level of security still remains an open question. In this paper, we propose a secure cloud based scheme for storing and analyzing classified genetic data using homomorphic encryption (HE). In our scheme, we adopted an optimization technique based on decomposing a homomorphic cipher text into a number of independent cipher texts with lower storage overhead using the Chinese remainder theorem (CRT). Optimization is then accomplished by applying parallel processing over the independent cipher texts. The presented technique is applied to improve the efficiency of two well-known HE schemes: the Domingo Ferrer (DF) and the Paillier cryptosystems. After examining the correctness of the proposed optimization, it is used to design a secure cloud-based application dedicated for genome data analysis. A virtual cloud environment was created for this purpose. Different performance and security analyses have shown the efficiency of such solution and its compatibility with real-world applications. The execution time is reduced to more than half while maintaining a high security level. © 2021, The Author(s), under exclusive licence to Springer-Verlag London Ltd., part of Springer Nature.</t>
  </si>
  <si>
    <t>R0912</t>
  </si>
  <si>
    <t>Investigating TenSEAL's Homomorphic Encryption Through Predicting Encrypted RNA Sequencing Data</t>
  </si>
  <si>
    <t>Choi, L.; Kim, W.</t>
  </si>
  <si>
    <t>Found in: Scopus; IEEE · DOI: 10.1109/SPW72489.2026.00018</t>
  </si>
  <si>
    <t>We address the growing need to protect sensitive healthcare data as digital technologies and cloud-based analytics become integral to modern medical research and care delivery. Healthcare data, such as clinical or genomic information, holds immense potential to enhance disease understanding and improve diagnostics through machine learning models; however, adopting third-party cloud technologies increases the risks of data breaches and noncompliance with regulations. To address these concerns, this research investigates homomorphic encryption, a cryptographic method that allows computations on encrypted data without exposing sensitive information. The study explores the TenSEAL library to evaluate its performance in encrypting healthcare test datasets and executing predictions through a pre-trained machine learning model, while also evaluating memory utilization and encryption time. The findings indicate that TenSEAL's CKKS scheme supports secure encrypted inference on breast, lung, and prostate cancer genomic datasets, with F1-score, accuracy, recall, and precision decreasing only marginally relative to plaintext inference. On the other hand, our results also highlight a key trade-off: as encryption strength and dataset size increase, computational overhead rises sharply. Thus, healthcare practitioners and data scientists must carefully balance the need for security with the practical deployment in real-world healthcare systems.  © 2026 IEEE.</t>
  </si>
  <si>
    <t>R0913</t>
  </si>
  <si>
    <t>Parallel Linear Regression on Encrypted Data</t>
  </si>
  <si>
    <t>Morshed, T.; Alhadidi, D.; Mohammed, N.</t>
  </si>
  <si>
    <t>Found in: Scopus · DOI: 10.1109/PST.2018.8514158</t>
  </si>
  <si>
    <t>In recent years, the advent of machine learning models on private data has been remarkable. However, in-corporating machine learning techniques to healthcare data is pretty challenging due to the privacy issues of sensitive data which restricts data sharing in plaintext. Ensuring the privacy of individuals in healthcare datasets while constructing a machine learning model is a challenging research problem today. This paper proposes an approximate mathematical model utilizing linear regression on homomorphically encrypted data to predict the disease association of an individual. Furthermore, as these encryption schemes are not efficient considering computation time, we incorporate the multi-core parallelism to make the framework realistic. We experimentally evaluate the performance of the proposed methods and report on the experimental results. © 2018 IEEE.</t>
  </si>
  <si>
    <t>R0914</t>
  </si>
  <si>
    <t>MedLedgerFL: a hybrid blockchain-federated learning framework for secure remote healthcare services</t>
  </si>
  <si>
    <t>Murala, D.K.; Vemulapalli, L.; Balagoni, Y.; Patnala, E.; Romeo, B.</t>
  </si>
  <si>
    <t>Found in: Scopus; PubMed · DOI: 10.1038/s41598-026-39149-4 · PMID: 41673075</t>
  </si>
  <si>
    <t>The fast growth of telemedicine has made it clear that we need safe, cooperative, and privacy-protecting ways to handle sensitive medical information. Traditional centralised predictive model training methods have problems including data leaks, ownership disputes, and tight rules that make it hard for institutions to work together. To solve these problems, this paper suggests MedLedgerFL, a hybrid platform that combines blockchain with federated learning (FL) to make remote healthcare analytics safe and reliable. The blockchain layer makes sure that the model updates can be audited, can’t be changed, and can only be accessed by authorised healthcare institutions. The federated learning layer lets healthcare institutions work together to train the model without sharing patient data, which makes sure that they follow data protection laws like GDPR. Tests show that MedLedgerFL is better than other methods at making accurate predictions, communicating quickly, and keeping information private. Combining blockchain consensus with federated model aggregation makes things more open, lowers the danger of data exposure, and makes models more reliable. Future endeavours will concentrate on enhancing scalability among institutions, integrating sophisticated privacy-preserving techniques like differential privacy and homomorphic encryption, and assessing the framework’s efficacy in extensive, practical telemedicine applications. © The Author(s) 2026.</t>
  </si>
  <si>
    <t>R0915</t>
  </si>
  <si>
    <t>Secure Cloud-based EHR Analytics using a Hybrid Homomorphic Encryption and Differential Privacy Pipeline</t>
  </si>
  <si>
    <t>Radhika, K.; George Fernandez, I.</t>
  </si>
  <si>
    <t>Found in: Scopus; IEEE · DOI: 10.1109/ICESC70182.2026.11687257</t>
  </si>
  <si>
    <t>The problem of providing confidentiality for Electronic Health Records (EHRs) hosted in the cloud is twofold because it requires the protection of data confidentiality during computations and against output privacy attacks. Although Homomorphic Encryption (HE) protects confidential data from being leaked during computation processes, its decrypted output is vulnerable to various types of inference attacks. In turn, Differential Privacy (DP) protects sensitive information from being revealed through computation outputs while leaving computational processes unprotected. We propose a novel HE+DP hybrid pipeline in which a Cheon-Kim-Kim-Song (CKKS) scheme is utilized to perform computations securely in the encrypted domain, followed by the application of DP through the introduction of Laplacian noise to the computation results. We provide a detailed system and threat model, along with an overview of the algorithms and architecture of the designed pipeline to ensure replicability. An experimental evaluation of the proposed approach is conducted on synthetic and publicly available EHR datasets using various settings (ϵ ≥ 1.0). We show that our approach preserves near-plaintext accuracy (RMSE &lt; 5%) with an overhead of roughly 12× compared to plaintext operations for medium-sized datasets. © 2026 IEEE.</t>
  </si>
  <si>
    <t>R0916</t>
  </si>
  <si>
    <t>Privacy-preserving biological age prediction over federated human methylation data using fully homomorphic encryption</t>
  </si>
  <si>
    <t>Found in: Scopus; PubMed · DOI: 10.1101/gr.279071.124 · PMID: 39237299</t>
  </si>
  <si>
    <t>DNA methylation data play a crucial role in estimating chronological age in mammals, offering real-time insights into an individual's aging process. The epigenetic pacemaker (EPM) model allows inference of the biological age as deviations from the population trend. Given the sensitivity of this data, it is essential to safeguard both inputs and outputs of the EPM model. A privacy-preserving approach for EPM computation utilizing fully homomorphic encryption was recently introduced. However, this method has limitations, including having high communication complexity and being impractical for large data sets. The current work presents a new privacy-preserving protocol for EPM computation, analytically improving both privacy and complexity. Notably, we employ a single server for the secure computation phase while ensuring privacy even in the event of server corruption (compared to requiring two noncolluding servers in prior work). Using techniques from symbolic algebra and number theory, the new protocol eliminates the need for communication during secure computation, significantly improves asymptotic runtime, and offers better compatibility to parallel computing for further time complexity reduction. We implemented our protocol, demonstrating its ability to produce results similar to the standard (insecure) EPM model with substantial performance improvement compared to prior work. These findings hold promise for enhancing data security in medical applications where personal privacy is paramount. The generality of both the new approach and the EPM suggests that this protocol may be useful in other applications employing similar expectation–maximization techniques. © 2024 Goldenberg et al.</t>
  </si>
  <si>
    <t>R0917</t>
  </si>
  <si>
    <t>Safeguarding biomedical AI: a critical scoping review of privacy-enhancing technologies, hybrid approaches, and deployment models</t>
  </si>
  <si>
    <t>Ay S; Topaloglu U; Zhang W</t>
  </si>
  <si>
    <t>Found in: PubMed · DOI: 10.3389/fdgth.2026.1726771 · PMID: 42676525</t>
  </si>
  <si>
    <t>BACKGROUND: Biomedical artificial intelligence (AI) requires the integration of privacy-enhancing technologies (PETs) to safeguard sensitive clinical, imaging, and genomic data while preserving analytical utility. OBJECTIVES: This review critically and systematically maps applications of PETs across the biomedical AI lifecycle in accordance with PRISMA-ScR guidelines and evaluates their technical trade-offs, deployment feasibility, and residual risks. METHODS: We systematically searched PubMed, IEEE Xplore, ACM Digital Library, and Scopus for studies published between 2015 and 2025. Eligible studies addressed differential privacy, federated learning, secure multiparty computation, homomorphic encryption, or hybrid approaches in biomedical AI. Data were charted on PET type, modality, lifecycle stage, utility metrics, privacy parameters, and deployment considerations. A critical appraisal rubric assessed threat-model adequacy, methodological clarity, reproducibility, privacy-utility transparency, and deployment realism. Additionally, we hand-searched major venues (USENIX Security, NeurIPS, AAAI) and screened Google Scholar for grey literature, applying de-duplication across sources. RESULTS: We identified 87 studies spanning clinical decision support, genomics, and medical imaging. From 25,761 initial records, 3,754 underwent title/abstract screening and 1,968 underwent full-text assessment. PETs demonstrated distinct strengths and limitations: differential privacy provided provable guarantees but reduced performance on imbalanced data; federated learning improved data access but remained vulnerable to gradient leakage; and cryptographic methods ensured confidentiality at high computational cost. Synthetic data generation supported privacy-conscious data sharing and benchmarking but remained sensitive to disclosure risk, fidelity loss, and subgroup representation. Hybrid and emerging approaches, including trusted execution environments, zero-knowledge proofs, and privacy-preserving transformer architectures, mitigated composability gaps yet lacked full end-to-end assurance. Case studies at hospital and biobank scale illustrated practical feasibility and infrastructure demands. CONCLUSIONS: Situating PETs within technical and operational contexts clarifies their capabilities, limitations, and deployment challenges. Residual risks persist, including fairness concerns, inference-time leakage, and overreliance on PETs as compliance proxies. Sustained technical innovation and institutional governance remain essential for the trustworthy integration of PETs in biomedical AI.</t>
  </si>
  <si>
    <t>R0918</t>
  </si>
  <si>
    <t>An Innovative Method to Predict Breast Cancer at Earlier Stage based on RAUNET Approach</t>
  </si>
  <si>
    <t>Kumar, R.; Kumar Behera, S.; Kalpana, K.; Kadam, A.V.; Ashok, V.; Suganthi, D.</t>
  </si>
  <si>
    <t>Found in: Scopus · DOI: 10.1109/ICSCNA58489.2023.10370705</t>
  </si>
  <si>
    <t>Recent increases in healthcare spending have made early disease detection a pressing concern. The growth of populations has a direct correlation with the rising death toll from breast cancer. Breast cancer ranks second among the deadliest cancers the proposed approach knows about. An autonomous disease detection system minimizes the likelihood of fatalities by providing a rapid response from medical personnel who can effectively treat the condition. The proposed approach entails three steps: preprocessing, segmentation, and model training. The proposed approach employed a combination of Contrast Limited Histogram Equalization and Fuzzy Histogram Equalization as a preprocessing technique. More and more comprehensive segmentation regions are produced when numerous segmentation regions are connected. After accumulating the attributes, the models are trained with RA-UNet. The proposed technique outperforms its counterparts, including RLM and U-Net. The probability of this strategy succeeding is 97.36 percent. © 2023 IEEE.</t>
  </si>
  <si>
    <t>R0919</t>
  </si>
  <si>
    <t>CADHE: Privacy-Preserving Medical Image Analysis Through Homomorphic Encrypted Convolutional Networks</t>
  </si>
  <si>
    <t>Cirillo, S.; Deufemia, V.; Di Biasi, L.; Polese, G.; Solimando, G.; Tortora, G.</t>
  </si>
  <si>
    <t>Found in: Scopus; IEEE · DOI: 10.1109/BigData66926.2025.11401707</t>
  </si>
  <si>
    <t>Hospitals and clinical centres face significant barriers to data sharing due to stringent privacy regulations and security concerns, which hamper the collaborative development of robust AI diagnostic systems. In this scenario, Homomorphic Encryption (HE) emerges as a privacy-preserving approach to limit data exposure and enable the training of neural networks directly on encrypted data, making it ideal for medical imaging applications. However, the design of HE-based networks still remains highly challenging due to the complexity of operations on encrypted data and the lack of architectures specifically optimized for medical imaging tasks. This paper proposes CadHe,a lightweight Convolutional Neural Network architecture specifically designed to perform medical image analysis directly on homomorphically encrypted data. Our approach achieves end-to-end privacy preservation while maintaining diagnostic accuracy comparable to plaintext baselines. We demonstrate the effectiveness of Cadhe through extensive experimental evaluations on binary and multi-class classification tasks of the Expanded Disability Status Scale (EDSS) from multi-prospective Magnetic Resonance Imaging (MRI) images of multiple sclerosis patients. Cadhe achieved performance comparable to its unencrypted counterpart, reaching 88% accuracy on the all-modalities dataset and 83% in Tl for the binary task, and 70% and 82% accuracy on the same datasets for the multi-class task. These results confirm that Cadhe holds higher performances across settings, demonstrating the effectiveness of adapting convolutional operations to the encrypted domain. © 2025 IEEE.</t>
  </si>
  <si>
    <t>R0920</t>
  </si>
  <si>
    <t>A Blockchain-Based Privacy-Preserving Model for IoMT Medical Systems</t>
  </si>
  <si>
    <t>Alsadhan, A.; Alsalamah, H.; Alhogail, A.</t>
  </si>
  <si>
    <t>Found in: Scopus; IEEE · DOI: 10.1109/BCCA62388.2024.10844473</t>
  </si>
  <si>
    <t>The Internet of Medical Things (IoMT) is a rapidly growing field involving the use of interconnected medical devices, sensors and systems for healthcare applications. The use of IoMT has the potential to revolutionize the healthcare industry by improving patient medication outcomes, increasing efficiency and reducing costs. However, the widespread adoption of IoMT also raises concerns about privacy and security, as it involves collecting, processing and sharing sensitive medical data. One of the main challenges in IoMT lies in ensuring the privacy and security of medical data while enabling the necessary data sharing and analysis to support healthcare applications. To address the limitations and ongoing challenges in this field, this paper presents a state-of-the-art system that utilizes permissioned blockchain and fully homomorphic encryption optimization to preserve medical data privacy in IoMT systems. The application of hybrid data classification before encryption is proposed, as this would enhance privacy and reduce processing time. For the Saudi healthcare sector, this hybrid classification model will involve a combination of the Health Insurance Portability and Accountability Act (HIPPA) identifiers and the Saudi Authority for Data and Artificial Intelligence (SDAIA) personal data protection standards. The latest technologies will be utilized in this research to achieve the highest level of performance and enhance data privacy. © 2024 IEEE.</t>
  </si>
  <si>
    <t>R0921</t>
  </si>
  <si>
    <t>A Multi-Modal Federated Graph Learning Approach for Health Insurance Pricing with Attention and Explainability on the Cloud</t>
  </si>
  <si>
    <t>Sargam, G.S.; Kalapala, R.</t>
  </si>
  <si>
    <t>Found in: Scopus; IEEE · DOI: 10.1109/ICPEEV67897.2025.11291437</t>
  </si>
  <si>
    <t>Current health insurance underwriting practices largely rely on static demographic inputs and manual risk assessment, resulting in limited personalization and potential bias. With the proliferation of wearable devices and mobile health apps, continuous streams of biometric and behavioral data are now available. However, privacy concerns and a lack of interpretability hinder their practical use in premium prediction.This study proposes a novel Federated Graph-Attention Learning (FGAL) framework that integrates privacy-preserving federated learning with secure aggregation, differential privacy, and homomorphic encryption, alongside graph neural networks and SHAP-based interpretability, for dynamic and explainable premium prediction. The system models multi-modal user data-including physical activity, heart rate, BMI, and sleep quality-as temporal graphs to capture intra-feature dependencies, while edge devices train local models using attention-based GNNs. The federated setup avoids raw data sharing, and a centralized aggregator synchronizes encrypted model updates. The model is deployed across AWS edge-cloud infrastructure (SageMaker, EC2, and IoT Greengrass) to support real-time, distributed inference. In experimental evaluation using simulated 90-day behavioral data from 100 users, FGAL achieved an RMSE of 18.7, outperforming centralized DNN (25.4) and XGBoost (27.1). Furthermore, it attained a SHAP fidelity score of 0.85, defined as the correlation between SHAP attributions and model output variations, ensuring reliable interpretability. System overhead, measured as the combined percentage increase in latency and compute cost due to privacy mechanisms, remained below 11%, confirming deployment feasibility.These results validate FGAL as a scalable, accurate, and transparent approach for personalized health insurance premium modeling. © 2025 IEEE.</t>
  </si>
  <si>
    <t>R0922</t>
  </si>
  <si>
    <t>Privacy-enhanced heart stroke detection using Federated Learning and Homomorphic Encryption</t>
  </si>
  <si>
    <t>Naresh, V.S.; Varma, G.T.</t>
  </si>
  <si>
    <t>Found in: Scopus · DOI: 10.1016/j.smhl.2025.100594</t>
  </si>
  <si>
    <t>Heart stroke detection plays a vital role in early diagnosis and intervention leveraging machine learning (ML) models to predict stroke events from medical data. However, the use of such models often faces significant challenges related to data privacy and security, especially when sensitive health information is involved. To tackle these concerns, we present an innovative privacy-preserving approach for heart stroke detection using Federated Learning (FL) combined with Homomorphic Encryption (HE) utilizing the Cheon-Kim-Kim-Song (CKKS) scheme. FL is employed to enable edge nodes to locally train a Feed Forward Neural Network (FFNN) model on heart stroke data, without transferring any raw patient data to a central server, thus ensuring the data remains decentralized and private. During the communication between edge nodes and central server, CKKS encryption ensures that model updates remain encrypted throughout the aggregation process, allowing computations to be performed without decryption, thus enhancing privacy and security. Furthermore, the FedAvg is incorporated to aggregate model updates efficiently, ensuring robust model training while maintaining decentralized data integrity. Our model achieved an average accuracy of over 95 % in predicting heart stroke events, demonstrating the effectiveness of combining FL with an FFNN in terms of both performance and privacy. This approach allows the utilization of rich medical data for training while maintaining the security and confidentiality of sensitive health information, making it an effective option for real-world healthcare applications in contexts where privacy and security of data is of the utmost importance. © 2025</t>
  </si>
  <si>
    <t>R0923</t>
  </si>
  <si>
    <t>CryptoGCN: Fast and Scalable Homomorphically Encrypted Graph Convolutional Network Inference</t>
  </si>
  <si>
    <t>Ran, R.; Xu, N.; Wang, W.; Quan, G.; Yin, J.; Wen, W.</t>
  </si>
  <si>
    <t>Recently cloud-based graph convolutional network (GCN) has demonstrated great success and potential in many privacy-sensitive applications such as personal healthcare and financial systems. Despite its high inference accuracy and performance on the cloud, maintaining data privacy in GCN inference, which is of paramount importance to these practical applications, remains largely unexplored. In this paper, we take an initial attempt towards this and develop CryptoGCN-a homomorphic encryption (HE) based GCN inference framework. A key to the success of our approach is to reduce the tremendous computational overhead for HE operations, which can be orders of magnitude higher than its counterparts in the plaintext space. To this end, we develop a solution that can effectively take advantage of the sparsity of matrix operations in GCN inference to significantly reduce the encrypted computational overhead. Specifically, we propose a novel Adjacency Matrix-Aware (AMA) data formatting method along with the AMA assisted patterned sparse matrix partitioning, to exploit the complex graph structure and perform efficient matrix-matrix multiplication in HE computation. In this way, the number of HE operations can be significantly reduced. We also develop a co-optimization framework that can explore the trade-offs among the accuracy, security level, and computational overhead by judicious pruning and polynomial approximation of activation modules in GCNs. Based on the NTU-XVIEW skeleton joint dataset, i.e., the largest dataset evaluated homomorphically by far as we are aware of, our experimental results demonstrate that CryptoGCN outperforms state-of-the-art solutions in terms of the latency and number of homomorphic operations, i.e., achieving as much as a 3.10× speedup on latency and reduces the total Homomorphic Operation Count (HOC) by 77.4% with a small accuracy loss of 1-1.5%. Our code is publicly available at https://github.com/ranran0523/CryptoGCN. © 2022 Neural information processing systems foundation. All rights reserved.</t>
  </si>
  <si>
    <t>R0924</t>
  </si>
  <si>
    <t>The application of artificial intelligence and machine learning in civil law protection of privacy rights</t>
  </si>
  <si>
    <t>Huang, W.; Hsieh, M.H.</t>
  </si>
  <si>
    <t>Found in: Scopus · DOI: 10.55214/25768484.v9i1.4184</t>
  </si>
  <si>
    <t>Machine learning has emerged as a core technology in domains such as big data, the Internet of Things (IoT), and cloud computing. The training of machine learning models typically requires extensive datasets, often gathered through crowdsourcing methods. These datasets frequently contain significant amounts of private information, including personally identifiable information (e.g., phone numbers, identification numbers) and sensitive data (e.g., financial, medical, and health records). The efficient and cost-effective protection of such data represents a pressing challenge. This article introduces machine learning and explores the concepts and threats associated with privacy within this context. It focuses on mainstream techniques for privacy protection in machine learning, outlining their underlying mechanisms and distinctive features. The discussion is organised around key frameworks such as differential privacy, homomorphic encryption, and secure multi-party computation, presenting a comprehensive review of recent advancements in the field. A comparative analysis of the strengths and limitations of these mechanisms is provided. Finally, the article examines the developmental trajectory of privacy protection in machine learning and proposes potential future research directions in this critical area. © 2025, Learning Gate. All rights reserved.</t>
  </si>
  <si>
    <t>R0925</t>
  </si>
  <si>
    <t>Pixel-wise derivation of pulmonary regurgitation index could influence clinical decision: A phase-contrast MR imaging study on patients with repaired tetralogy of Fallot</t>
  </si>
  <si>
    <t>Wu, P.-H.; Chung, H.-W.; Wu, M.-T.; Ko, C.-W.</t>
  </si>
  <si>
    <t>Found in: Scopus; PubMed · DOI: 10.1016/j.ejrad.2017.05.027 · PMID: 28668430</t>
  </si>
  <si>
    <t>Purpose Regurgitant fraction (RF) measured from 2D phase-contrast MRI has been used as a standard to quantitate the degree of pulmonary regurgitation and serves as a determinant indicator of prognosis for tetralogy of Fallot after surgical repair. This study demonstrated the potential underestimate of RF using the conventional definition and its impact on clinical decision when backward flow occurred during systolic periods. Methods Quantitative flow parameters, including forward flow volume (FFV), backward flow volume (BFV), and RF were estimated by two approaches: One derived from conventional ROI-averaged curve (bulk quantity) and the other in a pixel-wise manner to spatially reflect inhomogeneous flow profile (pixel-wise quantity). Eccentricity at systolic peak (Eccsys) was adopted as an index reflecting spatial flow inhomogeneity. Results Flow parameters derived from ROI-averaged curves on main pulmonary artery were significantly smaller than that of pixel-wise measurement (P&lt;0.001). Difference between RFbulk and RFpx for the group of Eccsys &gt; 0.3 appears greater compared to the group with Eccsys &lt; 0.3. Thirteen out of 68 RF values (19%) were underrated while using bulk analysis. Conclusions The spatial-related flow parameters showed more consistency with the qualitative flow profile pattern for pulmonary arteries, and could be a decisive complement for diagnostic classification. © 2017 Elsevier B.V.</t>
  </si>
  <si>
    <t>R0926</t>
  </si>
  <si>
    <t>CKKS-zkSNARKs Enhanced Federated Learning for Medical Data</t>
  </si>
  <si>
    <t>He, Z.; Gong, Y.; Hu, C.</t>
  </si>
  <si>
    <t>Found in: Scopus; IEEE · DOI: 10.1109/AANN66429.2025.11257721</t>
  </si>
  <si>
    <t>The widespread adoption of big data and AI technologies has accelerated the advancement of intelligent medical diagnostics. However, the sensitivity of medical data poses a dual challenge of privacy leakage and computational inefficiency in cross-institutional collaboration. Traditional federated learning (FL) schemes struggle to balance privacy protection, model accuracy, and communication costs, particularly for real-time processing of high-resolution medical images. To address this, we propose CZ-FLMed, a privacy-preserving FL framework integrating CKKS fully homomorphic encryption (FHE) and zkSNARKs zero-knowledge proofs. The framework employs a customized Convolutional Neural Network (CNN) for medical image training, the CKKS segmented encryption strategy for reducing communication overhead, and the lightweight Groth16 protocol for secure identity verification. This enables efficient encrypted model aggregation and authentication. The experiments results conducted in this paper on Chest X-Ray pneumonia dataset and MNIST handwritten digits demonstrate that CZ-FLMed achieves 83.05 % test accuracy in pneumonia classification. Compared to Paillier encryption, it reduces communication costs by 92.84 % and improves encryption efficiency by 404 times. Thus, the framework balances model accuracy, computational efficiency, and privacy preservation, offering a practical solution for multicenter medical collaboration. © 2025 IEEE.</t>
  </si>
  <si>
    <t>R0927</t>
  </si>
  <si>
    <t>ANN Activation Function Estimators for Homomorphic Encrypted Inference</t>
  </si>
  <si>
    <t>Harb, M.R.A.; Celiktas, B.</t>
  </si>
  <si>
    <t>Found in: Scopus; IEEE · DOI: 10.1109/ACCESS.2025.3579667</t>
  </si>
  <si>
    <t>Homomorphic Encryption (HE) enables secure computations on encrypted data, facilitating machine learning inference in sensitive environments such as healthcare and finance. However, efficiently handling non-linear activation functions, specifically Sigmoid and Tanh, remains a significant computational challenge for encrypted inference using Artificial Neural Networks (ANNs). This study introduces a lightweight, ANN-based estimator designed to accurately approximate activation functions under homomorphic encryption. Unlike traditional polynomial and piecewise linear approximations, the proposed ANN estimators achieve superior accuracy with lower computational overhead associated with bootstrapping or high-degree polynomial techniques. These estimators are trained on plaintext data and seamlessly integrated into encrypted inference pipelines, significantly outperforming conventional methods. Experimental evaluations demonstrate notable improvements, with ANN estimators enhancing accuracy by approximately 2% for Sigmoid and up to 73% for Tanh functions, improving F1-scores by approximately 2% for Sigmoid and up to 88% for Tanh, and markedly reducing Mean Square Error (MSE) by up to 96% compared to polynomial approximations. The ANN estimator achieves an accuracy of 97.70% and an AUC of 0.9997 when integrated into a CNN architecture on the MNIST dataset, and an accuracy of 85.25% with an AUC of 0.9459 on the UCI Heart Disease dataset during ciphertext inference. These results underscore the estimator’s practical effectiveness and computational feasibility, making it suitable for secure and efficient ANN inference in encrypted environments. © 2013 IEEE.</t>
  </si>
  <si>
    <t>R0928</t>
  </si>
  <si>
    <t>Preserving the Privacy of Medical Data using Homomorphic Encryption and Prediction of Heart Disease using K-Nearest Neighbor</t>
  </si>
  <si>
    <t>Behera, S.; Rekha, B.; Pandey, P.; Vidya, B.; Prathuri, J.R.</t>
  </si>
  <si>
    <t>Found in: Scopus; IEEE · DOI: 10.1109/ICDSIS55133.2022.9915983</t>
  </si>
  <si>
    <t>Data is extremely important in today's world. Data is used in many aspects and hence protecting the data is more important. With a heavier reliance on computers, there are many potential threats to the data stored. Nowadays organizations tend to store and process required computation on the data on the cloud itself without having to maintain it themselves. These cloud services are affordable and easy to use. But to ensure compliance and maintain privacy, the data must be stored in an encrypted format. To ensure privacy of data in the cloud, Homomorphic Encryption can be efficiently used because it allows processing to take place while data is encrypted. This paper presents the technique and design to perform Homomorphic Encryption on the medical dataset for heart disease and applying KNN machine learning algorithm on the encrypted dataset. To provide a more detailed view, we used different algorithms such as Logistic Regression, Naive Bayes, Support Vector Machine, Decision Tree and Random Forest.  © 2022 IEEE.</t>
  </si>
  <si>
    <t>R0929</t>
  </si>
  <si>
    <t>Investigation into High Barmah Forest Virus Disease Case Numbers Reported in the Northern Territory, Australia in 2012-2013</t>
  </si>
  <si>
    <t>Kurucz, N.; Markey, P.; Draper, A.; Melville, L.; Weir, R.; Davis, S.; Warchot, A.; Boyd, R.; Stokeld, D.</t>
  </si>
  <si>
    <t>Found in: Scopus · DOI: 10.1089/vbz.2015.1801</t>
  </si>
  <si>
    <t>Between October 2012 and October 2013, unprecedented high numbers of Barmah Forest virus (BFV) disease cases were reported in the Northern Territory (NT). An investigation was launched by the NT Department of Health in cooperation with the Department of Primary Industry and Fisheries and the Department of Land Resource Management to investigate possible causes for this phenomenon. The investigation included virus isolations from mosquitoes collected in Darwin urban areas, BFV antibody testing in peri-urban small mammals and a human BFV disease case series investigation of recent cases. No BFV was isolated from the 4641 mosquitoes tested, none of the mammals tested positive for BFV antibodies, and the high BFV disease case numbers did not correlate with the relatively low mosquito vector numbers trapped in 2012-2013. It was estimated that up to 89% of the 79 human cases investigated did not have an acute arboviral illness and therefore had tested falsely positive. An Alere PanBio BFV immunoglobulin M enzyme-linked immunosorbent assay test kit is generally used to test for BFV, with the BFV disease case definition based on immunoglobulin M positives only. Other jurisdictions in Australia also reported high numbers of BFV disease cases, with the majority of the cases suspected to be false positives. Therefore, current testing methods need to be revised to reflect the true numbers of BFV disease cases occurring in Australia and to provide correct diagnoses for patients. © 2016 Mary Ann Liebert, Inc.</t>
  </si>
  <si>
    <t>R0930</t>
  </si>
  <si>
    <t>A Hybrid Protection Scheme for the Gait Analysis in Early Dementia Recognition</t>
  </si>
  <si>
    <t>Castro, F.; Impedovo, D.; Pirlo, G.</t>
  </si>
  <si>
    <t>Found in: Scopus; PubMed · DOI: 10.3390/s24010024 · PMID: 38202886</t>
  </si>
  <si>
    <t>Human activity recognition (HAR) through gait analysis is a very promising research area for early detection of neurodegenerative diseases because gait abnormalities are typical symptoms of some neurodegenerative diseases, such as early dementia. While working with such biometric data, the performance parameters must be considered along with privacy and security issues. In other words, such biometric data should be processed under specific security and privacy requirements. This work proposes an innovative hybrid protection scheme combining a partially homomorphic encryption scheme and a cancelable biometric technique based on random projection to protect gait features, ensuring patient privacy according to ISO/IEC 24745. The proposed hybrid protection scheme has been implemented along a long short-term memory (LSTM) neural network to realize a secure early dementia diagnosis system. The proposed protection scheme is scalable and implementable with any type of neural network because it is independent of the network’s architecture. The conducted experiments demonstrate that the proposed protection scheme enables a high trade-off between safety and performance. The accuracy degradation is at most 1.20% compared with the early dementia recognition system without the protection scheme. Moreover, security and computational analyses of the proposed scheme have been conducted and reported. © 2023 by the authors.</t>
  </si>
  <si>
    <t>R0931</t>
  </si>
  <si>
    <t>A Novel Privacy-Preserving Neural Network Computing Approach for E-Health Information System</t>
  </si>
  <si>
    <t>Yao, Y.; Zhao, Z.; Chang, X.; Misic, J.; Misic, V.B.; Wang, J.</t>
  </si>
  <si>
    <t>Found in: Scopus; IEEE · DOI: 10.1109/ICC42927.2021.9500795</t>
  </si>
  <si>
    <t>Electronic health (e-health) information system relies on cloud computing technologies to provide massive medical data computing and storage services. Especially, the recently proposed Machine Learning as a Service (MLaaS) on these medical data can not only effectively improve the healthcare service quality, but also support the end users with limited computing resources. However, MLaaS on the massive medical data faces the challenge of privacy. Homomorphic encryption technology has been explored to assure the privacy of medical data owners in MLaaS but with the weaknesses of limited homomorphic operations and low efficiency. To alleviate these weaknesses, this paper proposes a novel privacy-preserving non-collusion dualcloud (NCDC) model-based e-health information system using neural network (NN) computing. The system can not only assure medical data privacy through adopting homomorphic encryption technology but also assure NN model privacy by adding fake neurons to the NN. In addition, the proposed e-health information system also has the following advantages: (i) Simple key generation. (ii) No constraint on the size of medical data to be encrypted. (iii) The less loss of prediction accuracy between encrypted and original medical data. (iv) Supporting more homomorphic operations and having better computing efficiency through experiment verification. © 2021 IEEE.</t>
  </si>
  <si>
    <t>R0932</t>
  </si>
  <si>
    <t>Data Confidentiality in Machine Learning: Exploring Multivariate Regression and Its Application on Encrypted Medical Data</t>
  </si>
  <si>
    <t>Affum, E.; Enchill, M.</t>
  </si>
  <si>
    <t>Found in: Scopus · DOI: 10.1007/s42979-024-02657-z</t>
  </si>
  <si>
    <t>In this work, we present a concise literature review on the application of multivariate regression using gradient descent. We employed gradient descent, which provides an optimal approach for minimizing the cost function in a regression model for error estimation, and further modelled a multivariate regression algorithm to perform regression analysis over encrypted data. To encrypt the dataset, we modified the original integer homomorphic encryption scheme into a new scheme for dataset encryption to achieve an efficient and secure data encryption and decryption operation. Since homomorphic operations do not support division, we devised a division-free gradient descent multivariate regression over cost-effective VHE encrypted training samples with high regression accuracy. We conducted simulations to compare least-squares and gradient descent with and without division. We also proved the applicability of machine learning for modeling encrypted datasets based on breast cancer datasets, with the focus on determining breast cancer potential patients. In our system, encrypted datasets should not interrupt the learning task, nor should the learning task reveal sensitive information to unauthorized users. © The Author(s), under exclusive licence to Springer Nature Singapore Pte Ltd 2024.</t>
  </si>
  <si>
    <t>R0933</t>
  </si>
  <si>
    <t>SparseHE: An Efficient Privacy-Preserving Biomedical Prediction Approach Using Sparse Homomorphic Encryption</t>
  </si>
  <si>
    <t>Song, C.; Zhan, W.; Shi, X.</t>
  </si>
  <si>
    <t>Found in: Scopus; IEEE · DOI: 10.1109/ICHI61247.2024.00021</t>
  </si>
  <si>
    <t>Although the emergence of massive data facilitates the applications of machine learning (ML) in precise biomedical-related prediction, there are growing concerns about the privacy and security of not only data but also ML models. It is still of urgent need to develop strategies to preserve privacy and protect the information security of data and models. Homomorphic encryption (HE) is one strategy that protects privacy of data and ML models by enabling direct computation over encrypted data, yet the computation burden of HE hinders its applications and the pre-processing involved in previous HE-based tasks poses the model to be vulnerable to the risk of membership inference attack. In this regard, we propose an integrated algorithm named Membership Inference Perturbation (MIP) - Sparse Homomorphic Encryption (SparseHE) method for privacy-preserving phenotype prediction. We design a novel sparse structure to reduce the computation redundancy of HE interface while being able to defend against membership inference attack via membership inference perturbation. We reduce the computation consumption by deploying a novel sparse homomorphic encryption interface on MIP structure. The theoretical results show that our SparseHE enables privacy-preserving healthcare prediction by tightening the generalization gap of model. Additionally, the proposed SparseHE accelerates the HE interface by reducing the computation redundancy. Our experimental results on four real healthcare datasets demonstrate that SparseHE can improve the ability of model to defend against MIA while reducing computation cost of HE prediction. © 2024 IEEE.</t>
  </si>
  <si>
    <t>R0934</t>
  </si>
  <si>
    <t>Decentralized Blockchain-Empowered Federated Learning for Secure and Scalable Solutions for Electronic Health Record</t>
  </si>
  <si>
    <t>Kaur, S.; Kaur, U.; Kumari, A.</t>
  </si>
  <si>
    <t>Found in: Scopus; IEEE · DOI: 10.1109/PDGC64653.2024.10984357</t>
  </si>
  <si>
    <t>Healthcare is the most innovative sector within emerging technologies. The purpose of this research is to present the decentralized framework using federated learning integrated with blockchain and enhance the disease prediction using the Electronic Health Records (EHRs) to enhance scalability, security, and privacy. The integration of blockchain in the proposed architecture encompasses healthcare institutions participating cooperatively in training a global health-based machine learning approach with safeguarding sensitive patient data, thus locking in privacy requirements such as HIPAA and GDPR. To further enhancement, we employed differential privacy by adding noise to model updates, hence preventing individual patient information from being inferred. Further homomorphic encryption is used to provide more security by allowing computations on encrypted data without revealing the underlying content. Entire results are then updated on a blockchain block to integrate the system to provide a decentralized, immutable ledger that records all model updates and transactions, ensuring that these updates are transparent, traceable, and tamper-proof. Our proposed system is ensuring scalability with the growing number of institutions to join the FL network without compromising performance. The results obtained provide significant improvements from the existing solutions. Secure aggregation techniques are employed to ensure that model updates from multiple institutions are combined effectively while maintaining privacy. © 2024 IEEE.</t>
  </si>
  <si>
    <t>R0935</t>
  </si>
  <si>
    <t>Drynx: Decentralized, Secure, Verifiable System for Statistical Queries and Machine Learning on Distributed Datasets</t>
  </si>
  <si>
    <t>Froelicher, D.; Troncoso-Pastoriza, J.R.; Sousa, J.S.; Hubaux, J.-P.</t>
  </si>
  <si>
    <t>Found in: Scopus; IEEE · DOI: 10.1109/TIFS.2020.2976612</t>
  </si>
  <si>
    <t>Data sharing has become of primary importance in many domains such as big-data analytics, economics and medical research, but remains difficult to achieve when the data are sensitive. In fact, sharing personal information requires individuals' unconditional consent or is often simply forbidden for privacy and security reasons. In this paper, we propose Drynx, a decentralized system for privacy-conscious statistical analysis on distributed datasets. Drynx relies on a set of computing nodes to enable the computation of statistics such as standard deviation or extrema, and the training and evaluation of machine-learning models on sensitive and distributed data. To ensure data confidentiality and the privacy of the data providers, Drynx combines interactive protocols, homomorphic encryption, zero-knowledge proofs of correctness, and differential privacy. It enables an efficient and decentralized verification of the input data and of all the system's computations thus provides auditability in a strong adversarial model in which no entity has to be individually trusted. Drynx is highly modular, dynamic and parallelizable. Our evaluation shows that it enables the training of a logistic regression model on a dataset (12 features and 600,000 records) distributed among 12 data providers in less than 2 seconds. The computations are distributed among 6 computing nodes, and Drynx enables the verification of the query execution's correctness in less than 22 seconds. © 2005-2012 IEEE.</t>
  </si>
  <si>
    <t>R0936</t>
  </si>
  <si>
    <t>Protecting Patient Privacy with Encrypted Federated Learning Models</t>
  </si>
  <si>
    <t>Tarhouni, M.; Mansouri, F.; Alaya, B.; Zidi, S.</t>
  </si>
  <si>
    <t>Found in: Scopus; IEEE · DOI: 10.1109/SCC59637.2023.10527615</t>
  </si>
  <si>
    <t>Preserving the privacy and security of medical data is of utmost importance, given its sensitive nature. To address these concerns, federated learning has emerged as a valuable approach. This technique distributes training data across multiple machines, enabling collaborative learning while protecting individual data privacy. However, deep learning models are susceptible to privacy attacks, especially in medical data applications. Safeguarding the models themselves is crucial. An effective solution involves utilizing homomorphic encryption to protect models from adversarial attacks. This paper introduces an innovative privacy-preserving federated learning algorithm for medical data, incorporating homomorphic encryption. The study assesses the algorithm's effectiveness with a real-world medical dataset, emphasizing model performance and its resilience against privacy attacks. © 2023 IEEE.</t>
  </si>
  <si>
    <t>R0937</t>
  </si>
  <si>
    <t>A Review on Cyber Threats Detection in IoMT using AI Algorithms</t>
  </si>
  <si>
    <t>Thakur, P.; Raskar, D.</t>
  </si>
  <si>
    <t>Found in: Scopus; IEEE · DOI: 10.1109/ICESC65114.2025.11212601</t>
  </si>
  <si>
    <t>The Internet of Medical Things (IoMT) has changed the landscape of healthcare from face to face interactions to real time monitoring, diagnosis and treatment. While the IoMT has progressed tremendously, it has also exposed the threats to its rapid growth, including ransomware, breaches of data and unauthorized access to internet-connected devices. The continued rapid growth of IoMT is compounded with resilient, connected, and outdated device security. Main issues of IoMT enabled devices are security and privacy due to limited control on transmitted data and reliance on wireless transmission for transfer of data making the network vulnerable to attack. Traditional methods, based on shallow learning, often face low recognition accuracy due to difficulties in handling large intrusion datasets and selecting the right features. This paper will explore machine learning, deep learning, hybrid based models and AI based techniques to assist professionals with detecting, and preventing threats in IoMT. Encryption can slow down data transmission, potentially affecting realtime monitoring and decision-making in critical health scenarios. It will focus on disruptive attacks, data breaches, vulnerabilities, and mitigation techniques. To protect the IoMT on a broad scale, it will explore associating advanced promising technologies such as homomorphic encryption, blockchain, and ensemble based intrusion detection systems. Additionally, the implications of regulatory support for privacy and security along with HIPAA and GDPR will also be explored. The study will propose a secure-encrypted network with systems, processes, data insight, interoperability, users, and a scalable framework within it to support cyberspace, and device threats surrounding the IoMT ecosystem. The main outcome of this research focuses on performance of the proposed cyber attack detection model and will be evaluated using key metrics like accuracy, false positive rate and false negative rate. Accurately detect cyber attacks in the Internet of Medical Things (IoMT) environment. Enhance data security and patient privacy through integrated Deep Learning and encryption methods. © 2025 IEEE.</t>
  </si>
  <si>
    <t>R0938</t>
  </si>
  <si>
    <t>Computation on Encrypted Data Using Dataflow Authentication</t>
  </si>
  <si>
    <t>Fischer, A.; Fuhry, B.; Kußmaul, J.; Janneck, J.; Kerschbaum, F.; Bodden, E.</t>
  </si>
  <si>
    <t>Found in: Scopus · DOI: 10.1145/3513005</t>
  </si>
  <si>
    <t>Encrypting data before sending it to the cloud ensures data confidentiality but requires the cloud to compute on encrypted data. Trusted execution environments, such as Intel SGX enclaves, promise to provide a secure environment in which data can be decrypted and then processed. However, vulnerabilities in the executed program give attackers ample opportunities to execute arbitrary code inside the enclave. This code can modify the dataflow of the program and leak secrets via SGX side channels. Fully homomorphic encryption would be an alternative to compute on encrypted data without data leaks. However, due to its high computational complexity, its applicability to general-purpose computing remains limited. Researchers have made several proposals for transforming programs to perform encrypted computations on less powerful encryption schemes. Yet current approaches do not support programs making control-flow decisions based on encrypted data.We introduce the concept of dataflow authentication (DFAuth) to enable such programs. DFAuth prevents an adversary from arbitrarily deviating from the dataflow of a program. Our technique hence offers protections against the side-channel attacks described previously. We implemented two flavors of DFAuth, a Java bytecode-to-bytecode compiler, and an SGX enclave running a small and program-independent trusted code base. We applied DFAuth to a neural network performing machine learning on sensitive medical data and a smart charging scheduler for electric vehicles. Our transformation yields a neural network with encrypted weights, which can be evaluated on encrypted inputs in . Our protected scheduler is capable of updating the encrypted charging plan in approximately 1.06 seconds.  © 2022 Copyright held by the owner/author(s).</t>
  </si>
  <si>
    <t>R0939</t>
  </si>
  <si>
    <t>Enhancing Healthcare Recommendations for Special Need Patients using Deep Learning and Blockchain Security</t>
  </si>
  <si>
    <t>Kaur, S.; Allirani, P.; Sidhu, A.; John, V.Y.; Mehta, P.; Kumar, V.M.</t>
  </si>
  <si>
    <t>Found in: Scopus; IEEE · DOI: 10.1109/IHCSP63227.2024.10960095</t>
  </si>
  <si>
    <t>This paper describes a new way to use blockchain security and deep learning to make better healthcare proposals for people with special needs. Using deep learning techniques, this method gives outstanding prediction accuracy, precision, memory, and an amazing Area Under the Curve (AUC). It is necessary for reliable clinical decision support. Blockchain technology's unchangeable record and secure systems protect data privacy and ensure data accuracy. This solves important problems in healthcare data management. Additionally, homomorphic encryption safeguards patient privacy by enabling secure computations on safeguarded data, resulting in robust analytical insights. Edge artificial intelligence systems make platforms more flexible and scalable for real-time healthcare applications, which helps computers work more efficiently. Even with these changes, issues like following rules and making the blockchain work on a larger scale persist. To enhance the use of these technologies in hospital settings, researchers should concentrate on improving legal structures and blockchain systems in the future.  © 2024 IEEE.</t>
  </si>
  <si>
    <t>R0940</t>
  </si>
  <si>
    <t>Two-Layer Smart System to Predict HIV Risk</t>
  </si>
  <si>
    <t>Nguyen, T.D.M.; Le, V.T.; Nguyen, M.H.L.; Nguyen, P.H.; Van Nguyen, T.P.</t>
  </si>
  <si>
    <t>Found in: Scopus · DOI: 10.1109/ICST62759.2024.10992132</t>
  </si>
  <si>
    <t>In this work, a two-layer privacy protection system was proposed for HIV risk prediction. The system involves various clinic centres, each using its data to build a model to predict HIV risk. The models from each clinic are gathered at a central server/cloud to create a global model. To protect the individual clinic models, they are encrypted before being sent to the server. At the server, the encrypted models are aggregated to create the global model without decryption. The encrypted global model is then distributed to each clinic for use. This method ensures that patient information from each clinic is protected by two layers: modelling and encryption. We used data from Vietnam 2005 to validate the proposed framework. The performance of the proposed method is superior the local model in terms of accuracy and AUC (Area Under The Curve). The enhancement is larger than 10% in comparison with recent works.  © 2024 IEEE.</t>
  </si>
  <si>
    <t>R0941</t>
  </si>
  <si>
    <t>PPFLHE: A privacy-preserving federated learning scheme with homomorphic encryption for healthcare data</t>
  </si>
  <si>
    <t>Wang, B.; Li, H.; Guo, Y.; Wang, J.</t>
  </si>
  <si>
    <t>Found in: Scopus · DOI: 10.1016/j.asoc.2023.110677</t>
  </si>
  <si>
    <t>Healthcare data are characterized by explosive growth and value, which is the private data of patients, and its characteristics and storage environment have brought significant issues of data privacy and security. People are reluctant to share their data for privacy concerns during machine learning. To balance this contradiction, Federated Learning was proposed as a solution to train on private data without sharing it. However, many studies show that there is still the possibility of privacy leakage during the training process of federated learning. In light of this, we propose a privacy-preserving federated learning scheme with homomorphic encryption(PPFLHE). Specifically, on the client side, homomorphic encryption technology is used to encrypt the training model shared by users to ensure its security and privacy. In addition, to prevent internal attacks, Access Control (AC) technology is used to confirm the user's identity and judge whether it is trusted; on the server side, the Acknowledgment (ACK) mechanism is designed to remove the dropped or unresponsive users temporarily, which reduces the waiting delay and communication overhead, and solves the problem of user's exiting during training. Theoretical analysis and experimental results show that the proposed scheme achieves high data utility and classification accuracy (81.53%), and low communication delay while achieving privacy preserving, compared to state-of-the-art methods. © 2023 Elsevier B.V.</t>
  </si>
  <si>
    <t>R0942</t>
  </si>
  <si>
    <t>Federated Learning for Internet of Medical Things (IoMT): A Secure and Scalable Approach</t>
  </si>
  <si>
    <t>Mehra, A.; Singh, G.; Badotra, S.</t>
  </si>
  <si>
    <t>Found in: Scopus; IEEE · DOI: 10.1109/ICRITO66076.2025.11241746</t>
  </si>
  <si>
    <t>The Internet of Medical Things (IoMT) enables remote patient monitoring and real-time healthcare services. However, traditional centralized machine learning models pose significant privacy and security risks, Federated Learning (FL) offers a decentralized solution by allowing IOMT devices to collaboratively train models without sharing raw data. In this paper, we propose an FL-based framework for IoMT that enhances privacy, communication efficiency and scalability. The proposed model incorporates differential privacy and homomorphic encryption to ensure secure aggregation while optimizing communication costs through model compression techniques. Experimental results demonstrate improved performance in terms of accuracy, communication overhead, and privacy preservation compared to centralized learning methods.  © 2025 IEEE.</t>
  </si>
  <si>
    <t>R0943</t>
  </si>
  <si>
    <t>Bio-OFL: Biomedical Privacy and Auditable One-Shot Federated Learning</t>
  </si>
  <si>
    <t>Dong, Z.; Lu, Z.; Feng, Y.; Guo, S.; Wang, Z.; Wu, Y.; Lu, S.</t>
  </si>
  <si>
    <t>Found in: Scopus · DOI: 10.1109/BIBM66473.2025.11356452</t>
  </si>
  <si>
    <t>The rapid advancement of deep neural networks, including large language models which has driven significant progress in biomedical data analysis and intelligent healthcare. However, strict privacy regulations and the decentralized nature of medical data make centralized model training impractical. One-shot Federated Learning (OFL) with knowledge distillation enables efficient cross-institutional collaboration on large models, but existing approaches often lack rigorous protection of confidentiality, authenticity, and model integrity. In this work, we introduce Bio-OFL, a secure and auditable one-shot federated learning framework for biomedical collaboration. BioOFL leverages CKKS homomorphic encryption and ECDSA digital signatures to provide end-to-end encrypted, authenticated uploads and introduces efficient encrypted-domain auditing to filter anomalous or adversarial contributions before aggregation. Formal security analysis and extensive experiments on MedMNIST datasets demonstrate that Bio-OFL delivers robust privacy and integrity guarantees for practical, large-scale biomedical AI, without compromising model utility. © 2025 IEEE.</t>
  </si>
  <si>
    <t>R0944</t>
  </si>
  <si>
    <t>Using encrypted genotypes and phenotypes for collaborative genomic analyses to maintain data confidentiality</t>
  </si>
  <si>
    <t>Zhao, T.; Wang, F.; Mott, R.; Dekkers, J.; Cheng, H.</t>
  </si>
  <si>
    <t>Found in: Scopus; PubMed · DOI: 10.1093/genetics/iyad210 · PMID: 38085098</t>
  </si>
  <si>
    <t>To adhere to and capitalize on the benefits of the FAIR (findable, accessible, interoperable, and reusable) principles in agricultural genome-to-phenome studies, it is crucial to address privacy and intellectual property issues that prevent sharing and reuse of data in research and industry. Direct sharing of genotype and phenotype data is often prohibited due to intellectual property and privacy concerns. Thus, there is a pressing need for encryption methods that obscure confidential aspects of the data, without affecting the outcomes of certain statistical analyses. A homomorphic encryption method for genotypes and phenotypes (HEGP) has been proposed for single-marker regression in genome-wide association studies (GWAS) using linear mixed models with Gaussian errors. This methodology permits frequentist likelihood-based parameter estimation and inference. In this paper, we extend HEGP to broader applications in genome-to-phenome analyses. We show that HEGP is suited to commonly used linear mixed models for genetic analyses of quantitative traits including genomic best linear unbiased prediction (GBLUP) and ridge-regression best linear unbiased prediction (RR-BLUP), as well as Bayesian variable selection methods (e.g. those in Bayesian Alphabet), for genetic parameter estimation, genomic prediction, and GWAS. By advancing the capabilities of HEGP, we offer researchers and industry professionals a secure and efficient approach for collaborative genomic analyses while preserving data confidentiality.  © The Author(s) 2023.</t>
  </si>
  <si>
    <t>R0945</t>
  </si>
  <si>
    <t>BUNET: Blind Medical Image Segmentation Based on Secure UNET</t>
  </si>
  <si>
    <t>Bian, S.; Xu, X.; Jiang, W.; Shi, Y.; Sato, T.</t>
  </si>
  <si>
    <t>Found in: Scopus · DOI: 10.1007/978-3-030-59713-9_59</t>
  </si>
  <si>
    <t>The strict security requirements placed on medical records by various privacy regulations become major obstacles in the age of big data. To ensure efficient machine learning as a service schemes while protecting data confidentiality, in this work, we propose blind UNET (BUNET), a secure protocol that implements privacy-preserving medical image segmentation based on the UNET architecture. In BUNET, we efficiently utilize cryptographic primitives such as homomorphic encryption and garbled circuits (GC) to design a complete secure protocol for the UNET neural architecture. In addition, we perform extensive architectural search in reducing the computational bottleneck of GC-based secure activation protocols with high-dimensional input data. In the experiment, we thoroughly examine the parameter space of our protocol, and show that we can achieve up to 14x inference time reduction compared to the-state-of-the-art secure inference technique on a baseline architecture with negligible accuracy degradation. © 2020, Springer Nature Switzerland AG.</t>
  </si>
  <si>
    <t>R0946</t>
  </si>
  <si>
    <t>LR-GD-RNS: Enhanced privacy-preserving logistic regression algorithms for secure deployment in untrusted environments</t>
  </si>
  <si>
    <t>Cortes-Mendoza, J.M.; Radchenko, G.; Tchernykh, A.; Pulido-Gaytan, B.; Babenko, M.; Avetisyan, A.; Bouvry, P.; Zomaya, A.</t>
  </si>
  <si>
    <t>Found in: Scopus; IEEE · DOI: 10.1109/CCGrid51090.2021.00093</t>
  </si>
  <si>
    <t>The protection of data processing is emerging as an essential aspect of data analytics, machine learning, delegation of computation, Internet of Things, medical and financial analysis, smart cities, genomics, non-disclosure searching, among others. Often, they use sensitive information that cannot be protected by traditional cryptosystems. Homomorphic Encryption (HE) schemes and secure Multi-Party Computation (MPC) are considered suitable solutions for privacy protection. In this paper, we propose and analyze the performance of three homomorphic Logistic Regression (LR) models with Gradient Descent (GD) algorithms based on the Residue Number System (RNS). We compare their performance with four traditional non-homomorphic versions, one homomorphic algorithm based on RNS with Batch GD, and two state-of-the-art homomorphic algorithms. To validate our approach, we consider six public datasets of different medicine domains (diabetes, cancer, drugs, etc.) and genomics. We use a 5-fold cross-validation technique for a fair comparison in terms of the solution quality and training time. The results show that propose homomorphic solutions have similar accuracy with non-homomorphic algorithms, increased classification performance, and decreased training time compared with the state-of-the-art HE algorithms. © 2021 IEEE.</t>
  </si>
  <si>
    <t>R0947</t>
  </si>
  <si>
    <t>Decentralized and Immutable Record-Keeping for Data Privacy-Preserving in Healthcare Using Homomorphic Encryption in Blockchain</t>
  </si>
  <si>
    <t>Aishwarya, B.; Sriramya, P.</t>
  </si>
  <si>
    <t>Found in: Scopus; IEEE · DOI: 10.1109/IACIS65746.2025.11211455</t>
  </si>
  <si>
    <t>The exponential growth of electronic health records (EHRs) requires robust privacy-preserving frameworks that combine secure storage, encrypted analytics, and regulatory compliance. This paper proposes an optimized permissioned blockchain framework integrated with partially homomorphic encryption (PHE) for healthcare record-keeping. Unlike prior blockchain-HE architectures, our model introduces batch encryption, modulus switching, and parallel computation within Hyperledger Fabric, significantly improving throughput and latency. Experiments on both a synthetic dataset of 50,000 patient records and the real-world MIMIC-III EHR dataset demonstrate predictive accuracy of 97.8% with negligible degradation compared to plaintext computation. Performance analysis shows 142 TPS throughput, 9.4% encryption overhead, and 18% storage savings against hybrid blockchain-storage baselines. The system achieves HIPAA and GDPR compliance, enforces fine-grained access control through smart contracts, and supports FHIR-compliant interoperability across heterogeneous healthcare platforms. Security evaluation confirms resilience against collusion, replay, and side-channel attacks. These results indicate that the framework offers a scalable, secure, and regulation-compliant solution for privacy-preserving healthcare analytics. © 2025 IEEE.</t>
  </si>
  <si>
    <t>R0948</t>
  </si>
  <si>
    <t>Medical diagnostics based on encrypted medical data</t>
  </si>
  <si>
    <t>Gribov, A.; Horan, K.; Gryak, J.; Najarian, K.; Shpilrain, V.; Soroushmehr, R.; Kahrobaei, D.</t>
  </si>
  <si>
    <t>Found in: Scopus · DOI: 10.1007/978-3-030-24202-2_8</t>
  </si>
  <si>
    <t>We utilize a type of encryption scheme known as a Fully Homomorphic Encryption (FHE) scheme which allows for computation over encrypted data. Our encryption scheme is more efficient than other publicly available FHE schemes, making it more feasible. We conduct simulations based on common scenarios in which this ability is useful. In the first simulation we conduct time series analysis via Recursive Least Squares on both encrypted and unencrypted data and compare the results. In simulation one, it is shown that the error from computing over plaintext data is the same as the error for computing over encrypted data. In the second simulation, we compute two known diagnostic functions over publicly available data in order to calculate computational benchmarks. In simulation two, we see that computation over encrypted data using our method incurs relatively lower costs as compared to a majority of other publicly available methods. By successfully computing over encrypted data we have shown that our FHE scheme permits the use of machine learning algorithms that utilize polynomial kernel functions. © ICST Institute for Computer Sciences, Social Informatics and Telecommunications Engineering 2019.</t>
  </si>
  <si>
    <t>R0949</t>
  </si>
  <si>
    <t>Homomorphic Encryption in Federated Medical Image Classification</t>
  </si>
  <si>
    <t>Lengl, M.; Schumann, S.; Rohrl, S.; Hayden, O.; Diepold, K.</t>
  </si>
  <si>
    <t>Found in: Scopus; IEEE · DOI: 10.1109/ICAIC63015.2025.10849069</t>
  </si>
  <si>
    <t>The application of Federated Learning (FL) for training neural networks has expanded significantly in domains requiring sensitive data handling, such as the medical field, yielding substantial success. However, while solving some issues, FL also introduces new security concerns due to the need to trust multiple participating clients. In this work, we first demonstrate that FL can be effectively applied for the classification of a novel type of quantitative phase image data in cytology, and we evaluate the potential of Homomorphic Encryption (HE) to enhance security in this federated training. We specifically focus on encrypting the weight updates rather than the image data itself, revealing that this approach drastically reduces computational and communication overhead. We further show that this method has minimal effect on classification performance, maintaining or even increasing the accuracy of a centralized setup. Although encrypting weight updates increases training time by up to 39%, it does not impact inference speed, as inference occurs locally. We validate these findings across various neural network architectures and model sizes, confirming that HE on weight updates offers a practical and secure solution for federated training on sensitive medical images without compromising performance. © 2025 IEEE.</t>
  </si>
  <si>
    <t>R0950</t>
  </si>
  <si>
    <t>Privacy-Preserving Federated Learning for Heart Disease Prediction—A Review of Security Architectures and Techniques</t>
  </si>
  <si>
    <t>Choudhari, A.; Bhalekar, M.</t>
  </si>
  <si>
    <t>Found in: Scopus · DOI: 10.1007/978-3-032-31216-7_7</t>
  </si>
  <si>
    <t>Heart disease remains the leading cause of mortality worldwide, necessitating collaborative research across healthcare institutions to develop accurate prediction models. Traditional centralized machine learning approaches face significant barriers due to patient privacy concerns, regulatory constraints, and institutional reluctance to share sensitive medical data. Federated learning emerges as a promising solution that enables collaborative model training while maintaining data locality and privacy protection. This paper presents a comprehensive review of privacy-preserving federated learning techniques specifically applied to heart disease prediction, examining security architectures and their effectiveness in healthcare environments. We systematically analyze differential privacy, homomorphic encryption, and secure multi-party computation approaches, evaluating their security guarantees, computational overhead, and clinical utility preservation. Our comparative analysis reveals that differential privacy provides the most practical solution for large-scale healthcare collaborations, achieving 85–95% of centralized learning accuracy while maintaining formal privacy guarantees. The review identifies significant implementation challenges including regulatory compliance complexities, technical deployment barriers, and inter-institutional coordination requirements. We highlight critical research gaps in scalability, real-world deployment strategies, and integration with existing healthcare infrastructure. Our findings provide actionable guidance for healthcare institutions considering federated learning adoption while identifying essential directions for future research in privacy-preserving collaborative healthcare analytics. © The Author(s), under exclusive license to Springer Nature Switzerland AG 2026.</t>
  </si>
  <si>
    <t>R0951</t>
  </si>
  <si>
    <t>Federated Learning Privacy Protection Scheme Based on Homomorphic Encryption</t>
  </si>
  <si>
    <t>Luo, Y.; Wang, J.; Zhou, Y.</t>
  </si>
  <si>
    <t>Found in: Scopus; IEEE · DOI: 10.1109/ISITSC64373.2024.00018</t>
  </si>
  <si>
    <t>Deep learning has been widely applied in various fields such as intelligent driving, military, and medical services. However, with the increasing number of users, the computational and storage requirements of deep learning models have become a challenge for general endpoint devices, making it difficult for general terminal devices to load and apply in the IoT field with low computing power requirements. Federated learning addresses this issue by collectively training models on multiple devices, effectively alleviating the computational limitations of individual user devices. However, federated learning poses privacy leakage risks during the training process, which could expose user privacy data. To address this problem, a federated learning privacy protection scheme based on homomorphic encryption is proposed. This scheme not only resists collusion attacks between the server and learning participants, but also eliminates the need for a trusted third party to generate keys. Therefore, this article's solution has good application prospects in the field of the Internet of Things. © 2024 IEEE.</t>
  </si>
  <si>
    <t>R0952</t>
  </si>
  <si>
    <t>Security Analysis of Federated Learning in Healthcare</t>
  </si>
  <si>
    <t>Chen, J.</t>
  </si>
  <si>
    <t>Found in: Scopus · DOI: 10.1109/URTC68753.2025.11533041</t>
  </si>
  <si>
    <t>AI shows enormous promise in healthcare applications, such as in automated disease diagnoses. Research has found that AI skin cancer identification accuracy is higher than that of doctors, potentially increasing survival rates from 32% to 99%. However, current data protection techniques, such as data sanitization, have known vulnerabilities in AI. Federated learning (FL) has emerged as an increasingly promising framework in privacy-preserving machine learning. FL allows for both limited data sharing and the benefits of AI. Diagnostic errors impact approximately 12 million adults annually in the United States; if AI systems could reduce even 5% of these errors, an estimated 600,000 individuals could benefit. Despite this potential, significant concerns around AI security may limit AI adoption and create legal implications for researchers. Experiments on these threats prove that significant medical information may be leaked from AI models. Up to 99.2% of training data, such as images and tabular data, can be reconstructed based purely on gradients. In response, various defense mechanisms have been tested. These defenses show promise in mitigating specific threats by reducing the extent of information leakage by up to 21.9%. This research highlights the importance of security measures in protecting patient privacy.  © 2025 IEEE.</t>
  </si>
  <si>
    <t>R0953</t>
  </si>
  <si>
    <t>Privacy-preserving outsourced classification in cloud computing</t>
  </si>
  <si>
    <t>Li, P.; Li, J.; Huang, Z.; Gao, C.-Z.; Chen, W.-B.; Chen, K.</t>
  </si>
  <si>
    <t>Found in: Scopus · DOI: 10.1007/s10586-017-0849-9</t>
  </si>
  <si>
    <t>Classifier has been widely applied in machine learning, such as pattern recognition, medical diagnosis, credit scoring, banking and weather prediction. Because of the limited local storage at user side, data and classifier has to be outsourced to cloud for storing and computing. However, due to privacy concerns, it is important to preserve the confidentiality of data and classifier in cloud computing because the cloud servers are usually untrusted. In this work, we propose a framework for privacy-preserving outsourced classification in cloud computing (POCC). Using POCC, an evaluator can securely train a classification model over the data encrypted with different public keys, which are outsourced from the multiple data providers. We prove that our scheme is secure in the semi-honest model. © 2017, Springer Science+Business Media New York.</t>
  </si>
  <si>
    <t>R0954</t>
  </si>
  <si>
    <t>ANN BASED ASSESSMENT of STATE-OF-HEALTH RELIABILITY of FLEXIBLE LI-ION BATTERIES under DYNAMIC FLEXING and CALENDAR AGING</t>
  </si>
  <si>
    <t>Found in: Scopus · DOI: 10.1115/IPACK2022-97431</t>
  </si>
  <si>
    <t>Wearable electronics have garnered much attention owing to benefits such as closer integration of form with function, flexibility, and light-weighting. Power sources used with FHE may be subject to dynamic flexing in addition to flex-to-install during the usage life of the product. While thick block batteries have been studied extensively in prior research-the impact of stresses of daily motion on the state of health degradation of thinflexible batteries in conjunction with the use parameters is not well understood. Use conditions, including storage duration, operating temperature, flexing frequency, interval, and flex radius, might vary. Machine learning (ML) methods are needed prediction of state-of-health (SOH) degradation of the battery in various environmental conditions. It is not cost-effective to measure battery response in every condition, while the ANN ML might be able to assess conditions not previously measured. In this regard, it is expected that the ANN might be able to train the simulation. In this study, the simulation of SOH degradation on charging/discharging the flexible battery in dynamic folding, twisting and static folding with a calendar-aged battery in high temperature have been conducted. Accordingly, the ANN ML model has been trained with the simulation datasets to substitute the simulation. The generated data will be used for crossvalidation of ML model and simulation for the battery life prediction. There is an expectation that such a combined method for data analysis might be helpful for time efficiency and cost reduction of research. Copyright © 2022 by ASME.</t>
  </si>
  <si>
    <t>R0955</t>
  </si>
  <si>
    <t>Federated Learning for Privacy-Preserving Diabetes Detection: A Robust Framework for Heterogeneous Healthcare Data</t>
  </si>
  <si>
    <t>Dhiya, C.; Gjh, U.; Kavya, U.; Sivashankar, G.; Prabhu, S.N.</t>
  </si>
  <si>
    <t>Found in: Scopus; IEEE · DOI: 10.1109/ICIDCA66325.2025.11280354</t>
  </si>
  <si>
    <t>Fragmented healthcare data and strict privacy laws pose challenges in the early detection of diabetes. Federated learning (FL) can be used to collaboratively train prediction models without sharing raw records. But issues such as non-IID data, label skew, and interpretability challenge prevail in real-world set-ups. We customize a unified FL framework for diabetes prediction that (a) combines differential privacy and Paillier-class homomorphic encryption to protect updates, (b) performs dynamic domain adaptation to address distributional differences between the EHRs and continuous glucose/wearable signals, and (c) uses a hybrid Transformer + 1D-CNN local model whereby attention maps provide meaningful clinical explanations. Other components are a fairness audit that rebalances the losses for underrepresented subgroups, secure aggregation of local SHAP/LIME explanations into a global interpretability map, and a global calibration step to smoothen probability reliability. Measured on multi-modal data (simulated splits of MIMIC-IV and OhioT1DM across three clinical sites), this framework achieves an AUC-ROC of 88.3% (near-centralized performance), reduces membership-inference leakage by ~92%, and improves F1 for underrepresented groups by 12.7% over FedAvg/FedProx baselines. The system delivers competitive accuracy, stronger privacy guarantees, and actionable explainability for clinicians.  © 2025 IEEE.</t>
  </si>
  <si>
    <t>R0956</t>
  </si>
  <si>
    <t>A secure and privacy-preserving word vector training scheme based on functional encryption with inner-product predicates</t>
  </si>
  <si>
    <t>Zhang, M.; Li, Z.-A.; Zhang, P.</t>
  </si>
  <si>
    <t>Found in: Scopus · DOI: 10.1016/j.csi.2023.103734</t>
  </si>
  <si>
    <t>With the extensive applications of machine learning, it has been witnessed that machine learning has been applied in various fields such as e-commerce, mobile data processing, health analytics and behavioral analytics etc. Word vector training is usually deployed in machine learning to provide a model architecture and optimization, for example, to learn word embeddings from a large amount of datasets. Training word vector in machine learning needs a lot of datasets to train and then outputs a model, however, some of which might contain private and sensitive information, and the training phase will lead to the exposure of the trained model and user datasets. In order to offer utilizable, plausible, and personalized alternatives to users, this process usually also entails a breach of their privacy. For instance, the user data might contain of face,irirs and personal identities etc. This will release serious problem in the machine learning. In this article, we investigate the problem of training high-quality word vectors on encrypted datasets by using privacy-preserving learning algorithms. Firstly, we use a pseudo-random function to generate a statistical token for each word to help build the vocabulary of the word vector. Then we employ functional inner-product encryption to calculate the activation function to obtain the inner product, securely. Finally, we use BGN cryptosystem to encrypt and hide the sensitive datasets, and complete the homomorphic operation over the ciphertexts to perform the training procedure. In order to implement the privacy preservation of word vector training, we propose four privacy-preserving machine learning schemes to provide the privacy protection in our scheme. We analyze the security and efficiency of our protocols and give the numerical experiments. Compared with the existing solutions, it indicates that our scheme can provide a higher efficiency and less communication overhead. © 2023 Elsevier B.V.</t>
  </si>
  <si>
    <t>R0957</t>
  </si>
  <si>
    <t>Is homomorphic encryption-based deep learning secure enough?</t>
  </si>
  <si>
    <t>Shin, J.; Choi, S.-H.; Choi, Y.-H.</t>
  </si>
  <si>
    <t>Found in: Scopus; PubMed · DOI: 10.3390/s21237806 · PMID: 34883809</t>
  </si>
  <si>
    <t>As the amount of data collected and analyzed by machine learning technology increases, data that can identify individuals is also being collected in large quantities. In particular, as deep learning technology—which requires a large amount of analysis data—is activated in various service fields, the possibility of exposing sensitive information of users increases, and the user privacy problem is growing more than ever. As a solution to this user’s data privacy problem, homomorphic encryption technology, which is an encryption technology that supports arithmetic operations using encrypted data, has been applied to various field including finance and health care in recent years. If so, is it possible to use the deep learning service while preserving the data privacy of users by using the data to which homomorphic encryption is applied? In this paper, we propose three attack methods to infringe user’s data privacy by exploiting possible security vulnerabilities in the process of using homomorphic encryption-based deep learning services for the first time. To specify and verify the feasibility of exploiting possible security vulnerabilities, we propose three attacks: (1) an adversarial attack exploiting communication link between client and trusted party; (2) a reconstruction attack using the paired input and output data; and (3) a membership inference attack by malicious insider. In addition, we describe real-world exploit scenarios for financial and medical services. From the experimental evaluation results, we show that the adversarial example and reconstruction attacks are a practical threat to homomorphic encryption-based deep learning models. The adversarial attack decreased average classification accuracy from 0.927 to 0.043, and the reconstruction attack showed average reclassification accuracy of 0.888, respectively. © 2021 by the authors. Licensee MDPI, Basel, Switzerland.</t>
  </si>
  <si>
    <t>R0958</t>
  </si>
  <si>
    <t>Privacy-preserving dyslexia detection using homomorphic encryption for QEEG data with explainable AI insights</t>
  </si>
  <si>
    <t>Abou Harb, M.R.; Celiktas, B.; Eroglu, G.</t>
  </si>
  <si>
    <t>Found in: Scopus · DOI: 10.1007/s11227-026-08768-z</t>
  </si>
  <si>
    <t>Privacy concerns surrounding patient data pose major challenges when deploying machine learning (ML) models in cloud environments. To address these issues, this study proposes a homomorphic encryption (HE) inference framework for artificial neural networks (ANNs) that preserves data confidentiality. Because nonlinear activation functions within ANNs can be difficult to handle in encrypted form, we adopt an ANN-based estimator to approximate these nonlinearities securely. We apply this framework to quantitative electroencephalography (QEEG) data for dyslexia detection. Our single-run results show an encrypted inference accuracy of 98.92% and an area under the curve (AUC) of 0.9946. Compared to the plaintext-HE pipeline baseline (accuracy of 99.36%), this represents a marginal 0.44% reduction in classification accuracy with identical AUC performance. This minimal variance demonstrates the feasibility of preserving privacy while maintaining stable predictive performance. The substantial computational overhead of executing approximated activations and matrix multiplications on homomorphically encrypted QEEG data necessitates the use of domain-specific high-performance computing hardware, such as Tensor Processing Units (TPUs), to approach real-time clinical viability. Moreover, a comprehensive conceptual threat model is established to protect against adversarial risks such as model inversion, membership inference, and access-pattern leakage. A key novelty of this work is the integrated focus on privacy-preserving dyslexia detection using QEEG features. In addition, explainability in the encrypted domain is achieved via a perturbation-based SHapley Additive exPlanations (SHAP)-like approximation. By revealing how individual features influence the decision-making process without exposing the underlying data, we advance state-of-the-art approaches for secure, transparent AI in healthcare. © The Author(s), under exclusive licence to Springer Science+Business Media, LLC, part of Springer Nature 2026.</t>
  </si>
  <si>
    <t>R0959</t>
  </si>
  <si>
    <t>PPDM-TAN: A privacy-preserving multi-party classifier</t>
  </si>
  <si>
    <t>Skarkala, M.E.; Maragoudakis, M.; Gritzalis, S.; Mitrou, L.</t>
  </si>
  <si>
    <t>Found in: Scopus · DOI: 10.3390/computation9010006</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</si>
  <si>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 © 2021 by the authors.</t>
  </si>
  <si>
    <t>R0960</t>
  </si>
  <si>
    <t>A homomorphic-encryption-based vertical federated learning scheme for rick management</t>
  </si>
  <si>
    <t>Ou, W.; Zeng, J.; Guo, Z.; Yan, W.; Liu, D.; Fuentes, S.</t>
  </si>
  <si>
    <t>Found in: Scopus · DOI: 10.2298/CSIS190923022O</t>
  </si>
  <si>
    <t>With continuous improvements of computing power, great progresses in algorithms and massive growth of data, artificial intelligence technologies have entered the third rapid development era. However, With the great improvements in artificial intelligence and the arrival of the era of big data, contradictions between data sharing and user data privacy have become increasingly prominent. Federated learning is a technology that can ensure the user privacy and train a better model from different data providers. In this paper, we design a vertical federated learning system for the for Bayesian machine learning with the homomorphic encryption. During the training progress, raw data are leaving locally, and encrypted model information is exchanged. The model trained by this system is comparable (up to 90%) to those models trained by a single union server under the consideration of privacy. This system can be widely used in risk control, medical, financial, education and other fields. It is of great significance to solve data islands problem and protect users’ privacy. © 2020, ComSIS Consortium. All rights reserved.</t>
  </si>
  <si>
    <t>R0961</t>
  </si>
  <si>
    <t>Applying Deep Neural Networks over Homomorphic Encrypted Medical Data</t>
  </si>
  <si>
    <t>Vizitiu, A.; Niǎ, C.I.; Puiu, A.; Suciu, C.; Itu, L.M.</t>
  </si>
  <si>
    <t>Found in: Scopus; PubMed · DOI: 10.1155/2020/3910250 · PMID: 32351612</t>
  </si>
  <si>
    <t>In recent years, powered by state-of-the-art achievements in a broad range of areas, machine learning has received considerable attention from the healthcare sector. Despite their ability to provide solutions within personalized medicine, strict regulations on the confidentiality of patient health information have in many cases hindered the adoption of deep learning-based solutions in clinical workflows. To allow for the processing of sensitive health information without disclosing the underlying data, we propose a solution based on fully homomorphic encryption (FHE). The considered encryption scheme, MORE (Matrix Operation for Randomization or Encryption), enables the computations within a neural network model to be directly performed on floating point data with a relatively small computational overhead. We consider the well-known MNIST digit recognition problem to evaluate the feasibility of the proposed method and show that performance does not decrease when deep learning is applied on MORE homomorphic data. To further evaluate the suitability of the method for healthcare applications, we first train a model on encrypted data to estimate the outputs of a whole-body circulation (WBC) hemodynamic model and then provide a solution for classifying encrypted X-ray coronary angiography medical images. The findings highlight the potential of the proposed privacy-preserving deep learning methods to outperform existing approaches by providing, within a reasonable amount of time, results equivalent to those achieved by unencrypted models. Lastly, we discuss the security implications of the encryption scheme and show that while the considered cryptosystem promotes efficiency and utility at a lower security level, it is still applicable in certain practical use cases. © 2020 Anamaria Vizitiu et al.</t>
  </si>
  <si>
    <t>R0962</t>
  </si>
  <si>
    <t>Detecting Data Poisoning Attack in Federated Learning Healthcare System</t>
  </si>
  <si>
    <t>Saadhana Santoshi, J.; Rajeswari, D.</t>
  </si>
  <si>
    <t>Found in: Scopus; IEEE · DOI: 10.1109/ICSEDIS68157.2026.11518103</t>
  </si>
  <si>
    <t>Federated Learning (FL) is an application that allows training models collaboratively, retaining the privacy of clients, but being extremely susceptible to attackers that poison data, especially in healthcare settings with heterogeneous and sensitive data. Such attacks impair the model integrity and lower the predictive performance and jeopardize patient safety. In order to solve this dilemma, we introduce an innovative adaptive defense model, which integrates anomaly recognition, secure aggregation, and powerful filtering of clients to detect and avoid malicious updates in the training process. The algorithm also uses homomorphic encryption and similarity-based clustering to identify forged or poisonous gradient updates with uncompromising privacy conditions. Wide-ranging experiments on real-world medical data proves the fact that the given method is highly effective to counter adversarial attacks, with the final global model accuracy reaching 99.96, surpassing the solutions currently available, including Trimmed-Mean and Bulyan. The present paper is a contribution to a scalable, secure, and privacy-preserving answer to the resilient FL in the healthcare application. © 2026 IEEE.</t>
  </si>
  <si>
    <t>R0963</t>
  </si>
  <si>
    <t>Secure and Interpretable Dyslexia Detection Using Homomorphic Encryption and SHAP-Based Explanations</t>
  </si>
  <si>
    <t>Found in: Scopus; IEEE · DOI: 10.1109/TIPTEKNO68206.2025.11270026</t>
  </si>
  <si>
    <t>Protecting sensitive healthcare data during machine learning inference is critical, particularly in cloud-based environments. This study addresses the privacy and interpretability challenges in dyslexia detection using Quantitative EEG (QEEG) data. We propose a privacy-preserving framework utilizing Homomorphic Encryption (HE) to securely perform inference with an Artificial Neural Network (ANN). Due to the incompatibility of non-linear activation functions with encrypted arithmetic, we employ a dedicated approximation strategy. To ensure model interpretability without compromising privacy, SHapley Additive exPlanations (SHAP) are computed homomorphically and decrypted client-side. Experimental evaluations demonstrate that the encrypted inference achieves an accuracy of 90.03% and an AUC of 0.8218, reflecting only minor performance degradation compared to plaintext inference. SHAP value comparisons (Spearman correlation = 0.59) validate the reliability of the encrypted explanations. These results confirm that integrating privacy-preserving and explainable AI approaches is feasible for secure, ethical, and compliant healthcare deployments.  © 2025 IEEE.</t>
  </si>
  <si>
    <t>R0964</t>
  </si>
  <si>
    <t>Privacy-Preserving Federated Deep Learning Diagnostic Method for Multi-Stage Diseases</t>
  </si>
  <si>
    <t>Yang, J.; Huang, H.; Yin, L.; Qu, J.; Xie, W.</t>
  </si>
  <si>
    <t>Found in: Scopus · DOI: 10.32604/cmes.2023.045417</t>
  </si>
  <si>
    <t>Diagnosing multi-stage diseases typically requires doctors to consider multiple data sources, including clinical symptoms, physical signs, biochemical test results, imaging findings, pathological examination data, and even genetic data. When applying machine learning modeling to predict and diagnose multi-stage diseases, several challenges need to be addressed. Firstly, the model needs to handle multimodal data, as the data used by doctors for diagnosis includes image data, natural language data, and structured data. Secondly, privacy of patients’ data needs to be protected, as these data contain the most sensitive and private information. Lastly, considering the practicality of the model, the computational requirements should not be too high. To address these challenges, this paper proposes a privacy-preserving federated deep learning diagnostic method for multi-stage diseases. This method improves the forward and backward propagation processes of deep neural network modeling algorithms and introduces a homomorphic encryption step to design a federated modeling algorithm without the need for an arbiter. It also utilizes dedicated integrated circuits to implement the hardware Paillier algorithm, providing accelerated support for homomorphic encryption in modeling. Finally, this paper designs and conducts experiments to evaluate the proposed solution. The experimental results show that in privacy-preserving federated deep learning diagnostic modeling, the method in this paper achieves the same modeling performance as ordinary modeling without privacy protection, and has higher modeling speed compared to similar algorithms. © 2024 Tech Science Press. All rights reserved.</t>
  </si>
  <si>
    <t>R0965</t>
  </si>
  <si>
    <t>Lightweight Privacy-preserving Medical Diagnosis in Edge Computing</t>
  </si>
  <si>
    <t>Ma, Z.; Ma, J.; Miao, Y.; Liu, X.; Choo, K.-K.R.; Yang, R.; Wang, X.</t>
  </si>
  <si>
    <t>Found in: Scopus · DOI: 10.1109/SERVICES51467.2021.00020</t>
  </si>
  <si>
    <t>In the era of machine learning, mobile users are able to submit their symptoms to doctors at any time, anywhere for personal diagnosis. It is prevalent to exploit edge computing for real-time diagnosis services in order to reduce transmission latency. Although data-driven machine learning is powerful, it inevitably compromises privacy by relying on vast amounts of medical data to build a diagnostic model. Therefore, it is necessary to protect data privacy without accessing local data. However, the blossom has also been accompanied by various problems, i.e., the limitation of training data, vulnerabilities, and privacy concern. As a solution to these above challenges, in this paper, we design a lightweight privacy-preserving medical diagnosis mechanism on edge. Our method redesigns the extreme gradient boosting (XGBoost) model based on the edge-cloud model, which adopts encrypted model parameters instead of local data to reduce amounts of ciphertext computation to plaintext computation, thus realizing lightweight privacy preservation on resource-limited edges. Additionally, the proposed scheme is able to provide a secure diagnosis on edge while maintaining privacy to ensure an accurate and timely diagnosis. The proposed system with secure computation could securely construct the XGBoost model with lightweight overhead, and efficiently provide a medical diagnosis without privacy leakage. Our security analysis and experimental evaluation indicate the security, effectiveness, and efficiency of the proposed system.  © 2021 IEEE.</t>
  </si>
  <si>
    <t>R0966</t>
  </si>
  <si>
    <t>Homomorphic Encryption-Based Privacy-Preserving Federated Learning in IoT-Enabled Healthcare System</t>
  </si>
  <si>
    <t>Zhang, L.; Xu, J.; Vijayakumar, P.; Sharma, P.K.; Ghosh, U.</t>
  </si>
  <si>
    <t>Found in: Scopus; IEEE · DOI: 10.1109/TNSE.2022.3185327</t>
  </si>
  <si>
    <t>In this work, the federated learning mechanism is introduced into the deep learning of medical models in Internet of Things (IoT)-based healthcare system. Cryptographic primitives, including masks and homomorphic encryption, are applied for further protecting local models, so as to prevent the adversary from inferring private medical data by various attacks such as model reconstruction attack or model inversion attack, etc. The qualities of the datasets owned by different participants are considered as the main factor for measuring the contribution rate of the local model to the global model in each training epoch, instead of the size of datasets commonly used in deep learning. A dropout-tolerable scheme is proposed in which the process of federated learning would not be terminated if the number of online clients is not less than a preset threshold. Through the analysis of the security, it shows that the proposed scheme satisfies data privacy. Computation cost and communication cost are also analyzed theoretically. Finally, skin lesion classification using training images provided by the HAM10000 medical dataset is set as an example of healthcare applications. Experimental results show that compared with existing schemes, the proposed scheme obtained promising results while ensuring privacy preserving. © 2013 IEEE.</t>
  </si>
  <si>
    <t>R0967</t>
  </si>
  <si>
    <t>Homomorphic Encryption for EDSS Classification: Safeguarding Patient Privacy in MRI-Based Assessment of Multiple Sclerosis</t>
  </si>
  <si>
    <t>Hospitals and healthcare organizations collect vast amounts of patient data, such as MRI scans, which hold significant potential for advancing automated clinical support systems. However, privacy concerns and the lack of robust data anonymization and protection mechanisms often hinder data sharing and collaborative research. To this end, privacy-preserving and data sanitization techniques have emerged as a promising direction. Among them, Homomorphic Encryption (HE) allows computations to be performed directly on encrypted data without requiring decryption, thereby safeguarding sensitive information throughout the analytical pipeline. In this paper, we investigate the feasibility of leveraging homomorphic encryption to enable Expanded Disability Status Scale (EDSS) classification in Multiple Sclerosis (MS). Thus, we design a dedicated neural network, namely Hybrid AHE-CNN, tailored for processing images together with homomorphically encrypted sensitive data, allowing for secure and privacy-preserving inference without exposing raw patient data. Experimental results demonstrate that our proposed method achieves classification performance comparable to that of models trained and evaluated on plaintext data, highlighting the practical applicability of HE in real-world healthcare settings. © 2025 Copyright for this paper by its authors.</t>
  </si>
  <si>
    <t>R0968</t>
  </si>
  <si>
    <t>A data privacy protection method for infectious disease prediction models with balanced training speed and accuracy</t>
  </si>
  <si>
    <t>Wang, X.; Jiang, Y.; Pan, G.; Luo, Z.; Xiao, M.; Yang, L.; Shi, X.; Huo, Y.; Li, M.; Zhang, L.</t>
  </si>
  <si>
    <t>Found in: Scopus; PubMed · DOI: 10.1038/s41598-026-38906-9 · PMID: 41644632</t>
  </si>
  <si>
    <t>The application of deep learning technologies in constructing infectious disease prediction models has significantly enhanced public health strategies; however, the imperative for medical data privacy often prevents institutions from sharing diverse datasets, leading to data silos and diminished predictive accuracy. To address these challenges, we propose a multi-layered privacy-preserving framework that balances security and computational performance. First, we introduce a Random Transmission Hybrid Homomorphic algorithm that integrates CKKS fully homomorphic encryption with Paillier semi-homomorphic mechanisms, optimized by a random transmission sequence. Experimental evaluations demonstrate that this hybrid approach achieves a 25% improvement in computational and communication efficiency compared to conventional homomorphic encryption methods by reducing ciphertext overhead and skipping redundant update cycles. Second, we developed the Data Selection-Distributed Selection Stochastic Gradient Descent (DS-DSSGD) algorithm to optimize the trade-off between training speed and predictive accuracy. By filtering insignificant gradient updates and focusing on high-contribution features, the DS-DSSGD algorithm ensures high model precision even under the increased computational demands of privacy-preserving technologies. Finally, these innovations are integrated into the XDP Privacy Data Sharing Platform, providing a secure environment for end-to-end data lifecycle management. Collectively, our results indicate that the proposed framework not only safeguards sensitive health information but also maintains the high-precision forecasting capabilities essential for effective epidemic response. © The Author(s) 2026.</t>
  </si>
  <si>
    <t>R0969</t>
  </si>
  <si>
    <t>Efficient Privacy-Preserving Viral Strain Classification via k-mer Signatures and FHE</t>
  </si>
  <si>
    <t>Akavia, A.; Galili, B.; Shaul, H.; Weiss, M.; Yakhini, Z.</t>
  </si>
  <si>
    <t>Found in: Scopus · DOI: 10.1109/CSF57540.2023.00012</t>
  </si>
  <si>
    <t>With the development of sequencing technologies, viral strain classification - which is critical for many applications, including disease monitoring and control - has become widely deployed. Typically, a lab (client) holds a viral sequence, and requests classification services from a centralized repository of labeled viral sequences (server). However, such 'classification as a service' raises privacy concerns. In this paper we propose a privacy-preserving viral strain classification protocol that allows the client to obtain classification services from the server, while maintaining complete privacy of the client's viral strains. The privacy guarantee is against active servers, and the correctness guarantee is against passive ones. We implemented our protocol and performed extensive benchmarks, showing that it obtains almost perfect accuracy (99.8%-100%) and microAUC (0.999), and high efficiency (amortized per-sequence client and server runtimes of 4.95ms and 0.53ms, respectively, and 0.21MB communication). In addition, we present an extension of our protocol that guarantees server privacy against passive clients, and provide an empirical evaluation showing that this extension provides the same high accuracy and microAUC, with amortized per sequences overhead of only a few milliseconds in client and server runtime, and 0.3MB in communication complexity. Along the way, we develop an enhanced packing technique in which two reals are packed in a single complex number, with support for homomorphic inner products of vectors of ciphertexts. We note that while similar packing techniques were used before, they only supported additions and multiplication by constants.  © 2023 IEEE.</t>
  </si>
  <si>
    <t>R0970</t>
  </si>
  <si>
    <t>A White-Box Watermarking Modulation for Encrypted DNN in Homomorphic Federated Learning</t>
  </si>
  <si>
    <t>Found in: Scopus · DOI: 10.5220/0012764300003767</t>
  </si>
  <si>
    <t>Federated Learning (FL) is a distributed paradigm that enables multiple clients to collaboratively train a model without sharing their sensitive local data. In such a privacy-sensitive setting, Homomorphic Encryption (HE) plays an important role by enabling computations on encrypted data. This prevents the server from reverseengineering the model updates, during the aggregation, to infer private client data, a significant concern in scenarios like the healthcare industry where patient confidentiality is paramount. Despite these advancements, FL remains susceptible to intellectual property theft and model leakage due to malicious participants during the training phase. To counteract this, watermarking emerges as a solution for protecting the intellectual property rights of Deep Neural Networks (DNNs). However, traditional watermarking methods are not compatible with HE, primarily because they require the use of non-polynomial functions, which are not natively supported by HE. In this paper, we address these challenges by proposing the first white-box DNN watermarking modulation on a single homomorphically encrypted model. We then extend this modulation to a server-side FL context that complies with HE’s processing constraints. Our experimental results demonstrate that the performance of the proposed watermarking modulation is equivalent to the one on unencrypted domain. © 2024 by SCITEPRESS – Science and Technology Publications, Lda.</t>
  </si>
  <si>
    <t>R0971</t>
  </si>
  <si>
    <t>Federated SCFGWO for Secure and High-Accuracy Brain Tumor Detection Across Multi-Center MRI</t>
  </si>
  <si>
    <t>Alphonsa, J.; Sheeja Kumari, V.</t>
  </si>
  <si>
    <t>Found in: Scopus; IEEE · DOI: 10.1109/SCSE65633.2025.11031001</t>
  </si>
  <si>
    <t>Privacy preservation and security concerns in medical imaging have led to the implementation of federated learning (FL) as an alternative to centralized machine learning approaches. This study introduces a novel Sine and Cosine Fitness Grey Wolf Optimization (SCFGWO) algorithm integrated into an FL framework to enhance the accuracy and efficiency of brain tumor detection across multi-center MRI datasets. SCFGWO addresses traditional Grey Wolf Optimization (GWO) limitations, such as early convergence and local optima, by incorporating adaptive sine-cosine strategies for improved global exploration and local exploitation. Compared to existing methods, the proposed SCFGWO-based framework achieves superior accuracy (97.2%), Dice Similarity Coefficient (0.94), and Intersection over Union (0.90) while maintaining computational efficiency (0.015s per slice). Innovative privacy-preserving methods, including differential privacy and homomorphic encryption, ensure data security across the dataset. These contributions establish SCFGWO as a robust optimization tool for federated learning applications in medical imaging, offering improved performance and enhanced data security.  © 2025 IEEE.</t>
  </si>
  <si>
    <t>R0972</t>
  </si>
  <si>
    <t>Federated Learning and Privacy-Preserving Techniques: A Comprehensive Review of Advancements and Challenges</t>
  </si>
  <si>
    <t>Keyal, P.K.; Saini, S.S.</t>
  </si>
  <si>
    <t>Found in: Scopus; IEEE · DOI: 10.1109/ICETEG66194.2025.11472906</t>
  </si>
  <si>
    <t>Federated Learning (FL) learning models and Privacy Protection Techniques (PPT) are important in machine learning. They meet the urgent need for distributed learning while maintaining data security and privacy. This overview article provides an in-depth overview of the latest developments and problems of FL and PPT, and provides a thorough understanding of their importance in various areas such as the Internet of Things (IoT) applications, healthcare and finance. Starting with homomorphic encryption, secure multi-party computing, trusted execution environments, and differential privacy, the study goes on to explain the basic ideas of FL and several PPT approaches. The discussion then dives into the latest developments in FL designs, optimization algorithms, and safe model aggregation strategies, emphasizing the progress made in improving communication effectiveness and protecting data privacy during model updates. This paper goes into great length about the challenges FL faces, despite its potential. Device heterogeneity, communication obstacles, and possible security vulnerabilities are some of these difficulties. The article also proposes future research topics, such the integration of FL with edge computing, blockchain, and secure multi-party computing, to close existing gaps and improve the field. To highlight the importance of FL and PPT to enable secure and comprehensive machine learning applications, this article concludes by highlighting the need for concerted efforts to overcome remaining obstacles and realize the full potential of learning models decentralized and maintain confidentiality. © 2025 IEEE.</t>
  </si>
  <si>
    <t>R0973</t>
  </si>
  <si>
    <t>Secure Healthcare Monitoring: Algorithms and Techniques for Heart Disease Detection and Data Privacy</t>
  </si>
  <si>
    <t>Mallapur, S.V.</t>
  </si>
  <si>
    <t>Found in: Scopus; IEEE · DOI: 10.1109/ICISCN64258.2025.10934556</t>
  </si>
  <si>
    <t>This survey offers the review of Healthcare Monitoring Systems (HMS) and Privacy Preservation (PP) approaches. The main objective is based on the detection of heart disease and maintain the security for patient data. The machine learning models such as SVM, decision trees, and neural networks for heart disease detection and encryption approaches such as AES, ECC, and homomorphic encryption for securing the data are the major topics that reviewed in this survey. Moreover, the survey highlights the performance evaluation for heart disease prediction and the datasets used for heart disease. It also ensures the privacy to tackle the challenges in real time monitoring. A higher accuracy of 99.8 was reached by FHE-based encryption method. Moreover, it discusses the research gaps like scalability, efficiency, and regulatory compliance which motivates the need of novel privacy-preserving techniques for healthcare systems, which is highlighted in the future scope.  © 2025 IEEE.</t>
  </si>
  <si>
    <t>R0974</t>
  </si>
  <si>
    <t>Leveraging ACO, GA, and GWO for Enhancing Port Scan Attack Detection Using Machine Learning</t>
  </si>
  <si>
    <t>Almaiah, M.A.; Kadel, R.</t>
  </si>
  <si>
    <t>Found in: Scopus · DOI: 10.63180/jcsra.thestap.2025.4.9</t>
  </si>
  <si>
    <t>Port scan attacks are commonly employed by malicious actors or automated tools to probe a system’s network ports in search of open ports and potential vulnerabilities. These ports function as communication endpoints that allow services and applications to exchange data. While port scanning is often associated with malicious intent—such as mapping network structures, identifying running services, or preparing for subsequent attacks—it is not always harmful. In fact, cybersecurity professionals and system administrators regularly use port scanning as a diagnostic tool to identify and address system weaknesses. To protect against port scan attacks, organizations typically deploy a combination of firewalls, intrusion detection systems (IDS), and network monitoring tools to detect and block unauthorized scanning activities. Detecting port scans is a vital part of cybersecurity defense, enabling organizations to identify points of vulnerability, respond swiftly to incidents, and implement appropriate security measures. This proactive approach significantly reduces the risk of successful cyber intrusions. In our research, we propose a machine learning-based approach for detecting port scan attacks. The process begins with data collection, where network traffic data containing behavioral indicators of scanning activity is gathered. From this data, relevant features are extracted to train the model. Feature selection is then performed using metaheuristic algorithms such as Ant Colony Optimization (ACO), Genetic Algorithm (GA), and Gray Wolf Optimization (GWO), which help reduce computational complexity by selecting the most informative features. These selected features are then used to train machine learning models, including classifiers like Support Vector Machine (SVM) and K-Nearest Neighbors (KNN), to differentiate between benign and malicious activity. Finally, the performance of the trained models is assessed using evaluation metrics such as precision, recall, F1-score, and accuracy. The results of our experiments indicate that the proposed models are highly effective, achieving accuracy rates exceeding 99% across all tested configurations. In summary, port scan detection is essential for strengthening network defenses. By leveraging machine learning techniques and optimization-based feature selection, it is possible to detect and respond to port scanning behaviors with greater accuracy and efficiency. © 2025, Smart Technologies Academic Press. All rights reserved.</t>
  </si>
  <si>
    <t>R0975</t>
  </si>
  <si>
    <t>Privacy-Enhanced Data Fusion for COVID-19 Applications in Intelligent Internet of Medical Things</t>
  </si>
  <si>
    <t>Lin, H.; Garg, S.; Hu, J.; Wang, X.; Jalil Piran, M.; Hossain, M.S.</t>
  </si>
  <si>
    <t>Found in: Scopus; PubMed; IEEE · DOI: 10.1109/JIOT.2020.3033129 · PMID: 35782177</t>
  </si>
  <si>
    <t>With the worldwide large-scale outbreak of COVID-19, the Internet of Medical Things (IoMT), as a new type of Internet of Things (IoT)-based intelligent medical system, is being used for COVID-19 prevention and detection. However, since the widespread use of IoMT will generate a large amount of sensitive information related to patients, it is becoming more and more important yet challenging to ensure data security and privacy of COVID-19 applications in IoMT. The leakage of private information during IoMT data fusion process will cause serious problems and affect people's willingness to contribute data in IoMT. To address these challenges, this article proposes a new privacy-enhanced data fusion strategy (PDFS). The proposed PDFS consists of four important components, i.e., sensitive task classification, task completion assessment, incentive mechanism-based task contract design, and homomorphic encryption-based data fusion. The extensive simulation experiments demonstrate that PDFS can achieve high task classification accuracy, task completion rate, task data reliability and task participation rate, and low average error rate, while improving the privacy protection for data fusion under COVID-19 application environments based on IoMT. © 2014 IEEE.</t>
  </si>
  <si>
    <t>R0976</t>
  </si>
  <si>
    <t>Blood volume flow in the superficial temporal artery assessed by duplex sonography: predicting extracranial-intracranial bypass patency in moyamoya disease</t>
  </si>
  <si>
    <t>Connolly, F.; Alsolivany, J.; Czabanka, M.; Vajkoczy, P.; Valdueza, J.M.; Röhl, J.E.; Siebert, E.; Danyel, L.A.</t>
  </si>
  <si>
    <t>Found in: Scopus; PubMed · DOI: 10.3171/2020.9.JNS202709 · PMID: 33836503</t>
  </si>
  <si>
    <t>OBJECTIVE Superficial temporal artery-middle cerebral artery (STA-MCA) bypass surgery is an important therapy for symptomatic moyamoya disease. Its success depends on bypass function, which may be impaired by primary or secondary bypass insufficiency. Catheter angiography is the current gold standard to assess bypass function, whereas the diagnostic value of ultrasonography (US) has not been systematically analyzed so far. METHODS The authors analyzed 50 STA-MCA bypasses in 39 patients (age 45 ± 14 years [mean ± SD]; 26 female, 13 male). Bypass patency was evaluated by catheter angiography, which was performed within 24 hours after US. The collateral circulation through the bypass was classified into 4 types as follows: the bypass supplies more than two-thirds (type A); between one-third and two-thirds (type B); or less than one-third (type C) of the MCA territory; or there is bypass occlusion (type D). The authors assessed the mean blood flow velocity (BFV), the blood volume flow (BVF), and the pulsatility index (PI) in the external carotid artery and STA by duplex sonography. Additionally, they analyzed the flow direction of the MCA by transcranial color-coded sonography. US findings were compared between bypasses with higher (types A and B) and lower (types C and D) capacity. RESULTS Catheter angiography revealed high STA-MCA bypass capacity in 35 cases (type A: n = 22, type B: n = 13), whereas low bypass capacity was noted in the remaining 15 cases (type C: n = 12, type D: n = 3). The BVF values in the STA were 60 ± 28 ml/min (range 4-121 ml/min) in the former and 12 ± 4 ml/min (range 6-18 ml/min) in the latter group (p &lt; 0.0001). Corresponding values of mean BFV and PI were 57 ± 21 cm/sec (range 16-100 cm/sec) versus 22 ± 8 cm/sec (range 10-38 cm/sec) (p &lt; 0.0001) and 0.8 ± 0.2 (range 0.4-1.3) versus 1.4 ± 0.5 (range 0.5-2.4) (p &lt; 0.0001), respectively. Differences in the external carotid artery were less distinct: BVF 217 ± 71 ml/min (range 110-425 ml/min) versus 151 ± 41 ml/min (range 87-229 ml/min) (p = 0.001); mean BFV 47 ± 17 cm/sec (range 24-108 cm/sec) versus 40 ± 7 cm/sec (range 26-50 cm/sec) (p = 0.15); PI 1.5 ± 0.4 (range 1.0-2.5) versus 1.9 ± 0.4 (range 1.2-2.6) (p = 0.009). A retrograde blood flow in the MCA was found in 14 cases (9 in the M1 and M2 segment; 5 in the M2 segment alone), and all of them showed a good bypass function (type A, n = 10; type B, n = 4). The best parameter (cutoff value) to distinguish bypasses with higher capacity from bypasses with lower capacity was a BVF in the STA ≥ 21 ml/min (sensitivity 100%, negative predictive value 100%, specificity 91%, positive predictive value 83%). CONCLUSIONS Duplex sonography is a suitable diagnostic tool to assess STA-MCA bypass function in moyamoya disease. Hemodynamic monitoring of the STA by US provides an excellent predictor of bypass patency.  © AANS 2021.</t>
  </si>
  <si>
    <t>R0977</t>
  </si>
  <si>
    <t>Integrating quantum computing with federated learning for enhanced security and privacy in IoT networks</t>
  </si>
  <si>
    <t>R, G.B.; T S, G.; A, N.; Sugumaran, B.; P, M.</t>
  </si>
  <si>
    <t>Found in: Scopus · DOI: 10.1016/j.rineng.2025.108500</t>
  </si>
  <si>
    <t>The rapid growth of the Internet of Things (IoT) is transforming industries such as healthcare, transportation, and smart infrastructure, but it also amplifies critical concerns regarding data security, privacy, and device authentication. Traditional cryptographic mechanisms offer partial protection, yet they remain vulnerable to emerging quantum computing threats, posing significant risks to IoT systems. Addressing these challenges, this paper introduces FLQC-IoT, a novel security framework that integrates federated learning (FL) with quantum computing (QC) to provide robust, scalable, and future-ready protection. Unlike conventional centralized approaches, FLQC-IoT enables decentralized model training directly on IoT devices, safeguarding sensitive data from exposure. Quantum technologies are incorporated at multiple layers: quantum neural networks accelerate optimization tasks, while quantum key distribution and quantum homomorphic encryption ensure tamper-proof key exchange and secure communication. Furthermore, the framework adapts dynamically to emerging threats through real-time anomaly detection and distributed intelligence, significantly enhancing resilience. Experimental results demonstrate a 15.32 % reduction in computational overhead and a 21.45 % decrease in authentication rounds compared to state-of-the-art methods, highlighting the framework’s efficiency and practical readiness. These findings underscore the significance and transformative impact of FLQC-IoT, providing a scalable, privacy-preserving, and resilient approach to securing IoT networks across critical domains, including healthcare, university campus networks, smart infrastructure, and transportation. Copyright © 2025. Published by Elsevier B.V.</t>
  </si>
  <si>
    <t>R0978</t>
  </si>
  <si>
    <t>Federated Learning Framework for Privacy-Preserving Bioinformatics and Genome Sequence Data Analytics</t>
  </si>
  <si>
    <t>Chatterjee, S.</t>
  </si>
  <si>
    <t>Found in: Scopus; IEEE · DOI: 10.1109/ICIIET65921.2025.11378184</t>
  </si>
  <si>
    <t>The rapid expansion of genomic data and bioinformatics research has intensified the need for secure and collaborative data analysis while maintaining patient confidentiality. Conventional centralized machine learning approaches expose sensitive genome sequence data to privacy risks and regulatory challenges. To overcome these limitations, this paper introduces a novel Hybrid Adaptive Federated Learning Framework for Privacy-Preserving Genome Analytics (HAFL-GA). The HAFL-GA framework uniquely integrates adaptive client weighting, multi-level differential privacy, and a Genomic Feature Alignment (GFA) module to enhance model accuracy and privacy simultaneously. The adaptive client weighting dynamically adjusts the contribution of each participating institution based on data quality and heterogeneity. At the same time, the GFA module aligns genomic feature distributions across nodes, minimizing bias in federated updates. Secure aggregation and lightweight homomorphic encryption are employed to safeguard model parameters during communication. Experimental results on benchmark genome sequence datasets show that HAFL-GA achieves up to 7% higher prediction accuracy and 30% lower communication cost compared to traditional federated learning models, without compromising data privacy. This demonstrates its robustness and scalability for real-world bioinformatics applications, including variant classification and disease susceptibility analysis. In conclusion, HAFL-GA provides an innovative and efficient approach to privacy-preserving genomic data analytics, fostering secure cross-institutional collaboration in biomedical research. The proposed HAFL-GA achieved 94.1% accuracy, 0.24 loss, 320 MB communication cost, and 97% privacy resistance (ϵ=2.3), proving superior efficiency, accuracy, and privacy preservation.  © 2025 IEEE.</t>
  </si>
  <si>
    <t>R0979</t>
  </si>
  <si>
    <t>Optimization of the road bump and pothole detection technology using convolutional neural network</t>
  </si>
  <si>
    <t>Ding, H.; Tang, Q.</t>
  </si>
  <si>
    <t>Found in: Scopus · DOI: 10.1515/jisys-2024-0164</t>
  </si>
  <si>
    <t>In highway bridge engineering, it is essential to use modern image processing methods to effectively detect and classify road bumps and potholes, considering the unique characteristics of bridge surfaces. Accurate identification and handling of road surface irregularities are crucial for preserving the longevity and security of transportation infrastructure. The study proposes a Convolutional Neural Network for Highway Anomaly Detection (BCNN-HAD) that uses the "BridgeGuard-Vision"(BGV) method, a computer vision technology for highway bridges to increase the accuracy and efficiency of automated image processing for more accurate detection of road irregularities in highway surveillance. Through model training using datasets that imitate various environmental conditions frequently seen on highway bridges, the proposed approach obtains dependable characteristics from photos taken close to bridges, improving flexibility and accuracy. The training method considers variations in lighting, weather conditions, and bridge materials, ensuring the model performs well in various real-world situations. In addition, this work explores the combination of sensor fusion techniques, combining data from many sources such as bridge structural health monitoring systems, cameras, accelerometers, and Global Positioning System. This comprehensive method, represented by BGV-YOLOv5, aims to offer a complete understanding of the bridge surroundings, therefore helping to detect road irregularities and further developing the field of bridge health monitoring. Expected results involve developing a personalized and effective system for detecting road bumps and potholes to tackle specific difficulties in highway bridge situations. In addition, the project seeks to provide a structure for smart transportation systems in the field of bridge engineering. This project seeks to address the particular requirements of highway bridge engineers, improving road safety and infrastructure maintenance methods in highway bridge engineering with the overall objective of establishing a safer and longer-lasting transportation network.  © 2024 the author(s), published by De Gruyter.</t>
  </si>
  <si>
    <t>R0980</t>
  </si>
  <si>
    <t>Privacy-Enhanced Pneumonia Diagnosis: IoT-Enabled Federated Multi-Party Computation in Industry 5.0</t>
  </si>
  <si>
    <t>Siddique, A.A.; Boulila, W.; Alshehri, M.S.; Ahmed, F.; Gadekallu, T.R.; Victor, N.; Qadri, M.T.; Ahmad, J.</t>
  </si>
  <si>
    <t>Found in: Scopus · DOI: 10.1109/TCE.2023.3319565</t>
  </si>
  <si>
    <t>Pneumonia is a significant global health concern that can lead to severe and sometimes fatal consequences. Timely identification and classification of pneumonia can substantially improve patient outcomes. However, the disclosure of sensitive medical data for diagnostic purposes raises important issues regarding patient privacy and data security. The Federated Multi-Party Computing (FMPC) technique has emerged as a promising solution to these challenges, enabling multiple parties to collaborate and compute a function over their private data while maintaining data privacy. This paper presents a novel Internet of Things (IoT)-enabled FMPC framework that significantly enhances the accuracy of pneumonia categorization while preserving patient privacy and data security. Using publicly available Kaggle datasets, the efficacy of the proposed strategy is assessed, and a comparison with contemporary deep learning models is made. The study demonstrates the remarkable efficacy of the IoT-enabled FMPC approach in pneumonia recognition within the industry 5.0 landscape. With 96.67% accuracy achieved for the unbalanced dataset and 97.84% accuracy for the balanced dataset, the results of the proposed algorithm demonstrate the potential for improvement. This approach ensures the privacy of sensitive medical information, aligning with the core principles of Industry 5.0 that emphasize the harmonious integration of advanced technologies and human-centric values. © 1975-2011 IEEE.</t>
  </si>
  <si>
    <t>R0981</t>
  </si>
  <si>
    <t>Sensor-classifier co-optimization for wearable human activity recognition applications</t>
  </si>
  <si>
    <t>Nk, A.; Bhat, G.; Park, J.; Lee, H.G.; Ogras, U.Y.</t>
  </si>
  <si>
    <t>Found in: Scopus · DOI: 10.1109/ICESS.2019.8782506</t>
  </si>
  <si>
    <t>Advances in integrated sensors and low-power electronics have led to an increase in the use of wearable devices for health and activity monitoring applications. These devices have severe limitations on weight, form-factor, and battery size since they have to be comfortable to wear. Therefore, they must minimize the total platform energy consumption while satisfying functionality (e.g., accuracy) and performance requirements. Optimizing the platform-level energy efficiency requires considering both the sensor and processing subsystems. To this end, this paper presents a sensor-classifier co-optimization technique with human activity recognition as a driver application. The proposed technique dynamically powers down the accelerometer sensors and controls their sampling rate as a function of the user activity. It leads to a 49% reduction in total platform energy consumption with less than 1% decrease in activity recognition accuracy. © 2019 IEEE.</t>
  </si>
  <si>
    <t>R0982</t>
  </si>
  <si>
    <t>Secure Anomaly Detection in EV Batteries via Federated Learning</t>
  </si>
  <si>
    <t>Mohamed Aasil, S.; Meenakshi, S.; Menon, K.B.; Joel, P.; Harini, N.</t>
  </si>
  <si>
    <t>Found in: Scopus · DOI: 10.1109/ICAISS61471.2025.11041835</t>
  </si>
  <si>
    <t>As the electric vehicle industry continues to grow in popularity in the fight against greenhouse gas emissions, so does the demand for accurate and timely battery health monitoring systems. However, a much larger challenge is maintaining privacy while transmitting sensitive battery information during the anomaly detection process. We present a privacy-preserving federated learning framework that utilizes Cheon-Kim-Kim-Song (CKKS) homomorphic encryption, enabling secure anomaly detection in electric vehicle batteries. The approach reduces privacy risks by enabling collaborative model training without the need to transmit raw sensor data. We evaluated the framework on a real-world electric vehicle battery dataset and found that it performs better than traditional centralized methods with a minimal computational overhead. The proposed framework presents a practical and secure approach to anomaly detection in electric vehicle batteries, which is a central challenge to the widespread adoption of electric vehicles. © 2025 IEEE.</t>
  </si>
  <si>
    <t>R0983</t>
  </si>
  <si>
    <t>Multiplication-Free Biometric Recognition for Faster Processing under Encryption</t>
  </si>
  <si>
    <t>Bassit, A.; Hahn, F.; Veldhuis, R.; Peter, A.</t>
  </si>
  <si>
    <t>Found in: Scopus · DOI: 10.1109/IJCB54206.2022.10007958</t>
  </si>
  <si>
    <t>The cutting-edge biometric recognition systems extract distinctive feature vectors of biometric samples using deep neural networks to measure the amount of (dis-)similarity between two biometric samples. Studies have shown that personal information (e.g., health condition, ethnicity, etc.) can be inferred, and biometric samples can be reconstructed from those feature vectors, making their protection an urgent necessity. State-of-the-art biometrics protection solutions are based on homomorphic encryption (HE) to perform recognition over encrypted feature vectors, hiding the features and their processing while releasing the outcome only. However, this comes at the cost of those solutions' efficiency due to the inefficiency of HE-based solutions with a large number of multiplications; for (dis-)similarity measures, this number is proportional to the vector's dimension. In this paper, we tackle the HE performance bottleneck by freeing the two common (dis-)similarity measures, the cosine similarity and the squared Euclidean distance, from multiplications. Assuming normalized feature vectors, our approach pre-computes and organizes those (dis-)similarity measures into lookup tables. This transforms their computation into simple table-lookups and summation only. We study quantization parameters for the values in the lookup tables and evaluate performances on both synthetic and facial feature vectors for which we achieve a recognition performance identical to the non-tabularized baseline systems. We then assess their efficiency under HE and record runtimes between 28.95ms and 59.35ms for the three security levels, demonstrating their enhanced speed.  © 2022 IEEE.</t>
  </si>
  <si>
    <t>R0984</t>
  </si>
  <si>
    <t>OPTIMAL CONTROL POINT-BASED DEEP KRONECKER MOBILE NETWORK FOR PRIVACY-PROTECTED DATA CLASSIFICATION IN HEALTHCARE</t>
  </si>
  <si>
    <t>Found in: Scopus · DOI: 10.4015/S1016237224500583</t>
  </si>
  <si>
    <t>The disease prediction system plays a vital role in the healthcare system. In order to lead a healthy life, disease prediction systems are essential as they help in the early prediction of risks in disease. Due to the enormous amount of patient data, the sharing of data becomes complex. Also, the sensitive nature of this information provides the way for security and privacy issues. Thus, protecting sensitive information in the healthcare system remains a major challenge. From this perspective, suitable security and protection measures are necessary for privacy-protected data classification. In this study, the Deep Kronecker Mobile Network (DKMN) for privacy-protected data classification is proposed, which combines the Deep Kronecker Network (DKN) with MobileNet. The DKMN is designed by merging the DKN with MobileNet. Firstly, the input healthcare data are considered and optimal control points are generated by the Chronological Drawer Algorithm (CDA). The CDA integrates chronological concepts with the DA. Following this, noise-Free Homomorphic Encryption (FHE) is applied using the Matrix Operation for Randomization and Encryption (MORE) algorithm. Subsequently, DKMN is employed for privacy-preserving data classification. Lastly, optimization of control points for effective privacy protection is conducted employing CDA. Furthermore, the DKMN obtained a higher accuracy of 91.7%, TNR of 92.9% and TPR of 90.8%.  © 2025 National Taiwan University.</t>
  </si>
  <si>
    <t>R0985</t>
  </si>
  <si>
    <t>Efficient and privacy-preserving online diagnosis scheme based on federated learning in e-healthcare system</t>
  </si>
  <si>
    <t>Shen, G.; Fu, Z.; Gui, Y.; Susilo, W.; Zhang, M.</t>
  </si>
  <si>
    <t>Found in: Scopus · DOI: 10.1016/j.ins.2023.119261</t>
  </si>
  <si>
    <t>Electronic healthcare (e-healthcare) system has brought great convenience for people to seek medical treatment. However, data security, user privacy and online diagnosis efficiency have also aroused widespread public concern. In this paper, we propose an efficient and privacy-preserving online diagnosis scheme for e-healthcare system based on federated learning mechanism (FLM). Specifically, we first transform the data owner's data sharing problem into machine learning problem through using FLM. By sharing calculated local model parameters instead of actual data, the privacy of training data sets can be well protected. Then, we use a homomorphic cryptosystem and the support vector machine (SVM) algorithm to classify patients' physiological data efficiently without leaking their privacy. Furthermore, we design a novel approach to recover decision function of SVM model, which can efficiently prevent model parameters from leaking. Security analysis shows that the proposed scheme can protect data privacy under the defined threat models. Numerical results derived from experiments show that the proposed scheme is highly efficient. Therefore, our scheme is of practical significance in the e-healthcare system. © 2023 Elsevier Inc.</t>
  </si>
  <si>
    <t>R0986</t>
  </si>
  <si>
    <t>Secure Convolution Neural Network Inference Based on Homomorphic Encryption</t>
  </si>
  <si>
    <t>Song, C.; Huang, R.</t>
  </si>
  <si>
    <t>Found in: Scopus · DOI: 10.3390/app13106117</t>
  </si>
  <si>
    <t>Today, the rapid development of deep learning has spread across all walks of life, and it can be seen in various fields such as image classification, automatic driving, and medical imaging diagnosis. Convolution Neural Networks (CNNs) are also widely used by the public as tools for deep learning. In real life, if local customers implement large-scale model inference first, they need to upload local data to the cloud, which will cause problems such as data leakage and privacy disclosure. To solve this problem, we propose a framework using homomorphic encryption technology. Our framework has made improvements to the batch operation and reduced the complexity of layer connection. In addition, we provide a new perspective to deal with the impact of the noise caused by the homomorphic encryption scheme on the accuracy during the inference. In our scheme, users preprocess the images locally and then send them to the cloud for encrypted inference without worrying about privacy leakage during the inference process. Experiments show that our proposed scheme is safe and efficient, which provides a safe solution for users who cannot process data locally. © 2023 by the authors.</t>
  </si>
  <si>
    <t>R0987</t>
  </si>
  <si>
    <t>Privacy-preserving Naive Bayes classifiers secure against the substitution-then-comparison attack</t>
  </si>
  <si>
    <t>Gao, C.-Z.; Cheng, Q.; He, P.; Susilo, W.; Li, J.</t>
  </si>
  <si>
    <t>Found in: Scopus · DOI: 10.1016/j.ins.2018.02.058</t>
  </si>
  <si>
    <t>Naive Bayes (NB) is a simple but highly practical classifier, with a wide range of applications including spam filters, cancer diagnosis and face recognition, to name a few examples only. Consider a situation where a user requests a classification service from a NB classifier server, both the user and the server do not want to reveal their private data to each other. This paper focuses on constructing a privacy-preserving NB classifier that is resistant to an easy-to-perform, but difficult-to-detect attack, which we call the substitution-then-comparison (STC) attack. Without resorting to fully homomorphic encryptions, which has a high computational overhead, we propose a scheme which avoids information leakage under the STC attack. Our key technique involves the use of a “double-blinding” technique, and we show how to combine it with additively homomorphic encryptions and oblivious transfer to hide both parties’ privacy. Furthermore, a completed evaluation shows that the construction is highly practical - most of the computations are in the server's offline phase, and the overhead of online computation and communication is small for both parties. © 2018 Elsevier Inc.</t>
  </si>
  <si>
    <t>R0988</t>
  </si>
  <si>
    <t>Enhanced multi-key privacy-preserving distributed deep learning protocol with application to diabetic retinopathy diagnosis</t>
  </si>
  <si>
    <t>Antwi-Boasiako, E.; Zhou, S.; Liao, Y.; Obiri, I.A.; Kuada, E.; Danso, E.K.; Acheampong, E.M.</t>
  </si>
  <si>
    <t>Found in: Scopus · DOI: 10.1002/cpe.8263</t>
  </si>
  <si>
    <t>In this work, privacy-preserving distributed deep learning (PPDDL) is re-visited with a specific application to diagnosing long-term illness like diabetic retinopathy. In order to protect the privacy of participants datasets, a multi-key PPDDL solution is proposed which is robust against collusion attacks and is also post-quantum robust. Additionally, the PPDDL solution provides robust network security in terms of integrity of transmitted ciphertexts and keys, forward secrecy, and prevention of man-in-the-middle attacks and is extensively verified using Verifpal. Proposed solution is evaluated on retina image datasets to detect diabetic retinopathy, with deep learning accuracy results of 96.30%, 96.21% and 96.20% for DDL, DDL + SINGLE and DDL + MULTI scenarios respectively. Results from our simulation indicate that accuracy of the PPDDL is maintained while protecting the privacy of the datasets of participants. Our proposed solution is also efficient in terms of the communication and run-time costs. © 2024 John Wiley &amp; Sons Ltd.</t>
  </si>
  <si>
    <t>R0989</t>
  </si>
  <si>
    <t>Maximizing Privacy in Federated Learning: Analysis of Effective Cryptographic Techniques</t>
  </si>
  <si>
    <t>Pamula, N.B.; Khan, A.K.; Sarkar, A.</t>
  </si>
  <si>
    <t>Found in: Scopus · DOI: 10.47857/irjms.2025.v06i03.03986</t>
  </si>
  <si>
    <t>Emerging as a distributed machine learning paradigm allowing many people to cooperatively train models without directly exchanging raw data is federated learning (FL). FL is nevertheless vulnerable to several attacks, including model inversion, gradient leaking, and adversarial inference, which might expose private information even this privacy-centric architecture. Adoption of FL depends on addressing privacy issues; this is especially true in industries like finance and healthcare where data security is critical. This work suggests a fast cryptographic method to improve FL's privacy preservation while preserving computational economy. To enable safe multi-party computation and stop illegal inference of private data, the proposed solution combines lightweight cryptographic primitives—including homomorphic encryption (HE) and differential privacy (DP)—as Differential privacy generates controlled noise to protect individual contributions; homomorphic encryption guarantees that model updates can be aggregated safely without decryption. By reasonably balancing privacy protection with model performance, our method lowers computational and communication overhead. Experimental analyses show that the suggested approach greatly improves data security without sacrificing the scalability or accuracy of the federated learning system. This work helps to advance safe FL deployments by striking a trade-off between privacy, efficiency, and usability, so making them more practical for real-world applications needing strict confidentiality, such medical diagnosis, financial transactions, and personalized recommendation systems. © 2025, Iquz Galaxy Publisher. All rights reserved.</t>
  </si>
  <si>
    <t>R0990</t>
  </si>
  <si>
    <t>Verifiable Privacy-Preserving Scheme Based on Vertical Federated Random Forest</t>
  </si>
  <si>
    <t>Hou, J.; Su, M.; Fu, A.; Yu, Y.</t>
  </si>
  <si>
    <t>Found in: Scopus; IEEE · DOI: 10.1109/JIOT.2021.3090951</t>
  </si>
  <si>
    <t>Presently, under the condition of privacy preserving, vertical federated learning (VFL) has played an important role in training the machine learning (ML) models in the application scenarios, such as medical prediction, fraud detection, in which the data is distributed vertically. Random forest (RF) is one of the most widely used ML methods in VFL, which has the advantages of strong predictive performance, availability, and the ability to parallel tasks. However, current research on privacy preserving of vertical federated RF is limited, and none of them can achieve the application level of security, that is, in a system where users are dynamically changing, not only privacy can be preserved, but also data integrity can be verified. Therefore, we propose a verifiable privacy-preserving scheme (VPRF) based on vertical federated RF, in which the users are dynamic change. First, we design homomorphic comparison and voting statistics algorithms based on multikey homomorphic encryption for privacy preservation. Then, we propose a multiclient delegated computing verification algorithm to make up for the disadvantage that the above algorithms cannot verify data integrity. Finally, we used the data sets in UCI ML warehouse to evaluate the proposed scheme. The experiment results indicate that our scheme is more efficient than the existing ones that can achieve the same security level.  © 2014 IEEE.</t>
  </si>
  <si>
    <t>R0991</t>
  </si>
  <si>
    <t>A Privacy-Preserving TF-IDF Neural Network Framework with Fully Homomorphic Encryption for Medical PII Text Analytics</t>
  </si>
  <si>
    <t>Ndolo, U.; El-Sayed, H.</t>
  </si>
  <si>
    <t>Found in: Scopus; IEEE · DOI: 10.1109/AIRC69745.2026.11631435</t>
  </si>
  <si>
    <t>Medical text data used in clinical operations and research often contain Personally Identifiable Information (PII), such as patient names, addresses, dates of birth, phone numbers, insurance, and medical record numbers. Artificial Intelligence techniques, such as machine learning and deep learning, are used to analyze text data containing PII, to identify patterns, and make informed decisions. However, most learning algorithms require access to plaintext during inference, which often exposes the data, making it vulnerable to security breaches. Fully Homomorphic Encryption (FHE) holds potential for secure data analysis; however, it is far from real-world implementation due to its computational intensity. This paper presents a novel framework that integrates TF-IDF with FHE to provide adequate protection of medical PII and privacy. The developed framework was applied to the Extreme Learning Machine (ELM) and Multilayer Perceptron (MLP) neural networks, showing the application of fully homomorphic encryption in neural networks. Four deep learning models were developed, and their performance was evaluated using metrics including accuracy, precision, sensitivity, f1-score, and inference time. Our results analysis shows MLP outperforms ELM across the observed metrics. This study aims to demonstrate the feasibility of FHE with deep learning models in medical text analytics.  © 2026 IEEE.</t>
  </si>
  <si>
    <t>R0992</t>
  </si>
  <si>
    <t>Privacy-Preserving Prototype-Based Federated Learning for Lung Cancer Forecasting</t>
  </si>
  <si>
    <t>Zhang, Q.; Yu, H.; Guo, Y.; Yao, C.; Gu, C.</t>
  </si>
  <si>
    <t>Found in: Scopus; IEEE · DOI: 10.1109/JIOT.2026.3680232</t>
  </si>
  <si>
    <t>Lung cancer remains a leading cause of death worldwide, and reliable subtype identification from computed tomography (CT) is hindered by limited per-subtype data, privacy regulations, and distribution shifts across hospitals. We propose a prototype-based personalized federated learning framework that classifies lung-cancer subtypes directly from lesion-centric CT volumes while preserving privacy. A 3D SEResNet backbone provides embeddings for a prototypical network; prototype similarity between institutions is computed to select the most compatible source model for a requesting site. To protect sensitive information, similarity is computed under Cheon–Kim–Kim–Song (CKKS) homomorphic encryption, and training employs differentially private SGD, yielding quantified privacy without sharing raw images or intermediate features. Using multi-institution CT cohorts from The Cancer Imaging Archive (TCIA), we conduct few-shot, 4-way meta-testing that reflects realistic inter-site heterogeneity. The proposed approach consistently improves over global aggregation baselines, remains robust under practical privacy budgets, and is particularly effective when moderate shots per class are available. These results on the TCIA collections demonstrate a viable path to secure, personalized, and data-efficient lung-cancer subtype prediction, enabling multi-center collaboration without compromising patient privacy. © 2014 IEEE.</t>
  </si>
  <si>
    <t>R0993</t>
  </si>
  <si>
    <t>Brain tumor segmentation based on homomorphic encryption</t>
  </si>
  <si>
    <t>Liu, H.; Li, P.</t>
  </si>
  <si>
    <t>Found in: Scopus · DOI: 10.1145/3644116.3644139</t>
  </si>
  <si>
    <t>At present, the incidence of cancer continues to rise and has become one of the most common causes of death. In order to improve the survival rate of cancer patients, machine learning and deep learning have been applied to the medical diagnosis process. However, in recent years, data leakage incidents have occurred frequently, some tumor images in medical diagnosis have been published on the Internet without the consent of patients. In order to protect the privacy of patients and improve the security of medical diagnosis, we introduce homomorphic encryption algorithm. In this paper, based on the nnUNet segmentation algorithm, we combine the fully homomorphic encryption method to propose the HEnnUNet scheme. In this scheme, some common data enhancement methods are utilized to process the training set images. Meanwhile, in order to increase the rate of extracting features of the prediction model in the encrypted domain, we design the computation method of the prediction model in the encrypted domain utilizing the characteristics of ciphertext. The convolution method of image data in the encrypted domain is improved, the structure of convolutional and sampling layers of image data in the encrypted domain is optimized. This paper applies BraTS2018 and BraTS2019 datasets to verify the effectiveness of our proposed method. The research we have performed suggests that our proposed method can effectively protect privacy data and prevent malicious attacks. Facts have proved that our segmentation performance is satisfying and can be applied as a reference for diagnosis and treatment.  © 2023 ACM.</t>
  </si>
  <si>
    <t>R0994</t>
  </si>
  <si>
    <t>NPNNL: A Non-interactive Privacy-preserving Neural Network Learning Scheme</t>
  </si>
  <si>
    <t>Lei, D.; Hu, C.; Dong, J.</t>
  </si>
  <si>
    <t>Found in: Scopus; IEEE · DOI: 10.1109/MetaCom57706.2023.00035</t>
  </si>
  <si>
    <t>Recently, the neural network has been widely employed to train predictive models in artificial intelligent applications, such as risk assessment, facial recognition, and disease diagnosis. Since the performance of neural network models is directly proportional to the amount of training data, collecting massive data is essential for training neural network models. However, collecting such amounts of data from different sources raises data security issues and thus may pose a major challenge to the development of neural networks. In this paper, by introducing two non-colluding servers, we design a non-interactive privacy-preserving neural network learning protocol, NPNNL. NPNNL enables two cloud servers cooperatively train neural network models and provide prediction services without the help of users. Additionally, NPNNL uses homomorphic encryption and data perturbation mechanism to protect the privacy of data and models, respectively. Extensive security analysis demonstrates that our scheme holds data privacy and model privacy. Finally, we evaluate the performance of our scheme on a real-world dataset. The experimental results show that the scheme is computationally and communicationally efficient. © 2023 IEEE.</t>
  </si>
  <si>
    <t>R0995</t>
  </si>
  <si>
    <t>Quantum-Resistant Secure Aggregation for Healthcare Federated Learning</t>
  </si>
  <si>
    <t>Liu, C.-H.; Wu, Z.-Y.</t>
  </si>
  <si>
    <t>Found in: Scopus · DOI: 10.32604/cmc.2026.075495</t>
  </si>
  <si>
    <t>Federated Learning (FL) enables collaborative medical model training without sharing sensitive patient data. However, existing FL systems face increasing security risks from post quantum adversaries and often incur non-negligible computational and communication overhead when encryption is applied. At the same time, training high performance AI models requires large volumes of high quality data, while medical data such as patient information, clinical records, and diagnostic reports are highly sensitive and subject to strict privacy regulations, including HIPAA and GDPR. Traditional centralized machine learning approaches therefore pose significant challenges for cross institutional collaboration in healthcare. To address these limitations, Federated Learning was introduced to allow multiple institutions to jointly train a global model while keeping local data private. Nevertheless, conventional cryptographic mechanisms, such as RSA, are increasingly inadequate for privacy sensitive FL deployments, particularly in the presence of emerging quantum computing threats. Homomorphic encryption, which enables computations to be performed directly on encrypted data, provides an effective solution for preserving data privacy in federated learning systems. This capability allows healthcare institutions to securely perform collaborative model training while remaining compliant with regulatory requirements. Among homomorphic encryption techniques, NTRU, a lattice based cryptographic scheme defined over polynomial rings, offers strong resistance against quantum attacks by relying on the hardness of the Shortest Vector Problem (SVP). Moreover, NTRU supports limited homomorphic operations that are sufficient for secure aggregation in federated learning. In this work, we propose an NTRU enhanced federated learning framework specifically designed for medical and healthcare applications. Experimental results demonstrate that the proposed approach achieves classification performance comparable to standard federated learning, with final accuracy consistently exceeding 0.93. The framework introduces predictable encryption latency on the order of hundreds of milliseconds per training round and a fixed ciphertext communication overhead per client under practical deployment settings. In addition, the proposed system effectively mitigates multiple security threats, including quantum computing attacks, by ensuring robust encryption throughout the training process. By integrating the security and homomorphic properties of NTRU, this study establishes a privacy preserving and quantum resistant federated learning framework that supports the secure, legal, and efficient deployment of AI technologies in healthcare, thereby laying a solid foundation for future intelligent healthcare systems. Copyright © 2026 The Authors. Published by Tech Science Press.</t>
  </si>
  <si>
    <t>R0996</t>
  </si>
  <si>
    <t>BatchCrypt: Efficient homomorphic encryption for cross-silo federated learning</t>
  </si>
  <si>
    <t>Zhang, C.; Li, S.; Xia, J.; Wang, W.; Yan, F.; Liu, Y.</t>
  </si>
  <si>
    <t>Cross-silo federated learning (FL) enables organizations (e.g., financial or medical) to collaboratively train a machine learning model by aggregating local gradient updates from each client without sharing privacy-sensitive data. To ensure no update is revealed during aggregation, industrial FL frameworks allow clients to mask local gradient updates using additively homomorphic encryption (HE). However, this results in significant cost in computation and communication. In our characterization, HE operations dominate the training time, while inflating the data transfer amount by two orders of magnitude. In this paper, we present BatchCrypt, a system solution for cross-silo FL that substantially reduces the encryption and communication overhead caused by HE. Instead of encrypting individual gradients with full precision, we encode a batch of quantized gradients into a long integer and encrypt it in one go. To allow gradient-wise aggregation to be performed on ciphertexts of the encoded batches, we develop new quantization and encoding schemes along with a novel gradient clipping technique. We implemented BatchCrypt as a plug-in module in FATE, an industrial cross-silo FL framework. Evaluations with EC2 clients in geo-distributed datacenters show that BatchCrypt achieves 23×-93× training speedup while reducing the communication overhead by 66×-101×. The accuracy loss due to quantization errors is less than 1%. Copyright © Proc. of the 2020 USENIX Annual Technical Conference, ATC 2020. All rights reserved.</t>
  </si>
  <si>
    <t>R0997</t>
  </si>
  <si>
    <t>Federated Learning Framework for Privacy-Preserving Brain Tumor Prediction Across Multi-Hospital Datasets</t>
  </si>
  <si>
    <t>Jasmine, S.; Pavithra, G.; Krishnamoorthy, P.; Raghavendran, N.; Shargunam, S.; Hugar, G.</t>
  </si>
  <si>
    <t>Found in: Scopus; IEEE · DOI: 10.1109/ICCTWC68241.2026.11583266</t>
  </si>
  <si>
    <t>The centralisation of sensitive patient data and the associated privacy and regulation issues are making rapid progress in medical imaging and Machine Learning for brain tumor detection complex. Federated Learning (FL) allows group of medical organizations to learn a global model without having to share the raw data. This research proposal is based on the application of privacy-oriented federated learning with brain tumor predictions through a framework. The proposed system incorporates secure aggregation, differential privacy and homomorphic encryption with a deep convolutional neural network for classifying a heterogeneous MRI dataset for tumour detection. In our experiments, the centralized models' accuracy of of the FL model is similar. Moreover, the model meets privacy regulations and laws including GDPR and HIPAA. The framework's communication protocol reduces bandwidth utilization by 38 % and increases convergence time by 22 %. According to the results, the privacy-preserving FL can scale securely and accurately in medical AI. © 2026 IEEE.</t>
  </si>
  <si>
    <t>R0998</t>
  </si>
  <si>
    <t>LMSA: A Lightweight Multi-Key Secure Aggregation Framework for Privacy-Preserving Healthcare AIoT</t>
  </si>
  <si>
    <t>Park, H.; Lee, J.</t>
  </si>
  <si>
    <t>Found in: Scopus · DOI: 10.32604/cmes.2025.061178</t>
  </si>
  <si>
    <t>Integrating Artificial Intelligence of Things (AIoT) in healthcare offers transformative potential for real-time diagnostics and collaborative learning but presents critical challenges, including privacy preservation, computational efficiency, and regulatory compliance. Traditional approaches, such as differential privacy, homomorphic encryption, and secure multi-party computation, often fail to balance performance and privacy, rendering them unsuitable for resource-constrained healthcare AIoT environments. This paper introduces LMSA (Lightweight Multi-Key Secure Aggregation), a novel framework designed to address these challenges and enable efficient, secure federated learning across distributed healthcare institutions. LMSA incorporates three key innovations: (1) a lightweight multi-key management system leveraging Diffie-Hellman key exchange and SHA3-256 hashing, achieving O(n) complexity with AES (Advanced Encryption Standard)-256-level security; (2) a privacy-preserving aggregation protocol employing hardware-accelerated AES-CTR (CounTeR) encryption and modular arithmetic for secure model weight combination; and (3) a resource-optimized implementation utilizing AES-NI (New Instructions) instructions and efficient memory management for real-time operations on constrained devices. Experimental evaluations using the National Institutes of Health (NIH) Chest X-ray dataset demonstrate LMSA’s ability to train multi-label thoracic disease prediction models with Vision Transformer (ViT), ResNet-50, and MobileNet architectures across distributed healthcare institutions. Memory usage analysis confirmed minimal overhead, with ViT (327.30 MB), ResNet-50 (89.87 MB), and MobileNet (8.63 MB) maintaining stable encryption times across communication rounds. LMSA ensures robust security through hardware acceleration, enabling real-time diagnostics without compromising patient confidentiality or regulatory compliance. Future research aims to optimize LMSA for ultra-low-power devices and validate its scalability in heterogeneous, real-world environments. LMSA represents a foundational advancement for privacy-conscious healthcare AI applications, bridging the gap between privacy and performance. Copyright © 2025 The Authors.</t>
  </si>
  <si>
    <t>R0999</t>
  </si>
  <si>
    <t>A Multi-layered Security Framework for Trustworthy Expert Systems: Experimental Validation in Healthcare, Business, and Education</t>
  </si>
  <si>
    <t>Chopra, A.B.; Singh, M.K.; Rani, K.S.; Devi, S.; Kumari, M.</t>
  </si>
  <si>
    <t>Found in: Scopus · DOI: 10.1007/978-3-032-20114-0_39</t>
  </si>
  <si>
    <t>Expert Systems (ES) have revolutionized decision-making in business, healthcare, and education, but their reliance on opaque AI models raises critical challenges in trust, privacy, and security. This work addresses these gaps by introducing a robust, multi-tiered framework that integrates Explainable AI (XAI), cryptographic safeguards, granular access controls, and compliance mechanisms. The current work empirically validates the proposed approach on three real-world benchmarks: MIMIC-III for clinical diagnostics, the Adult Income dataset for financial automation, and EdNet for adaptive learning systems. The analysis made in the paper reveals that adversarial attacks, biased outcomes, and data leakage risks can be mitigated effectively through hybrid XAI methods (SHAP and LIME) and privacy-aware techniques like federated learning and homomorphic encryption. Experimental results show a 30–45% reduction in susceptibility to attacks (like model evasion, membership inference) with less than 5% compromise in predictive performance. The framework not only enhances auditability but also aligns with GDPR, HIPAA, and FERPA standards, providing a deployable blueprint for ethical ES adoption in high-stakes environments. © The Author(s), under exclusive license to Springer Nature Switzerland AG 2026.</t>
  </si>
  <si>
    <t>R1000</t>
  </si>
  <si>
    <t>Linear SVM for classifying breast cancer data encrypted using homomorphic cryptosystem</t>
  </si>
  <si>
    <t>Sari, A.K.; Widya Prasetya, F.M.</t>
  </si>
  <si>
    <t>Found in: Scopus; IEEE · DOI: 10.1109/ICST47872.2019.9166454</t>
  </si>
  <si>
    <t>Support Vector Machine (SVM) is widely used for data classification in many fields, including in biomedical area. While data privacy is a requirement for patients' health records, most existing classification models that are based on SVM cannot be operated on encrypted data. With the increasing use of cloud system, the need to process encrypted data cannot be avoided, especially for data stored in cloud system. This paper proposes a classification model that is based on Linear SVM. The model works on data that is encrypted using Paillier homomorphic encryption. Modification on Linear SVM classifier must be conducted to suit the requirement. Based on the evaluation, the accuracy, precision and recall of the proposed model is as good as those in the model that is applied on un-encrypted data. In terms of processing time, the application of modified Linear SVM classifier on encrypted data does not increase the time complexity.  © 2019 IEEE.</t>
  </si>
  <si>
    <t>R1001</t>
  </si>
  <si>
    <t>Mapping Machine Learning-Driven Cybersecurity Solutions in Health Care: Scoping Literature Review</t>
  </si>
  <si>
    <t>Rajput K; Zuberi S; Elhajj M; Ochieng W; Darzi A; Ghafur S</t>
  </si>
  <si>
    <t>Found in: PubMed · DOI: 10.2196/93950 · PMID: 42507996</t>
  </si>
  <si>
    <t>BACKGROUND: Health care systems face escalating cyberattacks, including the UK Synnovis ransomware attack, which halted pathology services for 14 weeks; the Ascension Health breach affecting 5.6 million patients; and the Change Healthcare breach costing US $2.5 billion. Conventional cybersecurity measures in health care remain reactive and inadequate against evolving threats. Machine learning (ML) offers adaptive, predictive, real-time cyber defense; yet, there is limited clarity on how ML tools are applied across cybersecurity domains, their real-world effectiveness, and where gaps remain. OBJECTIVE: This study aims to map ML applications in health care cybersecurity against the National Institute of Standards and Technology Cybersecurity Framework version 2.0, summarize ML performance, and identify research gaps and implementation considerations. METHODS: A systematic search of Ovid MEDLINE, Embase, and Scopus was conducted on July 30, 2025, for studies between 2019 and 2025. Eligible studies applied ML-based approaches to organizational-level cybersecurity in health care settings, with outcomes related to data privacy or cybersecurity strengthening. Studies on smart devices, blockchain, or those lacking empirical data were excluded. Title and abstract and full-text screening were conducted independently by 2 (KR and SZ) reviewers following the Arksey and O'Malley framework and PRISMA-ScR (Preferred Reporting Items for Systematic Reviews and Meta-Analyses extension for Scoping Reviews) guidelines, with discrepancies resolved by consensus. Data were synthesized narratively and mapped against the 6 National Institute of Standards and Technology Cybersecurity Framework version 2.0 functions (Identify, Protect, Detect, Respond, Recover, and Govern). RESULTS: From 10,348 articles identified, 45 studies across 18 countries were included, applying 80 ML models. Most studies addressed "Protect" (n=22, 48.9%), encompassing federated learning, homomorphic encryption, and deidentification pipelines. "Detect" (n=13, 28.9%) covered intrusion detection and anomaly-based threat detection. "Identify" (n=8, 17.8%) addressed risk assessment and vulnerability prediction. Only 2 studies addressed "Respond," and none addressed "Recover" or "Govern." Classical ML, deep learning, and natural language processing predominated, with intrusion detection being the most common application (n=29). Despite strong controlled performance, only one study demonstrated real-world deployment; most rely on synthetic or outdated benchmark datasets and inconsistent reporting metrics. CONCLUSIONS: To our knowledge, this is the first scoping review to map ML-driven cybersecurity solutions against all six National Institute of Standards and Technology Cybersecurity Framework version 2.0 functions, offering a structured, policy-relevant evidence base. ML applications remain concentrated in preincident functions, with gaps in response, recovery, and governance. This highlights systematic blind spots and priorities for researchers and implementers. The evidence supports a phased implementation approach: beginning with detection systems, where evidence is most established and integration is most feasible, progressing to privacy-preserving architectures, for which the literature currently offers no guidance. Implementation requires sustained investment in infrastructure, representative datasets, explainable AI, and real-world validation. Limitations include language bias, methodological heterogeneity, and exclusion of medical devices and proprietary solutions.</t>
  </si>
  <si>
    <t>R1002</t>
  </si>
  <si>
    <t>FedDeepRiskNet++: a privacy-enhanced federated learning framework for secure and scalable medical IoT systems</t>
  </si>
  <si>
    <t>Aqeel, I.; Hassan, E.S.; Mostafa, N.; Alharbi, A.A.</t>
  </si>
  <si>
    <t>Found in: Scopus · DOI: 10.1007/s10586-026-06616-6</t>
  </si>
  <si>
    <t>The rapid growth of the Internet of Medical Things (IoMT) has enabled real-time patient monitoring and predictive healthcare analytics, but it has also introduced severe challenges related to data confidentiality, privacy leakage, and secure multi-institution collaboration. Conventional federated learning (FL) frameworks preserve data locality; however, they remain susceptible to gradient leakage, inference attacks, communication overhead, and client heterogeneity in distributed hospital environments. This paper proposes FedDeepRiskNet++, a privacy-enhanced FL framework for secure and scalable medical IoT systems. The proposed framework integrates four complementary modules: differential-privacy-based local perturbation, CKKS homomorphic-encryption-based secure aggregation, adaptive privacy-budget scheduling (APBS), and adaptive gradient sparsification with encryption-aware communication packaging. The APBS dynamically balances model utility, privacy preservation, and resource efficiency according to client reliability, energy status, and communication conditions. Extensive experiments using the PhysioNet 2023 and MIMIC-III datasets demonstrate that FedDeepRiskNet + + achieves 91.2% classification accuracy and 90.1% F1-score while maintaining a low privacy budget (). Compared with FedAvg, DP-FedAvg, PAHFL, Health-FedNet, and the original FedDeepRiskNet, the proposed framework reduces communication cost by approximately 23%, lowers cumulative communication overhead to 165 MB, and achieves faster convergence under heterogeneous non-IID hospital environments. Additional ablation analysis confirms that APBS significantly improves the privacy-utility trade-off compared with static privacy-budget allocation. The results demonstrate that strong privacy protection, communication efficiency, and high diagnostic reliability can coexist within large-scale federated healthcare systems, making FedDeepRiskNet + + a practical solution for next-generation medical IoT systems. © The Author(s), under exclusive licence to Springer Science+Business Media, LLC, part of Springer Nature 2026.</t>
  </si>
  <si>
    <t>R1003</t>
  </si>
  <si>
    <t>Privacy preserving federated learning Framework for IoT Intrusion Detection</t>
  </si>
  <si>
    <t>Vaka, H.; Sai, P.L.; Arjun, P.K.</t>
  </si>
  <si>
    <t>Found in: Scopus; IEEE · DOI: 10.1109/IC-AIDA68291.2026.11564414</t>
  </si>
  <si>
    <t>The rise of Internet of Things (IoT) devices has brought the possibility to be connected higher than ever before, and increased the attack surface of cyber threats. Conventional centralized intrusion detection system/ (IDS) is limited by: Scalability overcapacity Data privacy Flexibility to heterogeneous IoT. In order to realize secure and cooperative intrusion detection over IoTs, the paper shall presuppose a system of federated learning (FL) to maintain patient privacy. On the proposed system, there are a few IoT clients that will be trained on-device on local deep learning models, encrypted with CKKS scheme under TenSEAL library, and sent via a central server to be aggregated safely without exposing raw data. The framework provides a chance to simulate settings of multiple clients, aggregate and encrypt fields of study, and test it on benchmark IoT datasets. Categorizing traffic as a normal or an attack is performed by a lightweight feedforward neural network, but the interface based on Streamlit assists the preprocessing of the data, federated training control, and real-time prediction. The experimental tests confirm that aggregation of the models can be performed with minimal performance degradation, compared to non-encrypted FL. In this manner, the privacy requirements are fulfilled, the risks of data leak are mitigated and it is the main part of the next-generation solution of IoT security that can be equally scaled. © 2026 IEEE.</t>
  </si>
  <si>
    <t>R1004</t>
  </si>
  <si>
    <t>Research on Deep Learning Model for Cloud Data Security with Multi-layer Architecture Design</t>
  </si>
  <si>
    <t>Zhang, G.</t>
  </si>
  <si>
    <t>Found in: Scopus; IEEE · DOI: 10.1109/ICCASIT66611.2025.11348872</t>
  </si>
  <si>
    <t>The deep integration of cloud computing and deep learning has brought technological dividends to fields such as healthcare and finance. However, the placement of massive amounts of sensitive data in the cloud has triggered severe challenges in data security and privacy protection. To address core issues such as data privacy leakage, conflicts between encryption and computation, and the lack of cross-layer security protection, this paper proposes a Multi-Layer Secure Deep Learning model for cloud data (ML-SDL) with a multi-layer architecture design. This model constructs a multi-layer collaborative security architecture integrating the data layer, transmission layer, computing layer, model layer, and application layer. It incorporates cutting-edge privacy protection technologies such as efficient Format-Preserving Encryption, Proxy Re-Encryption, lattice-based homomorphic encryption, Partial Homomorphic Encryption, Secure Multi-Party Computation, Differential Privacy, and model watermarking, and designs efficient and secure distributed training/inference protocols. Experiments using the medical imaging dataset (COVIDx-CT) and the financial transaction dataset (IEEE-CIS Fraud Detection) verify the effectiveness of the ML-SDL architecture in resisting attacks such as gradient inversion and membership inference. While ensuring data security and privacy, it can maintain high model accuracy and computational efficiency, providing a feasible path for the secure implementation of deep learning applications in cloud environments. © 2025 IEEE.</t>
  </si>
  <si>
    <t>R1005</t>
  </si>
  <si>
    <t>An Efficient Convolution Core Architecture for Privacy-Preserving Deep Learning</t>
  </si>
  <si>
    <t>Wang, Y.; Lin, J.; Wang, Z.</t>
  </si>
  <si>
    <t>Found in: Scopus; IEEE · DOI: 10.1109/ISCAS.2018.8350963</t>
  </si>
  <si>
    <t>Cloud service for deep learning (DL) has been widely used except for applications involving medical, financial, or other sensitive data due to privacy and security requirements. By employing homomorphic encryption, trained deep convolutional neural networks (CNNs) can be converted to CryptoNets, which is suitable for privacy-preserving DL cloud service. However, the high computation complexity of CryptoNets leads to tremendous implementation challenge. In this paper, to the best of our knowledge, efficient hardware acceleration of CryptoNets is discussed for the first time in open literature. In more detail, without compromise of security and inference accuracy, encryption parameters and modular multiplication algorithm are carefully selected to reduce the computation complexity of polynomial multiplication. Besides, based on the negative wrapped convolution and fast finite impulse filter schemes, an efficient algorithm for convolutions in CryptoNets is developed. Moreover, a dedicated low complexity convolution core architecture for CryptoNets is proposed and implemented with a 90nm CMOS technology. Compared to a well optimized CPU implementation of CryptoNets, this architecture is 11.9× faster while consuming a power of only 537mW. © 2018 IEEE.</t>
  </si>
  <si>
    <t>R1006</t>
  </si>
  <si>
    <t>FaaS and Furious: Accelerating Privacy-Preserving ML with Function as a Service at the Edge</t>
  </si>
  <si>
    <t>Tusa, F.; Michalas, A.; Bowden, J.; Kiss, T.</t>
  </si>
  <si>
    <t>Found in: Scopus; IEEE · DOI: 10.1109/ICCCN65249.2025.11133960</t>
  </si>
  <si>
    <t>The demand for Privacy-Preserving Machine Learning (PPML) is growing, facing challenges in privacy balance, computational efficiency, and real-world feasibility, as traditional cloud approaches often suffer from high latency and resource limitations. Our paper introduces an innovative approach leveraging Function as a Service (FaaS) and edge computing to address these issues, significantly accelerating encrypted ML inference with strong privacy guarantees. Using Hybrid Homomorphic Encryption (HHE) and a distributed serverless architecture, we build a scalable solution that limits computational overhead and maximises resource utilisation. Offloading compute-intensive ML inference tasks to stateless functions, allocated on-demand at the edge, enables parallel processing, minimising latency and improving execution time. Evaluations on real-world medical datasets show substantial improvements over conventional methods, demonstrating feasible low-latency, high-efficiency PPML in distributed environments. Our findings highlight the potential of edge-driven FaaS architectures to bridge security and speed, paving the way for practical, real-time, privacy-preserving AI. © 2025 IEEE.</t>
  </si>
  <si>
    <t>R1007</t>
  </si>
  <si>
    <t>Genchain: A Blockchain Based Genetic Disease Prediction System</t>
  </si>
  <si>
    <t>Simitcioğlu, M.E.; Kalkan, K.</t>
  </si>
  <si>
    <t>Found in: Scopus · DOI: 10.1109/BCCA62388.2024.10844437</t>
  </si>
  <si>
    <t>Genetic testing can be used to learn about the genetic disorders a person may have based on their family history; however, they are overpriced and out of reach for many. We propose Genchain, which is a secure, private consortium blockchain system that calculates the probability of genetic diseases. Our system stores the information of the genetic diseases a user and their family have in a blockchain, and when requested, calculates the possible genetic disease percentages. The solution involves sending genetic disease data from all hospitals registered in the private system to Genchain, along with the family numbers of the patients taken from a trusted authority. Genchain uses the Paillier cryptosystem, a probabilistic asymmetric method for public key cryptography, which has the property of homomorphism, which we will use in our encryption scheme to protect the confidentiality and privacy of the system. © 2024 IEEE.</t>
  </si>
  <si>
    <t>R1008</t>
  </si>
  <si>
    <t>A Privacy-Preserving Classification Framework for Multi-Class Imbalanced Data Using Geometric Oversampling and Homomorphic Encryption</t>
  </si>
  <si>
    <t>Lu, S.; Ye, J.; An, F.; Zhang, Z.</t>
  </si>
  <si>
    <t>Found in: Scopus · DOI: 10.3390/app16031283</t>
  </si>
  <si>
    <t>Data classification tasks based on deep neural networks and machine learning are increasingly used in different fields, such as medicine, finance, and data circulation. However, in these applications, the accuracy of predictions must be guaranteed, and the privacy and security of prediction data and models must be guaranteed. In an unsafe cloud environment, cloud users are reluctant to use the classification prediction tasks provided by the cloud. To solve these problems, this paper researches the data oversampling method and proposes the G-MSMOTE method, which can solve the oversampling problem of multiple minority classes in the data set, generate more diverse data, and solve the data imbalance problem. By improving the traditional FV and using CRT technology to improve coding efficiency, the cloud receives the user’s encrypted ciphertext, and the neural network completes the data prediction task in the ciphertext, thereby providing confidentiality for user data and model parameters under the semi-honest adversarial model, assuming the security of the underlying fully homomorphic encryption scheme and accepting the leakage of model architecture and ciphertext sizes. The feasibility of our method was demonstrated through experimental comparative analysis. We created unbalanced cases based on the MNIST dataset and performed comparative analysis in plain and ciphertext. In the balanced dataset, the model’s prediction accuracy in ciphertext reached 93.44%. In the unbalanced case, after preprocessing with our improved G-MSMOTE algorithm, the model’s prediction accuracy in ciphertext increased by at least 10%. These results show that our scheme can efficiently, accurately, and securely (under the semi-honest model) complete the data classification prediction task. © 2026 by the authors.</t>
  </si>
  <si>
    <t>R1009</t>
  </si>
  <si>
    <t>Privacy-Balanced Protection Methodology for Vehicle Health Monitoring Under the Federated Learning Framework</t>
  </si>
  <si>
    <t>Zou, H.; Mi, B.</t>
  </si>
  <si>
    <t>Found in: Scopus · DOI: 10.1007/978-981-96-0151-6_11</t>
  </si>
  <si>
    <t>In the past few years, with the increasing popularity of new energy vehicles, the social concern for vehicle health monitoring has also been growing. Traditionally, vehicle health monitoring mainly relies on manual inspections and regular maintenance, which are inefficient and costly. With the rapid development of the Internet of Vehicles (IoV), vehicle health monitoring has become more common and feasible in internet-connected vehicles. In this trend, this paper proposes a Federated Learning-based vehicle health monitoring scheme, which is applied to connected vehicles in the IoV. To protect the privacy rights of vehicle owners, we propose the Federated Vehicle Model Training algorithm (FedVmt) in this scheme, which trains and aggregates models locally rather than on a central server. During the training process, the central server is responsible for distributing encrypted public keys and decrypting encrypted data, ensuring the security of the data. At the same time, we also use homomorphic encryption technology to further ensure the security of the data. Homomorphic encryption technology allows for computational operations to be performed in an encrypted state without the need to decrypt the data, effectively preventing potential risks during data transmission and processing. © The Author(s), under exclusive license to Springer Nature Singapore Pte Ltd. 2024.</t>
  </si>
  <si>
    <t>R1010</t>
  </si>
  <si>
    <t>Edge-AI integrated secure wireless IoT architecture for real time healthcare monitoring and federated anomaly detection</t>
  </si>
  <si>
    <t>Prabha, M.; Nandhini, S.; Dayanidhy, M.; Pradeep, R.</t>
  </si>
  <si>
    <t>Found in: Scopus; PubMed · DOI: 10.1038/s41598-025-30150-x · PMID: 41408088</t>
  </si>
  <si>
    <t>The rapid digitalization of healthcare demands intelligent, low-latency, and privacy-preserving systems capable of operating at the network edge. This study introduces a unified Edge-AI framework that seamlessly combines dual wireless connectivity (LoRaWAN + 5G), federated learning (FL), Proof-of-Authority (PoA) block chain, and homomorphic encryption (HE) to achieve secure real-time anomaly detection in patient monitoring. A quantized CNN–LSTM model was deployed on NVIDIA Jetson Nano devices and trained using a synthetic dataset statistically modelled from the MIT-BIH Arrhythmia Database, capturing vital signals such as heart rate, temperature, and oxygen saturation. The integrated system attained 91.9% accuracy and 90.8% F1-score, with only an 8.7% latency overhead attributed to HE operations. A paired two-tailed t-test (p &lt; 0.01) confirmed that these gains are both statistically and clinically significant, indicating reliable diagnostic performance under constrained conditions. Beyond performance, the proposed framework ensures end-to-end data confidentiality, tamper-proof auditability, and energy-efficient edge inference, offering a scalable pathway toward trustworthy, next-generation smart-healthcare ecosystems. © The Author(s) 2025.</t>
  </si>
  <si>
    <t>R1011</t>
  </si>
  <si>
    <t>FedBrain: A robust multi-site brain network analysis framework based on federated learning for brain disease diagnosis</t>
  </si>
  <si>
    <t>Zhang, C.; Meng, X.; Liu, Q.; Wu, S.; Wang, L.; Ning, H.</t>
  </si>
  <si>
    <t>Found in: Scopus · DOI: 10.1016/j.neucom.2023.126791</t>
  </si>
  <si>
    <t>In recent years, deep learning models have shown their advantages in neuroimage analysis, such as brain disease diagnosis. Unfortunately, it is usually difficult to acquire numerous brain networks at a single centralized site to effectively train a high-quality deep learning model. To address this issue, federated learning (FL) has gained popularity in brain disease diagnosis, which allows deep learning models to be trained without centralizing data. However, most FL-based works might still face two following challenges. Firstly, the high-dimensional features of brain networks are often far larger than sample size, which might lead to poor performance due to the curse of dimensionality. Secondly, differences in data distributions across different sites can impact the communication efficiency and performance of FL models. To overcome these challenges, we design a novel FL framework for diagnosing brain disorders, named FedBrain. Firstly, FedBrain proposes data augmentation based on L1 regularization to select significant features shared by all clients. The domain alignment loss based on the maximum mean discrepancy criterion is introduced to minimize differences in the marginal and conditional distributions between local clients. Furthermore, FedBrain proposes a personalized predictor based on mixture of experts to adapt to different clients, using a global and private predictor as two experts. Eventually, FedBrain integrates the above modules with differential privacy and homomorphic encryption into a unified FL framework. Experimental results on the Autism Brain Imaging Data Exchange (ABIDE) dataset demonstrate its effectiveness and robustness, which shows that FedBrain can reduce the communication burden of FL and achieve the highest average accuracy of 79% against other counterparts. © 2023 Elsevier B.V.</t>
  </si>
  <si>
    <t>R1012</t>
  </si>
  <si>
    <t>Secure Federated Deep Learning for Breast Cancer Detection: Enhancing Privacy with Obfuscation and Multi-Modal Intelligence</t>
  </si>
  <si>
    <t>Gowda, S.B.; Usha, K.</t>
  </si>
  <si>
    <t>Found in: Scopus; IEEE · DOI: 10.1109/IITCEE67948.2026.11394239</t>
  </si>
  <si>
    <t>Among women’s health disorders, breast cancer ranks as one of the most prevalent and life-threatening diseases. However, privacy regulations and distributed clinical data restrict the use of centralized deep learning systems. A Secure Federated Deep Convolutional Neural Network (FDCNN) is developed in this research to facilitate breast cancer detection among different medical centers without compromising patient confidentiality. The proposed system integrates Differential Privacy (DP), Homomorphic Encryption (HE), and feature-space obfuscation to ensure secure parameter transmission and resistance against inference attacks. The architecture leverages multi-modal medical imaging—including mammography, histopathology, and ultrasound—to improve diagnostic generalization. Experimental evaluations on benchmark datasets under simulated federated conditions demonstrate a classification accuracy of 93.7% and an AUC of 94.9%, closely approximating centralized learning performance while reducing privacy leakage risk by 70%. The results validate that the proposed privacy-enhanced FDCNN achieves high diagnostic efficacy with strong data confidentiality, establishing its potential for deployment in HIPAA- and GDPR-compliant healthcare environments. ©2026 IEEE.</t>
  </si>
  <si>
    <t>R1013</t>
  </si>
  <si>
    <t>Secret learning for lung cancer diagnosis—a study with homomorphic encryption, texture analysis and deep learning</t>
  </si>
  <si>
    <t>Adhikary, S.; Dutta, S.; Dwivedi, A.D.</t>
  </si>
  <si>
    <t>Found in: Scopus; PubMed · DOI: 10.1088/2057-1976/ad0b4b · PMID: 37944251</t>
  </si>
  <si>
    <t>Advanced lung cancer diagnoses from radiographic images include automated detection of lung cancer from CT-Scan images of the lungs. Deep learning is a popular method for decision making which can be used to classify cancerous and non-cancerous lungs from CT-Scan images. There are many experiments which show the uses of deep learning for performing such classifications but very few of them have preserved the privacy of users. Among existing methods, federated learning limits data sharing to a central server and differential privacy although increases anonymity the original data is still shared. Homomorphic encryption can resolve the limitations of both of these. Homomorphic encryption is a cryptographic technique that allows computations to be performed on encrypted data. In our experiment, we have proposed a series of textural information extraction with the implementation of homomorphic encryption of the CT-Scan images of normal, adenocarcinoma, large cell carcinoma and squamous cell carcinoma. We have further processed the encrypted data to make it classifiable and later we have classified it with deep learning. The results from the experiments have obtained a classification accuracy of 0.9347. © 2023 © 2022 IOP Publishing Ltd.</t>
  </si>
  <si>
    <t>R1014</t>
  </si>
  <si>
    <t>Secure Feature Selection for Vertical Federated Learning in eHealth Systems</t>
  </si>
  <si>
    <t>Zhang, R.; Li, H.; Hao, M.; Chen, H.; Zhang, Y.</t>
  </si>
  <si>
    <t>Found in: Scopus; IEEE · DOI: 10.1109/ICC45855.2022.9838917</t>
  </si>
  <si>
    <t>Privacy-preserving vertical federated learning (VFL) has been widely applied in electronic health (eHealth) systems. However, existing VFL schemes rarely consider the data pre-processing step including feature selection, which will lead to poor convergence rate and even damaging the model utility. In this paper, we propose an efficient and privacy-preserving feature selection scheme for VFL. Specifically, we first propose a general Gini-impurity based feature selection framework, which is compatible with most existing machine learning models in VFL. With the framework, we present two concrete protocols (dubbed πSS-FS and πH-FS, respectively) customized for different eHealth scenarios. πSS-FS exploits a lightweight additive secret sharing technique, such that it can be executed in comparable time as the evaluation of the plaintext scheme. πH-FS is a hybrid feature selection protocol that additionally utilizes a linear homomorphic encryption technique, to reduce the communication overhead at the cost of a moderate runtime. Moreover, extensive evaluations conducted on real-world medical datasets demonstrate that our scheme realizes up to 27% accuracy gains. © 2022 IEEE.</t>
  </si>
  <si>
    <t>R1015</t>
  </si>
  <si>
    <t>Emerging Technologies for Cybersecurity in Healthcare: Evaluating Risks and Implementing Standards</t>
  </si>
  <si>
    <t>Jain, S.; Ashok, P.; Prabhu, S.</t>
  </si>
  <si>
    <t>Found in: Scopus; IEEE · DOI: 10.1109/CYBERCOM63683.2024.10803219</t>
  </si>
  <si>
    <t>Emerging technologies in healthcare cybersecurity focus on addressing evolving threats to patient data and critical systems. AI and machine learning algorithms are being deployed for real-Time threat detection and anomaly identification. Blockchain technology is utilized for secure, tamper-proof health record management. Zero-Trust architectures are implemented to enhance access control and minimize breach impacts. Key challenges include securing IoT medical devices, protecting against ransomware attacks, and ensuring HIPAA compliance in cloud environments. Risk evaluation involves continuous vulnerability assessments and penetration testing. Implementation of standards like NIST Cybersecurity Framework and ISO 27001 is crucial. Advanced encryption methods, including homomorphic encryption, are being explored for secure data sharing. Biometric authentication and behavioral analytics are enhancing identity management. The integration of these technologies aims to create a robust, adaptive cybersecurity ecosystem in healthcare. This research paper proposes a framework that talks about the new emerging technologies and various aspects of cybersecurity and what responses can be proposed to avoid the attacks that have taken place in the healthcare sector till now. This is a qualitative study involving content analysis gathered from the transcript of the interview of industry experts. Experts from IoMT (Internet-of-medical-Things), EHR (Electronic health records), Blockchain, Cloud computing and cyber-Attack data analyst. The framework was corroborated by a few of industry experts.  © 2024 IEEE.</t>
  </si>
  <si>
    <t>R1016</t>
  </si>
  <si>
    <t>DCMHTS: a deep clustering model for healthcare based on trigger service</t>
  </si>
  <si>
    <t>Benkou, S.; Asimi, A.</t>
  </si>
  <si>
    <t>Found in: Scopus · DOI: 10.1007/s13721-025-00613-2</t>
  </si>
  <si>
    <t>Digital health enables the development of optimal solutions for obtaining a correct diagnosis and treatment of diseases based on the medical data of the patient. One of the most important issues in this process is to be able to group patients dynamically by their symptoms in order to provide better and more relevant treatments. The new clustering architecture introduced in this paper, DCMHTS (Deep Clustering Model for Healthcare Triggered Systems), is a novel combination of the classification based on triggers and enhancements of feature extraction via some deep technics used for anomaly and health conditions detection. Differentiating from conventional clustering methods (e.g., K-Means and DBSCAN), which utilize static distance-based grouping to classify patients, DCMHTS uses adaptive triggers to dynamically classify patients according to symptom patterns. This model contains two main parts: (1) Detection of Anomaly Disease (DAD) which uses triggers to flag patients with symptom-based positive anomalies, and (2) Clustering Anomaly Disease (CAD) where the patients are assigned to the optimized clusters. Compared to other machine learning methods, our method has outperformed in terms of clustering accuracy and anomaly detection accuracy, while also showing great efficiency on a number of healthcare datasets as well as the Symptoms-to-Disease 7K dataset. DCMHTS, which combines trigger-based classification and deep clustering, helps provide a scalable, real-time, and resource-efficient framework for intelligent healthcare systems, indicating a step towards establishing more efficient disease detection and patient control. © The Author(s), under exclusive licence to Springer-Verlag GmbH Austria, part of Springer Nature 2025.</t>
  </si>
  <si>
    <t>R1017</t>
  </si>
  <si>
    <t>A secure data fitting scheme based on CKKS homomorphic encryption for medical IoT</t>
  </si>
  <si>
    <t>Su, Y.; Wang, X.A.; Du, W.; Ge, Y.; Zhao, K.; Lv, M.</t>
  </si>
  <si>
    <t>Found in: Scopus · DOI: 10.3233/JHS-222016</t>
  </si>
  <si>
    <t>With the development of big data technology, medical data has become increasingly important. It not only contains personal privacy information, but also involves medical security issues. This paper proposes a secure data fitting scheme based on CKKS (Cheon-Kim-Kim-Song) homomorphic encryption algorithm for medical IoT. The scheme encrypts the KGGLE-HDP (Heart Disease Prediction) dataset through CKKS homomorphic encryption, calculates the data's weight and deviation. By using the gradient descent method, it calculates the weight and bias of the data. The experimental results show that under the KAGGLE-HDP dataset,we select the threshold value is 0.7 and the parameter setting is (Poly_modulus_degree, Coeff_mod_bit_sizes, Scale) = (16384; 43, 23, 23, 23, 23, 23, 23, 23, 23, 23, 23, 23, 43; 23), the number of iteration is 3 and the recognition accuracy of this scheme can achieve 96.7%. The scheme shows that it has a high recognition accuracy and better privacy protection than other data fitting schemes.  © 2023 - IOS Press. All rights reserved.</t>
  </si>
  <si>
    <t>R1018</t>
  </si>
  <si>
    <t>A privacy-preserving classifier in statistic pattern recognition</t>
  </si>
  <si>
    <t>Wang, Q.; Zhou, D.; Guan, Q.; Li, Y.; Yang, J.</t>
  </si>
  <si>
    <t>Found in: Scopus · DOI: 10.1007/978-3-030-00009-7_45</t>
  </si>
  <si>
    <t>Machine learning classification and pattern recognition are widely used in various scenarios nowadays, such as medical diagnosis and face recognition, both need to estimate the similarity measure between different samples. In such applications, it is critical to protect the privacy of both the private input data and the machine learning model. In this paper, we propose a privacy-preserving Mahalanobis distance scheme for the statistic pattern recognition, and construct a protocol for the privacy-preserving prediction phase by using the labeled-homomorphic encryption scheme, which combines linearly homomorphic encryption and pseudo-random function. And we consider an outsouring scenario, which most work to be outsourced to the cloud server. Our design goal is to ensure that the client’s private data is permanently confidential and protect the secret model in cloud server. Most of the previous work proposed complex schemes with too many interactions between the clients and cloud server, and we propose an efficient scheme to minimal the complexity of the client side. © Springer Nature Switzerland AG 2018.</t>
  </si>
  <si>
    <t>R1019</t>
  </si>
  <si>
    <t>Privacy preservation in diabetic disease prediction using federated learning based on efficient cross stage recurrent model</t>
  </si>
  <si>
    <t>Jayalakshmi, R.; Tamilvizhi, T.</t>
  </si>
  <si>
    <t>Found in: Scopus; PubMed · DOI: 10.1038/s41598-025-21229-6 · PMID: 41136513</t>
  </si>
  <si>
    <t>Diabetic retinopathy (DR) is a major problemfor the diabetes patients that makes a serious threat to vision and causes the irreversible blindness if not diagnosed and treated early. Conventional deep learning-based approaches designed for DR detection have demonstrated promising results; still, the requirement of centralized data aggregation makes privacy and security concerns for sharing the healthcare data. Thus, for providing the privacy preservation federated learning (FL) based methods were designed; still, the computation overhead and inaccurate detection of disease limits the performance. Hence, this research introduces a privacy-preserving framework named federated learning based diabetic retinopathy detection network (FedDRNet) model. The proposed FedDRNet model includes efficient cross stage recurrent network (ECSRNet) for training the local and server model that combines the strengths of ShuffleNet, CSPNet, and GRU to achieve high accuracy and computational efficiency. Besides, to strengthen the privacy, Homomorphic Encryption is applied prior to the update sharing for obtaining secure communication between clients and the central server. Also, improved K-means clustering (IKMC) based user selection enhances the communication efficiency by reducing the communication rounds. The analysis of FedDRNet by implementing in PYTHON programming tool based on Accuracy, Precision, Recall, F-Score, and Specificity acquired the values of 98.6, 98.8, 98.3, 98.6, and 98.1% respectively. © The Author(s) 2025.</t>
  </si>
  <si>
    <t>R1020</t>
  </si>
  <si>
    <t>A Survey on AI-Enabled Anomaly Detection with Privacy Preservation in Wireless Sensor Healthcare IoT Environment</t>
  </si>
  <si>
    <t>Thenmozhi, P.; Ramathilagam, A.</t>
  </si>
  <si>
    <t>Found in: Scopus; IEEE · DOI: 10.1109/ROMA66616.2025.11155405</t>
  </si>
  <si>
    <t>The rapid integration of Wireless Sensor Networks (WSNs) and Internet of Things (IoT) in healthcare has enabled intelligent patient monitoring and real-time analytics. However, the handling of sensitive medical data raises significant challenges in privacy, security, and anomaly detection. Recent works have focused on using Artificial Intelligence (AI), particularly deep learning, to detect anomalies such as cyber intrusions, physiological irregularities, and device failures. Privacy-preserving mechanisms such as federated learning, differential privacy, and homomorphic encryption are widely adopted to safeguard data confidentiality during processing. Hybrid AI models - such as Deep Q-Learning, SCNN-BiLSTM, and quantum-enhanced deep learning - offer high detection accuracy with minimal data leakage. Additionally, lightweight deep learning frameworks, blockchain-based data security, and fusion-based threat detection have been shown to improve anomaly detection performance in distributed healthcare environments. These advances support real-time, secure, and scalable decision-making in IoMT and body area networks. This paper surveys these developments, comparing performance, privacy guarantees, and computational overhead. The synthesis aims to guide future research in building robust, privacy-aware AI-driven healthcare systems. © 2025 IEEE.</t>
  </si>
  <si>
    <t>R1021</t>
  </si>
  <si>
    <t>Privacy-Preserving k-means Clustering: an Application to Driving Style Recognition</t>
  </si>
  <si>
    <t>Omri, O.E.; Boudguiga, A.; Izabachene, M.; Klaudel, W.</t>
  </si>
  <si>
    <t>Found in: Scopus · DOI: 10.1007/978-3-030-36938-5_43</t>
  </si>
  <si>
    <t>With the advent of connected vehicles, drivers will communicate personal information describing their driving style to their vehicles manufacturers, stakeholders or insurers. These information will serve to evaluate remotely vehicle state via an e-diagnostics service, to provide over-the-air update of vehicles controllers and to offer new third parties services targeting profiled drivers. An inherent problem to all the previous services is privacy. Indeed, the providers of these services will need access to sensitive data in order to propose in return an adequate service. In this paper, we propose a privacy-preserving k-means clustering for drivers subscribed to the pay how you drive service, where vehicles insurance fees are adjusted according to driving behavior. Our proposal relies on secure multi-party computation and additive homomorphic encryption schemes to ensure the confidentiality of drivers data during clustering and classification. © 2019, Springer Nature Switzerland AG.</t>
  </si>
  <si>
    <t>R1022</t>
  </si>
  <si>
    <t>Adaptive Autonomous Protocol for Secured Remote Healthcare Using Fully Homomorphic Encryption (AutoPro-RHC)</t>
  </si>
  <si>
    <t>Sheu, R.-K.; Lin, Y.-C.; Pardeshi, M.S.; Huang, C.-Y.; Pai, K.-C.; Chen, L.-C.; Huang, C.-C.</t>
  </si>
  <si>
    <t>Found in: Scopus; PubMed · DOI: 10.3390/s23208504 · PMID: 37896596</t>
  </si>
  <si>
    <t>The outreach of healthcare services is a challenge to remote areas with affected populations. Fortunately, remote health monitoring (RHM) has improved the hospital service quality and has proved its sustainable growth. However, the absence of security may breach the health insurance portability and accountability act (HIPAA), which has an exclusive set of rules for the privacy of medical data. Therefore, the goal of this work is to design and implement the adaptive Autonomous Protocol (AutoPro) on the patient's remote healthcare (RHC) monitoring data for the hospital using fully homomorphic encryption (FHE). The aim is to perform adaptive autonomous FHE computations on recent RHM data for providing health status reporting and maintaining the confidentiality of every patient. The autonomous protocol works independently within the group of prime hospital servers without the dependency on the third-party system. The adaptiveness of the protocol modes is based on the patient's affected level of slight, medium, and severe cases. Related applications are given as glucose monitoring for diabetes, digital blood pressure for stroke, pulse oximeter for COVID-19, electrocardiogram (ECG) for cardiac arrest, etc. The design for this work consists of an autonomous protocol, hospital servers combining multiple prime/local hospitals, and an algorithm based on fast fully homomorphic encryption over the torus (TFHE) library with a ring-variant by the Gentry, Sahai, and Waters (GSW) scheme. The concrete-ML model used within this work is trained using an open heart disease dataset from the UCI machine learning repository. Preprocessing is performed to recover the lost and incomplete data in the dataset. The concrete-ML model is evaluated both on the workstation and cloud server. Also, the FHE protocol is implemented on the AWS cloud network with performance details. The advantages entail providing confidentiality to the patient's data/report while saving the travel and waiting time for the hospital services. The patient's data will be completely confidential and can receive emergency services immediately. The FHE results show that the highest accuracy is achieved by support vector classification (SVC) of 88% and linear regression (LR) of 86% with the area under curve (AUC) of 91% and 90%, respectively. Ultimately, the FHE-based protocol presents a novel system that is successfully demonstrated on the cloud network.</t>
  </si>
  <si>
    <t>R1023</t>
  </si>
  <si>
    <t>Edge-to-Cloud Continual Learning for Privacy-Preserving Chronic Disease Management</t>
  </si>
  <si>
    <t>Babu, D.S.; Vidyasagar, V.; Saritha, B.; Parati, N.; Chippada, N.; Dhanasree, V.; Channapragada, C.S.C.</t>
  </si>
  <si>
    <t>Found in: Scopus · DOI: 10.56979/1002/2026/1194</t>
  </si>
  <si>
    <t>Chronic disease management requires continuous monitoring and adaptive treatment strategies, yet traditional healthcare systems suffer from fragmented data collection and reactive interventions. This study presents an edge-to-cloud continual learning architecture that integrates wearable biosensor networks, longitudinal patient data, and privacy-preserving machine learning to enable personalized treatment recommendations. The system employs a three-tier computational model: edge devices perform low-latency real-time signal processing (135 ms), cloud servers provide secure storage and federated model aggregation, and continual learning algorithms adapt treatment plans as patient conditions evolve. The architecture implements iCaRL-based incremental learning with K=500 exemplar replay, combined with differential privacy (ε=2.1) and Paillier homomorphic encryption to protect patient confidentiality during model updates. A prospective clinical validation study enrolled N=132 patients (diabetes n=77, cardiac n=30, respiratory n=25) across three urban clinics over 12 weeks. The edge-to-cloud system achieved 92.6% treatment recommendation accuracy (95% CI: 90.1-95.1%), representing a 6% improvement over cloud-only baseline (86.8%) and 17.6% improvement over static models (75.0%). The hybrid architecture reduced end-to-end latency by 65.3% compared to cloud-only processing (255 ms vs. 735 ms), meeting the &lt;2-second requirement for acute clinical alerts. Privacy evaluation demonstrated membership inference attack AUC of 0.50 (indicating formal privacy safety, threshold ≤0.55) while maintaining clinical accuracy. Backward transfer analysis showed 98.1% retention of prior knowledge after 100 learning rounds, with only 0.2% degradation, demonstrating effective mitigation of catastrophic forgetting. These results establish the feasibility of privacy-preserving, adaptive chronic disease management systems that combine edge intelligence with cloud-based population learning while maintaining patient confidentiality and clinical effectiveness. © 2026, Research Center of Computing and Biomedical Informatics. All rights reserved.</t>
  </si>
  <si>
    <t>R1024</t>
  </si>
  <si>
    <t>Molecular epidemiology and whole-genome analysis of bovine foamy virus in japan</t>
  </si>
  <si>
    <t>Mekata, H.; Okagawa, T.; Konnai, S.; Miyazawa, T.</t>
  </si>
  <si>
    <t>Found in: Scopus · DOI: 10.3390/v13061017</t>
  </si>
  <si>
    <t>Bovine foamy virus (BFV) is a member of the foamy virus family in cattle. Information on the epidemiology, transmission routes, and whole-genome sequences of BFV is still limited. To understand the characteristics of BFV, this study included a molecular survey in Japan and the determination of the whole-genome sequences of 30 BFV isolates. A total of 30 (3.4%, 30/884) cattle were infected with BFV according to PCR analysis. Cattle less than 48 months old were scarcely infected with this virus, and older animals had a significantly higher rate of infection. To reveal the possibility of vertical transmission, we additionally surveyed 77 pairs of dams and 3-month-old calves in a farm already confirmed to have BFV. We confirmed that one of the calves born from a dam with BFV was infected. Phylogenetic analyses revealed that a novel genotype was spread in Japan. In conclusion, the prevalence of BFV in Japan is relatively low and three genotypes, including a novel genotype, are spread in Japan. © 2021 by the authors. Licensee MDPI, Basel, Switzerland.</t>
  </si>
  <si>
    <t>R1025</t>
  </si>
  <si>
    <t>Privacy-Preserving Big Data Analytics Using Homomorphic Encryption: A Comprehensive Evaluation in Healthcare Applications</t>
  </si>
  <si>
    <t>Patel, C.N.</t>
  </si>
  <si>
    <t>Found in: Scopus; IEEE · DOI: 10.1109/BigData62323.2024.10825923</t>
  </si>
  <si>
    <t>This study addresses the critical challenge of preserving data privacy while conducting analytics on sensitive information using homomorphic encryption. Homomorphic encryption enables the analysis of encrypted data without compromising confidentiality, which is crucial in domains like healthcare and finance. This research evaluates the efficacy of homomorphic encryption in safeguarding data privacy while facilitating meaningful analysis. Through rigorous experimentation, this research assessed the performance of various machine learning models, including Logistic Regression and Naive Bayes, on both encrypted and unencrypted datasets. The findings indicate that while encryption introduces a slight reduction in accuracy, the overall performance remains high, demonstrating the viability of homomorphic encryption for privacy-preserving data analytics. This research provides valuable insights and strategies for balancing data privacy and analytical accuracy, paving the way for enhanced data privacy practices in real-world applications. © 2024 IEEE.</t>
  </si>
  <si>
    <t>R1026</t>
  </si>
  <si>
    <t>Eye-Neck Integrated Ultrasound in Idiopathic Intracranial Hypertension and Cerebral Venous Sinus Thrombosis</t>
  </si>
  <si>
    <t>Liu, L.; Xing, Y.; Chen, Y.; Ji, X.; Ge, J.; Wang, L.</t>
  </si>
  <si>
    <t>Found in: Scopus; PubMed · DOI: 10.3389/fneur.2021.696665 · PMID: 34354665</t>
  </si>
  <si>
    <t>Background: The clinical presentation of cerebral venous sinus thrombosis (CVST) overlaps with that of idiopathic intracranial hypertension (IIH), but no screening tool exists. We investigated the role of eye-neck integrated ultrasound in the diagnosis and differentiation of IIH and CVST. Methods: Twenty IIH patients, 30 CVST patients, and 40 healthy controls were retrospectively analyzed. The ultrasonographic optic nerve sheath diameter (ONSD) and hemodynamic characteristics of the internal jugular veins (IJVs) were recorded. The cerebrospinal fluid opening pressure was measured after ultrasonic examination. Results: The ONSD was significantly larger in IIH patients than in controls (4.71 ± 0.41 vs. 3.93 ± 0.24 mm, p &lt; 0.001). The ONSD cut-off for IIH diagnosis was 4.25 mm (AUC = 0.978; 95% CI: 0.95–1.0, p &lt; 0.001, sensitivity: 90%, specificity: 93%). In the CVST group, 22 (73.3%) patients had elevated intracranial pressure (ICP); the mean ONSD was significantly higher in patients with increased ICP than in those without (4.43 ± 0.33 vs. 3.95 ± 0.17 mm, p &lt; 0.001). The mean blood flow volume (BFV) was significantly reduced in CVST patients (425.17 ± 349.83 mL/min) compared to that in controls (680.37 ± 233.03 mL/min, p &lt; 0.001) and IIH patients (617.67 ± 282.96 mL/min, p = 0.008). The optimal BFV cut-off for predicting CVST was 527.28 mL/min (AUC = 0.804, 95% CI: 0.68–0.93, p &lt; 0.001, sensitivity: 80%, specificity: 78%). The velocity of the unilateral IJVs-J3 segment decreased or remained constant during deep inspiration (abnormal respiratory modulate blood flow test, ARMT) in 32.5% of controls, with no bilateral ARMT. The prevalence of bilateral ARMT was 25% in IIH patients (χ2 = 12.9, p = 0.005) and 27% in CVST patients (χ2 = 17.6, p = 0.001). Conclusion: Eye-neck integrated ultrasound is an easily available bedside technique to assess ICP and hemodynamic characteristics of IJVs. ONSD measurement can identify patients with increased ICP, and reduced IJV BFV may aid the differentiation of CVST and IIH. © Copyright © 2021 Liu, Xing, Chen, Ji, Ge and Wang.</t>
  </si>
  <si>
    <t>R1027</t>
  </si>
  <si>
    <t>Enhancing E-Healthcare Security with Hash Lampel Hessenberg Wavelet Transform and Federated Cryptographic Neural Networks</t>
  </si>
  <si>
    <t>kadrolli, V.; Bodade, V.; Qamar, S.; Stephen, A.; Muthulakshmi, K.; Sheryl Oliver, A.</t>
  </si>
  <si>
    <t>Found in: Scopus · DOI: 10.1080/03772063.2025.2533998</t>
  </si>
  <si>
    <t>In the healthcare industry, data sharing provides a comprehensive view of a patient's health history, enhancing treatment, research, and diagnosis. However, securing medical data remains a critical challenge in e-health applications, as traditional security methods often struggle against malicious and unauthorized attacks. Among the various techniques employed to safeguard medical images, watermarking has emerged as a promising approach. This research introduces a pioneering technique, Hash Lampel Hessenberg Wavelet Transform-Federated Reinforcement Cryptographic Fuzzy Neural Network-Based User Authentication Algorithm (HLHWT-FRCFNN-UAA), to improve security in e-health applications. The approach integrates advanced methodologies such as SHA-256 encryption, Lempel-Ziv-Welch compression, Hessenberg decomposition, and Discrete Wavelet Transform to ensure robust watermarking of medical images. To further strengthen security, a federated reinforcement cryptographic fuzzy neural network-based user authentication algorithm is implemented, leveraging homomorphic encryption, Shamir secret sharing with Q-learning, and fuzzy neural networks to authenticate data before secure cloud storage. Compared to existing methods, this approach achieved superior results such as 98.6% of detection accuracy, 98.1% of specificity, 98.41% of sensitivity, 98.4% of F1-score, and 98% of normalized cross-correlation. Experimental analysis validates its effectiveness across various e-healthcare security and image watermarking datasets, demonstrating a significant advancement in medical data security. © 2025 IETE.</t>
  </si>
  <si>
    <t>R1028</t>
  </si>
  <si>
    <t>Secure Discovery of Genetic Relatives Across Large-Scale and Distributed Genomic Datasets</t>
  </si>
  <si>
    <t>Hong, M.M.; Froelicher, D.; Magner, R.; Popic, V.; Berger, B.; Cho, H.</t>
  </si>
  <si>
    <t>Found in: Scopus; PubMed · DOI: 10.1007/978-1-0716-3989-4_19 · PMID: 39111815</t>
  </si>
  <si>
    <t>Finding related individuals in genomic datasets is a necessary step in many genetic analysis workflows and has broader societal value as a tool for retrieving lost relatives. However, detecting such relationships is often infeasible when the dataset is distributed across multiple entities due to privacy concerns. Although cryptographic techniques for secure computation offer ways to jointly analyze distributed datasets with privacy guarantees, the sheer computational burden of operations required for identifying kinship, such as pairwise sequence comparison of all individuals across large datasets, presents key challenges to developing a practical privacy-preserving solution. We introduce SF-Relate, a secure federated algorithm for identifying genetic relatives across data silos (Fig. 1) that scales efficiently to large datasets that include hundreds of thousands of individuals. We leverage the key insight that the number of individual pairs to compare can be vastly reduced, while maintaining accurate detection, through innovative locality-sensitive hashing of individuals who are likely to be related together into buckets and then testing relationships only between individuals in corresponding buckets across parties. To this end, we construct an effective hash function that captures identity-by-descent (IBD) segments in genetic sequences, which, along with our novel micro-bucketing strategy is key to achieving accurate and practical private relative detection. To guarantee privacy, we devise an efficient algorithm based on multiparty homomorphic encryption (MHE) to allow the parties to cooperatively compute the relatedness coefficients between pairs of individuals, and to further classify their degrees of relatedness, all without sharing any private data. We demonstrate the accuracy and practical runtimes of SF-Relate on real genomic datasets of varying sizes, from the UK Biobank and All of Us datasets. On the largest dataset of 200K individuals split between two parties, SF-Relate securely detects 94.9% of third degree relatives, and 99.9% of relatives second-degree or closer within 15 h of runtime. Our work enables secure identification of relatives across large-scale genomic datasets. Our code is available at https://github.com/froelich/sf-relate, and the full manuscript preprint is available at https://doi.org/10.1101/2024.02.16.580613. © The Author(s), under exclusive license to Springer Nature Switzerland AG 2024.</t>
  </si>
  <si>
    <t>R1029</t>
  </si>
  <si>
    <t>Predicting the State of Health of Supercapacitors Using a Federated Learning Model with Homomorphic Encryption</t>
  </si>
  <si>
    <t>López, V.; Fontenla-Romero, O.; Hernández-Pereira, E.; Guijarro-Berdiñas, B.; Blanco-Seijo, C.; Fernández-Paz, S.</t>
  </si>
  <si>
    <t>Found in: Scopus · DOI: 10.5220/0013215300003890</t>
  </si>
  <si>
    <t>The increasing prevalence of supercapacitors (SCs) in various industrial sectors underscores the necessity for precise estimation of the state of health (SOH) of these devices. This article presents a novel approach to SOH prediction using a model that integrates federated learning (FL) and homomorphic encryption (HE), FedHEONN. Conventional SOH prediction models face challenges concerning accuracy, reliability, and secure data handling, particularly in Internet of Things (IoT) environments. FedHEONN addresses these issues by using FL to enable a network of distributed nodes to collaboratively develop a predictive model without the need to share private data. This model enhances both data privacy and leverages the collective intelligence of edge computing devices. Furthermore, the inclusion of HE allows computations to be performed on encrypted data, further securing the federated learning framework. We conducted experiments with a real dataset to evaluate the effectiveness of this FL method in predicting the SOH of SCs against conventional models, including linear regression with regularisation techniques such as Lasso, Ridge and Elastic-net, and non-linear models such as multilayer perceptron and support vector machine for regression. The results were tested in various configurations, including empirical mode decomposition (EMD) and multi-stage (MS) setups. © 2025 by SCITEPRESS – Science and Technology Publications, Lda.</t>
  </si>
  <si>
    <t>R1030</t>
  </si>
  <si>
    <t>Multi-Input Ciphertext Multiplication for Homomorphic Encryption</t>
  </si>
  <si>
    <t>Akherati, S.; Zhang, X.</t>
  </si>
  <si>
    <t>Found in: Scopus; IEEE · DOI: 10.1109/TCSI.2026.3674689</t>
  </si>
  <si>
    <t>Homomorphic encryption (HE) enables arithmetic operations to be performed directly on encrypted data. It is essential for privacy-preserving applications such as machine learning, medical diagnosis, and financial data analysis. In popular HE schemes, ciphertext multiplication is only defined for two inputs. However, the multiplication of multiple inputs is needed in many HE applications. In our previous work, a three-input ciphertext multiplication method for the CKKS HE scheme was developed. This paper first reformulates the three-input ciphertext multiplication to enable the combination of computations in order to further reduce the complexity. The second contribution is extending the multiplication to multiple inputs without compromising the noise overhead. Additional evaluation keys are introduced to achieve relinearization of polynomial multiplication results. To minimize the complexity of the large number of rescaling units in the multiplier, a theoretical analysis is developed to relocate the rescaling, and a multi-level rescaling approach is proposed to implement combined rescaling with complexity similar to that of a single rescaling unit. Guidelines and examples are provided on the input partition to enable the combination of more rescaling operations. Additionally, efficient hardware architectures are designed to implement our proposed multipliers. The improved three-input ciphertext multiplier reduces the logic area and latency by 15% and 50%, respectively, compared to the best prior design. For multipliers with more inputs, ranging from 4 to 12, the architectural analysis reveals 29% savings in area and 63% shorter latency, on average, compared to prior work.  © 2004-2012 IEEE.</t>
  </si>
  <si>
    <t>R1031</t>
  </si>
  <si>
    <t>A comparative analysis of three vector-borne diseases across Australia using seasonal and meteorological models</t>
  </si>
  <si>
    <t>Stratton, M.D.; Ehrlich, H.Y.; Mor, S.M.; Naumova, E.N.</t>
  </si>
  <si>
    <t>Found in: Scopus; PubMed · DOI: 10.1038/srep40186 · PMID: 28071683</t>
  </si>
  <si>
    <t>Ross River virus (RRV), Barmah Forest virus (BFV), and dengue are three common mosquito-borne diseases in Australia that display notable seasonal patterns. Although all three diseases have been modeled on localized scales, no previous study has used harmonic models to compare seasonality of mosquito-borne diseases on a continent-wide scale. We fit Poisson harmonic regression models to surveillance data on RRV, BFV, and dengue (from 1993, 1995 and 1991, respectively, through 2015) incorporating seasonal, trend, and climate (temperature and rainfall) parameters. The models captured an average of 50-65% variability of the data. Disease incidence for all three diseases generally peaked in January or February, but peak timing was most variable for dengue. The most significant predictor parameters were trend and inter-annual periodicity for BFV, intra-annual periodicity for RRV, and trend for dengue. We found that a Temperature Suitability Index (TSI), designed to reclassify climate data relative to optimal conditions for vector establishment, could be applied to this context. Finally, we extrapolated our models to estimate the impact of a false-positive BFV epidemic in 2013. Creating these models and comparing variations in periodicities may provide insight into historical outbreaks as well as future patterns of mosquito-borne diseases. © The Author(s) 2017.</t>
  </si>
  <si>
    <t>R1032</t>
  </si>
  <si>
    <t>Secure Multicenter Medical Model Inference from Homomorphic Encryption</t>
  </si>
  <si>
    <t>Chen, J.; Yang, C.; Chen, Y.; Zhong, K.; Yang, W.; Liu, J.; Wu, W.; Yi, B.</t>
  </si>
  <si>
    <t>Found in: Scopus · DOI: 10.1007/978-981-95-0033-8_12</t>
  </si>
  <si>
    <t>To address the privacy requirements of sensitive medical data, we present a multicenter diagnostic inference framework based on homomorphic encryption (HE). Leveraging the CKKS scheme implemented in the Lattigo library with 128-bit security, our method enables efficient and privacy-preserving inference for diseases such as bladder cancer, breast cancer, and sepsis. By exploiting the sparsity of LASSO parameters, we significantly reduce the computational overhead of encrypted inference. Notably, our LASSO-based analysis reveals a potential therapeutic target for bladder cancer. Experimental results across multiple datasets show that encrypted inference achieves performance comparable to plaintext inference, demonstrating that strong privacy can be preserved without sacrificing diagnostic performance. © The Author(s), under exclusive license to Springer Nature Singapore Pte Ltd. 2025.</t>
  </si>
  <si>
    <t>R1033</t>
  </si>
  <si>
    <t>Privacy-Preserving Power System Anomaly Detection via Physics-Guided Sparse Graph Temporal Prediction and Homomorphic Inference</t>
  </si>
  <si>
    <t>Li, Y.; Hua, J.; Huang, W.; Anaissi, A.</t>
  </si>
  <si>
    <t>Found in: Scopus · DOI: 10.3390/technologies14090550</t>
  </si>
  <si>
    <t>Energy systems are crucial to residential life and industrial production. During practical operation, these systems may experience various anomalies that disrupt the stability of system operation. Recent years have witnessed remarkable progress in power system anomaly detection. However, existing methods still suffer from two limitations. First, detection algorithms neglect privacy protection, although privacy security is also a critical issue in energy systems. Second, existing studies have difficulty characterizing latent dependencies and topology changes, which limits detection performance. To bridge these gaps, we present a power system anomaly detection method that integrates physics-informed sparse graph temporal modeling with homomorphic encryption, enabling anomalous-event identification and anomalous-bus localization under privacy-preserving conditions. Specifically, we construct a sparse graph using the power-grid topology and normal measurement residuals. We then obtain system-state predictions through polynomial graph temporal prediction and physics-guided affine correction and use anomaly scores to diagnose anomalous conditions. Furthermore, we employ homomorphic encryption to perform ciphertext computation for the affine prediction model without exposing historical measurement data, thereby enabling privacy-preserving remote anomaly detection. We conduct experiments on IEEE bus benchmarks to verify the effectiveness of the proposed method under multiple anomaly scenarios. © 2026 by the authors.</t>
  </si>
  <si>
    <t>R1034</t>
  </si>
  <si>
    <t>Enhanced Blockchain-Enabled IoT Healthcare Monitoring with Lightweight Gradient Boosting Model and Differential Privacy</t>
  </si>
  <si>
    <t>Reddy, C.S.; Chandra, A.; Meghana, A.; Venkata, A.K.P.; Jyothis, K.P.</t>
  </si>
  <si>
    <t>Found in: Scopus; IEEE · DOI: 10.1109/SSITCON66133.2025.11342038</t>
  </si>
  <si>
    <t>The integration of Internet of Things (IoT), Machine Learning (ML), and blockchain has recently gained importance in modern healthcare systems to allow real-time monitoring, secure data sharing, and accurate disease prediction. However, blockchain-enabled Hybrid Deep Learning (HDL) models for healthcare monitoring face major limitations, like high computational cost of heavy Deep Neural Networks (DNN) and privacy-performance trade-off of homomorphic encryption. To overcome these issues, lightweight and privacy-preserving edge framework is proposed, in which patient data are collected from IoT sensors. preprocessing performed through cleaning, normalization, one-hot encoding, and feature extraction. Furthermore, efficient lightweight model known as Lightweight Gradient Boosting was trained with quantization to reduce the memory and computation overhead. For privacy, Federated Learning (FL) ensures that data stay on-device, while Differential Privacy (DP) and Partial Homomorphic Encryption (PHE) secure sensitive fields without heavy overhead. Furthermore, a permissioned blockchain with smart contracts manages secure access, whereas the compressed model is deployed on edge devices for real-time inference, explainability, and secure doctor-patient interaction. The proposed lightweight privacy-preserving healthcare monitoring framework demonstrated improved efficiency, reliability, and strong privacy protection, as well as superior accuracy (95%), precision (94 %), and recall (94 %) compared with the existing blockchain-enabled Hybrid Deep Learning (HDL) approach. © 2025 IEEE.</t>
  </si>
  <si>
    <t>R1035</t>
  </si>
  <si>
    <t>Enhancing Internet of Medical Things security with artificial intelligence: A comprehensive review</t>
  </si>
  <si>
    <t>Messinis S; Temenos N; Protonotarios NE; Rallis I; Kalogeras D; Doulamis N</t>
  </si>
  <si>
    <t>Found in: PubMed · DOI: 10.1016/j.compbiomed.2024.108036 · PMID: 38295478</t>
  </si>
  <si>
    <t>Over the past five years, interest in the literature regarding the security of the Internet of Medical Things (IoMT) has increased. Due to the enhanced interconnectedness of IoMT devices, their susceptibility to cyber-attacks has proportionally escalated. Motivated by the promising potential of AI-related technologies to improve certain cybersecurity measures, we present a comprehensive review of this emerging field. In this review, we attempt to bridge the corresponding literature gap regarding modern cybersecurity technologies that deploy AI techniques to improve their performance and compensate for security and privacy vulnerabilities. In this direction, we have systematically gathered and classified the extensive research on this topic. Our findings highlight the fact that the integration of machine learning (ML) and deep learning (DL) techniques improves both the performance of cybersecurity measures and their speed, reliability, and effectiveness. This may be proven to be useful for improving the security and privacy of IoMT devices. Furthermore, by considering the numerous advantages of AI technologies as opposed to their core cybersecurity counterparts, including blockchain, anomaly detection, homomorphic encryption, differential privacy, federated learning, and so on, we provide a structured overview of the current scientific trends. We conclude with considerations for future research, emphasizing the promising potential of AI-driven cybersecurity in the IoMT landscape, especially in patient data protection and in data-driven healthcare.</t>
  </si>
  <si>
    <t>R1036</t>
  </si>
  <si>
    <t>Identification of visible and near-infrared signature peaks for arboviruses and Plasmodium falciparum</t>
  </si>
  <si>
    <t>Goh, B.; Soares Magalhães, R.J.; Ciocchetta, S.; Liu, W.; Sikulu-Lord, M.T.</t>
  </si>
  <si>
    <t>Found in: Scopus; PubMed · DOI: 10.1371/journal.pone.0321362 · PMID: 40244986</t>
  </si>
  <si>
    <t>Arbovirus and malaria infections affect more than half of the world’s population causing major financial and physical burden. Current diagnostic tools such as microscopy, molecular and serological techniques are technically demanding, costly, or time consuming. Near-infrared spectroscopy has recently been demonstrated as a potential diagnostic tool for malaria and Dengue virus and as a screening tool for disease vectors. However, pathogen specific absorption peaks that allow detection of these infections are yet to be described. In this study, we identified unique visible and near-infrared peaks from existing laboratory strains of four major arboviruses including Barmah Forest virus, Dengue virus, Ross River virus, Sindbis virus and Plasmodium falciparum. Secondly, to determine the diagnostic ability of these peaks, we developed machine learning algorithms using artificial neural networks to differentiate arboviruses from media in which they were grown. Signature peaks for BFV were identified within the visible region at 410, 430, 562 and 588 nm and the near-infrared region at, 946, 958, 1130, 1154 and 1780 nm. DENV related peaks were seen at 410nm within the visible region and 1130 nm within the near-infrared region. Signature peaks for Ross River virus were observed within the visible region at 410 and 430 nm and within the near-infrared region at 1130 and 1780 nm, while Sindbis virus had a prominent peak at 410 nm within the visible region. Peaks at 514, 528, 547, 561, 582, and 595 nm and peaks at 1388, 1432, 1681, 1700, 1721, 1882, 1905, 2245, 2278, 2300 nm were unique for P. falciparum. Near-infrared spectroscopy predictive sensitivity defined as the ability to predict an arbovirus as an infection was 90% (n=20) for Barmah Forest virus, 100% (n=10) for Ross River virus and 97.5% (n=40) for Dengue virus, while infection specificity defined as the ability to predict media as not-infected was 100% (n=10). Our findings indicate that spectral signatures obtained by near-infrared spectroscopy are potential biomarkers for diagnosis of arboviruses and malaria. © 2025 Goh et al. This is an open access article distributed under the terms of the Creative Commons Attribution License, which permits unrestricted use, distribution, and reproduction in any medium, provided the original author and source are credited.</t>
  </si>
  <si>
    <t>R1037</t>
  </si>
  <si>
    <t>Privacy-Preserving Convolutional Neural Network Classification Scheme with Multiple Keys</t>
  </si>
  <si>
    <t>Wang, B.; Chen, Y.; Li, F.; Song, J.; Lu, R.; Duan, P.; Tian, Z.</t>
  </si>
  <si>
    <t>Found in: Scopus · DOI: 10.1109/TSC.2023.3349298</t>
  </si>
  <si>
    <t>Convolutional Neural Networks (CNNs) possess extensive applicability across diverse domains, particularly in the realm of image recognition. In light of the advent of machine learning as a service, the utilization of a well-trained CNN model by servers to execute image classification based on user queries has become a significant service, catering to a wide array of applications. Nevertheless, this convenience is accompanied by the inherent risk of data privacy and model privacy disclosure, which can have severe ramifications, particularly in the context of specialized scenarios like medical images and location images. Hence, how to perform classification for CNN with privacy protection emerges as a crucial research concern. Furthermore, the nonlinearity of CNN's activation function renders it unsuitable for homomorphic cryptosystems. In order to address these challenges, we put forth a privacy-preserving CNN classification scheme employing a distributed two trapdoors public-key cryptosystem (DT-PKC). Initially, we introduce a security protocol toolkit encompassing protocols for secure multiplication, secure activation function computing, and average pooling. In addition, we propose a novel continuous and derivative Tanhplus function as an approximation of the Relu function, aiming to enhance the accuracy of classification results. The secure activation function computing protocol utilizes the aforementioned Tanhplus function in conjunction with the proposed homogenization algorithm to compute the activation function. This protocol guarantees more precise and accurate output in the activation function calculation of CNN when operating under ciphertext. Furthermore, the adoption of the DT-PKC cryptosystem not only ensures privacy protection for CNN classification but also provides support for lightweight users and multiple keys. Finally, security analysis and performance evaluations demonstrate that the proposed scheme is secure, practicable, and efficient with high accuracy.  © 2008-2012 IEEE.</t>
  </si>
  <si>
    <t>R1038</t>
  </si>
  <si>
    <t>PREDICT: Efficient Private Disease Susceptibility Testing in Direct-to-Consumer Model</t>
  </si>
  <si>
    <t>Ugwuoke, C.; Erkin, Z.; Reinders, M.; Lagendijk, R.</t>
  </si>
  <si>
    <t>Found in: Scopus · DOI: 10.1145/3374664.3375729</t>
  </si>
  <si>
    <t>Genome sequencing has rapidly advanced in the last decade, making it easier for anyone to obtain digital genomes at low costs from companies such as Helix, MyHeritage, and 23andMe. Companies now offer their services in a direct-to-consumer (DTC) model without the intervention of a medical institution. Thereby, providing people with direct services for paternity testing, ancestry testing and disease susceptibility testing (DST) to infer diseases' predisposition. Genome analyses are partly motivated by curiosity and people often want to partake without fear of privacy invasion. Existing privacy protection solutions for DST adopt cryptographic techniques to protect the genome of a patient from the party responsible for computing the analysis. Said techniques include homomorphic encryption, which can be computationally expensive and could take minutes for only a few single-nucleotide polymorphisms (SNPs). A predominant approach is a solution that computes DST over encrypted data, but the design depends on a medical unit and exposes test results of patients to the medical unit, making the design uncomfortable for privacy-aware individuals. Hence it is pertinent to have an efficient privacy-preserving DST solution with a DTC service. We propose a novel DTC model that protects the privacy of SNPs and prevents leakage of test results to any other party save for the genome owner. Conversely, we protect the privacy of the algorithms or trade secrets used by the genome analyzing companies. Our work utilizes a secure obfuscation technique in computing DST, eliminating expensive computations over encrypted data. Our approach significantly outperforms existing state-of-the-art solutions in runtime and scales linearly for equivalent levels of security. As an example, computing DST for 10,000 SNPs requires approximately 96 milliseconds on commodity hardware. With this efficient and privacy-preserving solution which is also simulation-based secure, we open possibilities for performing genome analyses on collectively shared data resources. © 2020 ACM.</t>
  </si>
  <si>
    <t>R1039</t>
  </si>
  <si>
    <t>Privacy-Protected Data Mining and CNN for E-Healthcare Systems</t>
  </si>
  <si>
    <t>Nevatia, I.; Chaudhary, V.; Pandian, M.T.</t>
  </si>
  <si>
    <t>Found in: Scopus; IEEE · DOI: 10.1109/GCAT62922.2024.10923973</t>
  </si>
  <si>
    <t>The E-Health care system is crucial in modern health care. These systems are designed to secure medical data repositories. The main goal of this study is to ensure both security and privacy by enhancing fully homomorphic data collection. It also aims to improve classification accuracy in disease detection. The existing method of Privacy-Preserving Data Mining (PPDM) is utilized to maintain privacy in healthcare, and the new method using a Convolutional Neural Network (CNN) algorithm is employed to identify diseases more accurately. This new approach enhances performance by achieving higher accuracy, recall, and reducing time complexity. © 2024 IEEE.</t>
  </si>
  <si>
    <t>R1040</t>
  </si>
  <si>
    <t>Preserving data and model privacy during inference and training</t>
  </si>
  <si>
    <t>Briguglio, W.; Traoré, I.; Mamun, M.; Yousef, W.A.; Saad, S.</t>
  </si>
  <si>
    <t>Found in: Scopus · DOI: 10.1016/j.eswa.2025.130167</t>
  </si>
  <si>
    <t>Sensitive information that cannot be shared poses a barrier to gathering large datasets for training machine learning models. Federated learning (FL) addresses this by leveraging data across multiple clients without exchanging private data; however, this requires sharing model weights with all participants during training. Model weights are valuable assets and can be reverse-engineered to leak private training data. Furthermore, even if participants in an FL network can be trusted, using the trained model on sensitive data requires exposing model weights or sharing sensitive data with the model owner. Therefore, we present FLAMED-PICAFE, a general framework for FL and private inference (PI) that preserves model and data privacy in both training and deployment phases. To our knowledge, this is the first approach to achieve this without relying on homomorphic encryption during training or imposing severe architectural restrictions. FLAMED-PICAFE utilizes an updated version of the FLAMED FL framework for training and cooperative activation functions (CAFs) to enable PI during deployment. We evaluated FLAMED-PICAFE against baseline and state-of-the-art FL approaches on synthetic datasets and a healthcare dataset from a real-world federated setting, and measured the effect of CAFs on model accuracy and compute time. Results indicate that FLAMED-PICAFE is competitive with existing FL approaches while CAFs delivered lossless or near-lossless performance. In particular, we found that federated supervised PCA improved FLAMED’s performance by up to 1.6 % on synthetic datasets and up to 7.5 % on the healthcare dataset. Meanwhile, ReLU CAFs nearly maintained full accuracy, and sigmoid CAFs caused only a 2.6 % drop in accuracy while enabling private inference on encrypted data. Crown Copyright © 2025 Published by Elsevier Ltd. All rights are reserved, including those for text and data mining, AI training, and similar technologies.</t>
  </si>
  <si>
    <t>R1041</t>
  </si>
  <si>
    <t>Improving the Efficiency of SVM Classification with FHE</t>
  </si>
  <si>
    <t>Bajard, J.-C.; Martins, P.; Sousa, L.; Zucca, V.</t>
  </si>
  <si>
    <t>Found in: Scopus; IEEE · DOI: 10.1109/TIFS.2019.2946097</t>
  </si>
  <si>
    <t>In an ever more data-centric economy, machine learning models have risen in importance. With the large amounts of data companies collect, they are able to develop highly accurate models to predict the behaviours of their customers. It is thus important to safeguard the data used to build these models to prevent competitors from mimicking their services. In addition, as this type of techniques finds its way into areas that need to deal with more sensitive information, like the medical industry, the privacy of the data that needs to be classified also has to be ensured. Herein, this topic is addressed by homomorphically evaluating Support Vector Machine (SVM) models, in a way that guarantees that a client learns nothing about the model except for the classification of his data, and that the service provider learns nothing about the data. Whereas, previously, Fully Homomorphic Encryption (FHE) has mostly focused on either bit-wise or value-wise computations, SVMs present an additional challenge since they combine both: during an initial phase a kernel function is evaluated that makes use of real arithmetic, and during a second phase the sign bit has to be extracted. Novel techniques are herein proposed that allow for speedups of up to 2.7 and 6.6 for the evaluation of polynomials and the determination of sign, respectively, in comparison to the state of the art. Finally, it is shown that the proposed techniques do not deteriorate the classification accuracy of the SVM models. © 2005-2012 IEEE.</t>
  </si>
  <si>
    <t>R1042</t>
  </si>
  <si>
    <t>A Secure Clinical Diagnosis with Privacy-Preserving Multiclass Support Vector Machine in Clouds</t>
  </si>
  <si>
    <t>Zhang, M.; Song, W.; Zhang, J.</t>
  </si>
  <si>
    <t>Found in: Scopus · DOI: 10.1109/JSYST.2020.3027758</t>
  </si>
  <si>
    <t>With the rapid growth of machine learning and artificial intelligence in medical cloud systems, cloud-aided medical computing has materialized a concrete platform for rapid realization of the service-oriented computing paradigm. However, using machine learning approaches in medical clouds might cause serious privacy leakage risk, for example, it needs to take the patients' sensitive data as the inputs of the machine learning algorithm. In this article, we propose an efficient and privacy-preserving clinical diagnosis scheme that was performed by an (untrusted and malicious) outsourced cloud platform, which can provide the diagnosis assistance for doctors without leaking any sensitive information of patients and service providers. Concretely, we give the security model of privacy-preserving multiclass support vector machine (SVM) in outsourced medical clouds and design a secure clinical diagnosis scheme with privacy-preserving multiclass predecision and diagnosis. We propose a novel encoding approach to implement the encryption of negative number, and design several security building blocks, such as privacy-preserving decision function computing, privacy-preserving classification, and search of max decision function on encrypted fields, to provide the construction of the secure clinical diagnosis with privacy-preserving multiclass SVM. We give the concrete scheme and provide the experiment on Dermatology datasheet. Security analysis and experimental results indicate that the proposed scheme is efficient and practical in privacy-preserving clinical diagnosis systems. © 2007-2012 IEEE.</t>
  </si>
  <si>
    <t>R1043</t>
  </si>
  <si>
    <t>Healthcare Data Privacy Using Federated Learning</t>
  </si>
  <si>
    <t>Saranya, G.; Ramakrishnan, S.; Poovizhi, R.; Madhu Dhanu Shree, M.; Maheswari, K.</t>
  </si>
  <si>
    <t>Found in: Scopus · DOI: 10.1007/978-3-032-10670-4_16</t>
  </si>
  <si>
    <t>In healthcare, protecting patient privacy isn’t optional—it’s the law. Rules like HIPAA and GDPR make it hard for hospitals and clinics to share data, which gets in the way of building AI tools together. That’s a big deal, since machine learning models really need lots of varied data to work well across different groups of people. The legal boundaries are tight for good reason, but they certainly introduce significant challenges for implementing advanced analytics in this field. This research presents a federated learning (FL) framework that enables collaborative model training across multiple healthcare institutions without exposing sensitive patient data. To enhance privacy protections, the framework integrates Homomorphic Encryption (HE) to secure model updates during transmission and applies Differential Privacy (DP) to mitigate risks of gradient leakage and reconstruction attacks. The framework effectively supports decentralized learning scenarios with non-IID data distributions while maintaining strong model performance. We tested our approach on the Medical MNIST dataset, which contains X-ray images from various body regions. That matters because it shows we can protect sensitive patient data without sacrificing performance—making real-world clinical use much more achievable. © The Author(s), under exclusive license to Springer Nature Switzerland AG 2026.</t>
  </si>
  <si>
    <t>R1044</t>
  </si>
  <si>
    <t>Privacy-Preserving Classification Method for Neural-Biomarkers using Homomorphic Residue Number System CNN: HoRNS-CNN</t>
  </si>
  <si>
    <t>Usman, O.L.; Muniyandi, R.C.; Omar, K.; Mohamad, M.</t>
  </si>
  <si>
    <t>Found in: Scopus; IEEE · DOI: 10.1109/ICBATS54253.2022.9759007</t>
  </si>
  <si>
    <t>The increasing generation of MRI dataset and the recent cloud deployment of deep learning (DL) algorithms have enabled timely remote classifications of discrepancies in neural-biomarkers of critical health conditions such as dyslexia. Using these untrusted platforms to implement a secure DL algorithm will identify and resolve potential security attacks or patient data theft, hence, the need for a privacy-preserving method. However, existing homomorphic (FHE) privacy-preserving methods are still inefficient in terms of accuracy, latency, and feature extraction time with significantly large cipher-image expansion problem. This study proposes homomorphic residue number system-CNN (HoRNS-CNN) model for the privacy-preserving classification of dyslexia neural-biomarkers. The HoRNS-CNN architecture is composed of the RNS-FHE scheme and pre-trained CNN models. The RNS-FHE scheme was used to design an encryption module for each pixel in the dataset, while pre-trained CNNs were applied directly to the encrypted data in the cloud after adapting their activation layers to homomorphic computations. Results from proposed HoRNS-CNN model demonstrated an improved performance. © 2022 IEEE.</t>
  </si>
  <si>
    <t>R1045</t>
  </si>
  <si>
    <t>Known paper from the protocol search check, not retrieved by any database search (SLR v4 change 4, approved by Abdullah 10 Oct 2026). JMIR Medical Informatics 6(2), e19. PMID: 29666041. Goes straight to full text.</t>
  </si>
  <si>
    <t>(Not in the search exports: see PubMed PMID 29666041.)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</si>
</sst>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 mmm\ yyyy"/>
  </numFmts>
  <fonts count="9" x14ac:knownFonts="1">
    <font>
      <sz val="11"/>
      <color theme="1"/>
      <name val="Calibri"/>
      <family val="2"/>
      <charset val="1"/>
    </font>
    <font>
      <b/>
      <sz val="14"/>
      <name val="Arial"/>
      <charset val="1"/>
    </font>
    <font>
      <sz val="10"/>
      <name val="Arial"/>
      <charset val="1"/>
    </font>
    <font>
      <b/>
      <sz val="10"/>
      <name val="Arial"/>
      <charset val="1"/>
    </font>
    <font>
      <b/>
      <sz val="11"/>
      <name val="Arial"/>
      <charset val="1"/>
    </font>
    <font>
      <b/>
      <sz val="10"/>
      <color rgb="FF595959"/>
      <name val="Arial"/>
      <charset val="1"/>
    </font>
    <font>
      <sz val="10"/>
      <color rgb="FF595959"/>
      <name val="Arial"/>
      <charset val="1"/>
    </font>
    <font>
      <i/>
      <sz val="10"/>
      <color rgb="FF595959"/>
      <name val="Arial"/>
      <charset val="1"/>
    </font>
    <font>
      <b/>
      <sz val="10"/>
      <color rgb="FFFFFFFF"/>
      <name val="Arial"/>
      <charset val="1"/>
    </font>
  </fonts>
  <fills count="6">
    <fill>
      <patternFill patternType="none"/>
    </fill>
    <fill>
      <patternFill patternType="gray125"/>
    </fill>
    <fill>
      <patternFill patternType="solid">
        <fgColor rgb="FFFFF2CC"/>
        <bgColor rgb="FFEDEDED"/>
      </patternFill>
    </fill>
    <fill>
      <patternFill patternType="solid">
        <fgColor rgb="FFEDEDED"/>
        <bgColor rgb="FFD9E1F2"/>
      </patternFill>
    </fill>
    <fill>
      <patternFill patternType="solid">
        <fgColor rgb="FFD9E1F2"/>
        <bgColor rgb="FFEDEDED"/>
      </patternFill>
    </fill>
    <fill>
      <patternFill patternType="solid">
        <fgColor rgb="FF1F3864"/>
        <bgColor rgb="FF333333"/>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0" borderId="0" xfId="0" applyFont="1"/>
    <xf numFmtId="0" fontId="3" fillId="2" borderId="0" xfId="0" applyFont="1" applyFill="1"/>
    <xf numFmtId="0" fontId="3" fillId="3" borderId="0" xfId="0" applyFont="1" applyFill="1"/>
    <xf numFmtId="0" fontId="5" fillId="0" borderId="0" xfId="0" applyFont="1"/>
    <xf numFmtId="0" fontId="6" fillId="0" borderId="0" xfId="0" applyFont="1"/>
    <xf numFmtId="0" fontId="7" fillId="0" borderId="0" xfId="0" applyFont="1"/>
    <xf numFmtId="0" fontId="3" fillId="4" borderId="0" xfId="0" applyFont="1" applyFill="1"/>
    <xf numFmtId="0" fontId="2" fillId="0" borderId="1" xfId="0" applyFont="1" applyBorder="1"/>
    <xf numFmtId="3" fontId="2" fillId="3" borderId="1" xfId="0" applyNumberFormat="1" applyFont="1" applyFill="1" applyBorder="1" applyAlignment="1">
      <alignment horizontal="right"/>
    </xf>
    <xf numFmtId="0" fontId="7" fillId="0" borderId="1" xfId="0" applyFont="1" applyBorder="1"/>
    <xf numFmtId="3" fontId="2" fillId="2" borderId="1" xfId="0" applyNumberFormat="1" applyFont="1" applyFill="1" applyBorder="1" applyAlignment="1">
      <alignment horizontal="right"/>
    </xf>
    <xf numFmtId="3" fontId="3"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8" fillId="5" borderId="1" xfId="0" applyFont="1" applyFill="1" applyBorder="1" applyAlignment="1">
      <alignment vertical="center" wrapText="1"/>
    </xf>
    <xf numFmtId="0" fontId="8" fillId="5" borderId="0" xfId="0" applyFont="1" applyFill="1"/>
    <xf numFmtId="0" fontId="2" fillId="0" borderId="0" xfId="0" applyFont="1"/>
    <xf numFmtId="0" fontId="2" fillId="0" borderId="1" xfId="0" applyFont="1" applyBorder="1" applyAlignment="1">
      <alignment vertical="top" wrapText="1"/>
    </xf>
    <xf numFmtId="0" fontId="2" fillId="2" borderId="1" xfId="0" applyFont="1" applyFill="1" applyBorder="1" applyAlignment="1">
      <alignment vertical="top" wrapText="1"/>
    </xf>
    <xf numFmtId="165" fontId="2" fillId="2" borderId="1" xfId="0" applyNumberFormat="1" applyFont="1" applyFill="1" applyBorder="1" applyAlignment="1">
      <alignment vertical="top" wrapText="1"/>
    </xf>
    <xf numFmtId="3" fontId="2" fillId="2" borderId="1" xfId="0" applyNumberFormat="1" applyFont="1" applyFill="1" applyBorder="1" applyAlignment="1">
      <alignment vertical="top" wrapText="1"/>
    </xf>
    <xf numFmtId="0" fontId="3" fillId="0" borderId="1" xfId="0" applyFont="1" applyBorder="1"/>
    <xf numFmtId="0" fontId="0" fillId="0" borderId="1" xfId="0" applyBorder="1"/>
    <xf numFmtId="3" fontId="3" fillId="3" borderId="1" xfId="0" applyNumberFormat="1" applyFont="1" applyFill="1" applyBorder="1"/>
    <xf numFmtId="0" fontId="2" fillId="2" borderId="0" xfId="0" applyFont="1" applyFill="1"/>
    <xf numFmtId="0" fontId="2" fillId="3" borderId="0" xfId="0" applyFont="1" applyFill="1"/>
    <xf numFmtId="3" fontId="2" fillId="3" borderId="1" xfId="0" applyNumberFormat="1" applyFont="1" applyFill="1" applyBorder="1" applyAlignment="1">
      <alignment horizontal="left"/>
    </xf>
    <xf numFmtId="0" fontId="0" fillId="0" borderId="2" xfId="0" applyBorder="1"/>
  </cellXfs>
  <cellStyles count="1">
    <cellStyle name="Normal" xfId="0" builtinId="0"/>
  </cellStyles>
  <dxfs count="3">
    <dxf>
      <fill>
        <patternFill>
          <bgColor rgb="FFF4CCCC"/>
        </patternFill>
      </fill>
    </dxf>
    <dxf>
      <font>
        <b/>
        <color rgb="FFC00000"/>
        <name val="Arial"/>
        <charset val="1"/>
      </font>
    </dxf>
    <dxf>
      <font>
        <b/>
        <color rgb="FFC00000"/>
        <name val="Arial"/>
        <charset val="1"/>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tabSelected="1" zoomScaleNormal="100" workbookViewId="0"/>
  </sheetViews>
  <sheetFormatPr defaultColWidth="8.6640625" defaultRowHeight="14.4" x14ac:dyDescent="0.3"/>
  <cols>
    <col min="1" max="1" width="26" customWidth="1"/>
    <col min="2" max="2" width="95" customWidth="1"/>
  </cols>
  <sheetData>
    <row r="1" spans="1:2" ht="17.399999999999999" customHeight="1" x14ac:dyDescent="0.3">
      <c r="A1" s="1" t="s">
        <v>0</v>
      </c>
      <c r="B1" s="2"/>
    </row>
    <row r="2" spans="1:2" ht="15" customHeight="1" x14ac:dyDescent="0.3">
      <c r="A2" s="3" t="s">
        <v>1</v>
      </c>
      <c r="B2" s="2" t="s">
        <v>2</v>
      </c>
    </row>
    <row r="3" spans="1:2" ht="15" customHeight="1" x14ac:dyDescent="0.3">
      <c r="A3" s="3" t="s">
        <v>3</v>
      </c>
      <c r="B3" s="2" t="s">
        <v>4</v>
      </c>
    </row>
    <row r="4" spans="1:2" ht="15" customHeight="1" x14ac:dyDescent="0.3">
      <c r="A4" s="3"/>
      <c r="B4" s="2"/>
    </row>
    <row r="5" spans="1:2" ht="15" customHeight="1" x14ac:dyDescent="0.3">
      <c r="A5" s="4" t="s">
        <v>5</v>
      </c>
      <c r="B5" s="2"/>
    </row>
    <row r="6" spans="1:2" ht="15" customHeight="1" x14ac:dyDescent="0.3">
      <c r="A6" s="5" t="s">
        <v>6</v>
      </c>
      <c r="B6" s="2" t="s">
        <v>7</v>
      </c>
    </row>
    <row r="7" spans="1:2" ht="15" customHeight="1" x14ac:dyDescent="0.3">
      <c r="A7" s="6" t="s">
        <v>8</v>
      </c>
      <c r="B7" s="2" t="s">
        <v>9</v>
      </c>
    </row>
    <row r="8" spans="1:2" ht="15" customHeight="1" x14ac:dyDescent="0.3">
      <c r="A8" s="3"/>
      <c r="B8" s="2"/>
    </row>
    <row r="9" spans="1:2" ht="15" customHeight="1" x14ac:dyDescent="0.3">
      <c r="A9" s="4" t="s">
        <v>10</v>
      </c>
      <c r="B9" s="2"/>
    </row>
    <row r="10" spans="1:2" ht="15" customHeight="1" x14ac:dyDescent="0.3">
      <c r="A10" s="3" t="s">
        <v>11</v>
      </c>
      <c r="B10" s="2" t="s">
        <v>12</v>
      </c>
    </row>
    <row r="11" spans="1:2" ht="15" customHeight="1" x14ac:dyDescent="0.3">
      <c r="A11" s="3" t="s">
        <v>13</v>
      </c>
      <c r="B11" s="2" t="s">
        <v>14</v>
      </c>
    </row>
    <row r="12" spans="1:2" ht="15" customHeight="1" x14ac:dyDescent="0.3">
      <c r="A12" s="3" t="s">
        <v>15</v>
      </c>
      <c r="B12" s="2" t="s">
        <v>16</v>
      </c>
    </row>
    <row r="13" spans="1:2" ht="15" customHeight="1" x14ac:dyDescent="0.3">
      <c r="A13" s="3"/>
      <c r="B13" s="2"/>
    </row>
    <row r="14" spans="1:2" ht="15" customHeight="1" x14ac:dyDescent="0.3">
      <c r="A14" s="4" t="s">
        <v>17</v>
      </c>
      <c r="B14" s="2"/>
    </row>
    <row r="15" spans="1:2" ht="15" customHeight="1" x14ac:dyDescent="0.3">
      <c r="A15" s="3" t="s">
        <v>18</v>
      </c>
      <c r="B15" s="2" t="s">
        <v>19</v>
      </c>
    </row>
    <row r="16" spans="1:2" ht="15" customHeight="1" x14ac:dyDescent="0.3">
      <c r="A16" s="3" t="s">
        <v>20</v>
      </c>
      <c r="B16" s="2" t="s">
        <v>21</v>
      </c>
    </row>
    <row r="17" spans="1:2" ht="35.1" customHeight="1" x14ac:dyDescent="0.3">
      <c r="A17" s="3" t="s">
        <v>22</v>
      </c>
      <c r="B17" s="2" t="s">
        <v>23</v>
      </c>
    </row>
    <row r="18" spans="1:2" ht="23.85" customHeight="1" x14ac:dyDescent="0.3">
      <c r="A18" s="3" t="s">
        <v>24</v>
      </c>
      <c r="B18" s="2" t="s">
        <v>25</v>
      </c>
    </row>
    <row r="19" spans="1:2" ht="23.85" customHeight="1" x14ac:dyDescent="0.3">
      <c r="A19" s="3" t="s">
        <v>26</v>
      </c>
      <c r="B19" s="2" t="s">
        <v>27</v>
      </c>
    </row>
    <row r="20" spans="1:2" ht="15" customHeight="1" x14ac:dyDescent="0.3">
      <c r="A20" s="3"/>
      <c r="B20" s="2"/>
    </row>
    <row r="21" spans="1:2" ht="15" customHeight="1" x14ac:dyDescent="0.3">
      <c r="A21" s="4" t="s">
        <v>28</v>
      </c>
      <c r="B21" s="2"/>
    </row>
    <row r="22" spans="1:2" ht="23.85" customHeight="1" x14ac:dyDescent="0.3">
      <c r="A22" s="3" t="s">
        <v>29</v>
      </c>
      <c r="B22" s="2" t="s">
        <v>30</v>
      </c>
    </row>
    <row r="23" spans="1:2" ht="15" customHeight="1" x14ac:dyDescent="0.3">
      <c r="A23" s="3" t="s">
        <v>31</v>
      </c>
      <c r="B23" s="2" t="s">
        <v>32</v>
      </c>
    </row>
    <row r="24" spans="1:2" ht="15" customHeight="1" x14ac:dyDescent="0.3">
      <c r="A24" s="3" t="s">
        <v>33</v>
      </c>
      <c r="B24" s="2" t="s">
        <v>34</v>
      </c>
    </row>
    <row r="25" spans="1:2" ht="23.85" customHeight="1" x14ac:dyDescent="0.3">
      <c r="A25" s="3" t="s">
        <v>35</v>
      </c>
      <c r="B25" s="2" t="s">
        <v>36</v>
      </c>
    </row>
    <row r="26" spans="1:2" ht="15" customHeight="1" x14ac:dyDescent="0.3">
      <c r="A26" s="3"/>
      <c r="B26" s="2"/>
    </row>
    <row r="27" spans="1:2" ht="15" customHeight="1" x14ac:dyDescent="0.3">
      <c r="A27" s="3" t="s">
        <v>37</v>
      </c>
      <c r="B27" s="2" t="s">
        <v>38</v>
      </c>
    </row>
    <row r="28" spans="1:2" ht="15" customHeight="1" x14ac:dyDescent="0.3">
      <c r="A28" s="7" t="s">
        <v>39</v>
      </c>
      <c r="B28" s="8" t="s">
        <v>40</v>
      </c>
    </row>
    <row r="29" spans="1:2" ht="15" customHeight="1" x14ac:dyDescent="0.3">
      <c r="A29" s="7" t="s">
        <v>41</v>
      </c>
      <c r="B29" s="8" t="s">
        <v>42</v>
      </c>
    </row>
    <row r="30" spans="1:2" ht="15" customHeight="1" x14ac:dyDescent="0.3">
      <c r="A30" s="7" t="s">
        <v>43</v>
      </c>
      <c r="B30" s="8" t="s">
        <v>44</v>
      </c>
    </row>
    <row r="31" spans="1:2" ht="15" customHeight="1" x14ac:dyDescent="0.3">
      <c r="A31" s="7" t="s">
        <v>45</v>
      </c>
      <c r="B31" s="8" t="s">
        <v>46</v>
      </c>
    </row>
    <row r="32" spans="1:2" ht="15" customHeight="1" x14ac:dyDescent="0.3">
      <c r="A32" s="7" t="s">
        <v>47</v>
      </c>
      <c r="B32" s="8" t="s">
        <v>48</v>
      </c>
    </row>
    <row r="33" spans="1:2" ht="15" customHeight="1" x14ac:dyDescent="0.3">
      <c r="A33" s="7" t="s">
        <v>49</v>
      </c>
      <c r="B33" s="8" t="s">
        <v>15</v>
      </c>
    </row>
    <row r="34" spans="1:2" ht="15" customHeight="1" x14ac:dyDescent="0.3">
      <c r="A34" s="7" t="s">
        <v>50</v>
      </c>
      <c r="B34" s="8" t="s">
        <v>51</v>
      </c>
    </row>
    <row r="35" spans="1:2" ht="15" customHeight="1" x14ac:dyDescent="0.3">
      <c r="A35" s="7" t="s">
        <v>52</v>
      </c>
      <c r="B35" s="8" t="s">
        <v>51</v>
      </c>
    </row>
    <row r="36" spans="1:2" ht="15" customHeight="1" x14ac:dyDescent="0.3">
      <c r="A36" s="7" t="s">
        <v>53</v>
      </c>
      <c r="B36" s="8" t="s">
        <v>54</v>
      </c>
    </row>
    <row r="37" spans="1:2" ht="15" customHeight="1" x14ac:dyDescent="0.3">
      <c r="A37" s="7" t="s">
        <v>55</v>
      </c>
      <c r="B37" s="8"/>
    </row>
    <row r="38" spans="1:2" ht="15" customHeight="1" x14ac:dyDescent="0.3">
      <c r="A38" s="7" t="s">
        <v>56</v>
      </c>
      <c r="B38" s="8" t="s">
        <v>51</v>
      </c>
    </row>
    <row r="39" spans="1:2" ht="15" customHeight="1" x14ac:dyDescent="0.3">
      <c r="A39" s="7" t="s">
        <v>57</v>
      </c>
      <c r="B39" s="8" t="s">
        <v>58</v>
      </c>
    </row>
    <row r="40" spans="1:2" ht="15" customHeight="1" x14ac:dyDescent="0.3">
      <c r="A40" s="7" t="s">
        <v>59</v>
      </c>
      <c r="B40" s="8" t="s">
        <v>54</v>
      </c>
    </row>
    <row r="41" spans="1:2" ht="15" customHeight="1" x14ac:dyDescent="0.3">
      <c r="A41" s="7" t="s">
        <v>60</v>
      </c>
      <c r="B41" s="8" t="s">
        <v>51</v>
      </c>
    </row>
    <row r="42" spans="1:2" ht="15" customHeight="1" x14ac:dyDescent="0.3">
      <c r="A42" s="7" t="s">
        <v>61</v>
      </c>
      <c r="B42" s="8"/>
    </row>
    <row r="43" spans="1:2" ht="15" customHeight="1" x14ac:dyDescent="0.3">
      <c r="A43" s="7" t="s">
        <v>62</v>
      </c>
      <c r="B43" s="8" t="s">
        <v>63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5"/>
  <sheetViews>
    <sheetView zoomScaleNormal="100" workbookViewId="0">
      <pane ySplit="3" topLeftCell="A4" activePane="bottomLeft" state="frozen"/>
      <selection pane="bottomLeft"/>
    </sheetView>
  </sheetViews>
  <sheetFormatPr defaultColWidth="8.6640625" defaultRowHeight="14.4" x14ac:dyDescent="0.3"/>
  <cols>
    <col min="1" max="1" width="58" customWidth="1"/>
    <col min="2" max="2" width="12" customWidth="1"/>
    <col min="3" max="3" width="62" customWidth="1"/>
  </cols>
  <sheetData>
    <row r="1" spans="1:3" ht="17.399999999999999" customHeight="1" x14ac:dyDescent="0.3">
      <c r="A1" s="1" t="s">
        <v>64</v>
      </c>
    </row>
    <row r="2" spans="1:3" ht="15" customHeight="1" x14ac:dyDescent="0.3">
      <c r="A2" s="9" t="s">
        <v>65</v>
      </c>
    </row>
    <row r="4" spans="1:3" ht="15" customHeight="1" x14ac:dyDescent="0.3">
      <c r="A4" s="10" t="s">
        <v>66</v>
      </c>
      <c r="B4" s="10"/>
      <c r="C4" s="10"/>
    </row>
    <row r="5" spans="1:3" ht="15" customHeight="1" x14ac:dyDescent="0.3">
      <c r="A5" s="11" t="s">
        <v>67</v>
      </c>
      <c r="B5" s="12">
        <f>'Search Log'!H2</f>
        <v>337</v>
      </c>
      <c r="C5" s="13" t="s">
        <v>68</v>
      </c>
    </row>
    <row r="6" spans="1:3" ht="15" customHeight="1" x14ac:dyDescent="0.3">
      <c r="A6" s="11" t="s">
        <v>69</v>
      </c>
      <c r="B6" s="12">
        <f>'Search Log'!H3</f>
        <v>172</v>
      </c>
      <c r="C6" s="13" t="s">
        <v>68</v>
      </c>
    </row>
    <row r="7" spans="1:3" ht="15" customHeight="1" x14ac:dyDescent="0.3">
      <c r="A7" s="11" t="s">
        <v>70</v>
      </c>
      <c r="B7" s="12">
        <f>'Search Log'!H4</f>
        <v>1017</v>
      </c>
      <c r="C7" s="13" t="s">
        <v>68</v>
      </c>
    </row>
    <row r="8" spans="1:3" ht="15" customHeight="1" x14ac:dyDescent="0.3">
      <c r="A8" s="11" t="s">
        <v>71</v>
      </c>
      <c r="B8" s="12">
        <f>SUM(B5:B7)</f>
        <v>1526</v>
      </c>
      <c r="C8" s="13"/>
    </row>
    <row r="9" spans="1:3" ht="15" customHeight="1" x14ac:dyDescent="0.3">
      <c r="A9" s="11" t="s">
        <v>72</v>
      </c>
      <c r="B9" s="14">
        <v>482</v>
      </c>
      <c r="C9" s="13" t="s">
        <v>73</v>
      </c>
    </row>
    <row r="10" spans="1:3" ht="15" customHeight="1" x14ac:dyDescent="0.3">
      <c r="A10" s="11" t="s">
        <v>74</v>
      </c>
      <c r="B10" s="12">
        <f>B8-B9</f>
        <v>1044</v>
      </c>
      <c r="C10" s="13"/>
    </row>
    <row r="11" spans="1:3" ht="15" customHeight="1" x14ac:dyDescent="0.3">
      <c r="A11" s="10" t="s">
        <v>75</v>
      </c>
      <c r="B11" s="10"/>
      <c r="C11" s="10"/>
    </row>
    <row r="12" spans="1:3" ht="15" customHeight="1" x14ac:dyDescent="0.3">
      <c r="A12" s="11" t="s">
        <v>76</v>
      </c>
      <c r="B12" s="12">
        <f>COUNTIFS('Screening Log'!$A$2:$A$1046,"&lt;&gt;",'Screening Log'!$E$2:$E$1046,"&lt;&gt;Snowballing",'Screening Log'!$E$2:$E$1046,"&lt;&gt;Other sources")</f>
        <v>1044</v>
      </c>
      <c r="C12" s="13" t="s">
        <v>77</v>
      </c>
    </row>
    <row r="13" spans="1:3" ht="15" customHeight="1" x14ac:dyDescent="0.3">
      <c r="A13" s="11" t="s">
        <v>78</v>
      </c>
      <c r="B13" s="12">
        <f>COUNTIFS('Screening Log'!$A$2:$A$1046,"&lt;&gt;",'Screening Log'!$E$2:$E$1046,"&lt;&gt;Snowballing",'Screening Log'!$E$2:$E$1046,"&lt;&gt;Other sources",'Screening Log'!$K$2:$K$1046,"Exclude")</f>
        <v>0</v>
      </c>
      <c r="C13" s="13" t="s">
        <v>79</v>
      </c>
    </row>
    <row r="14" spans="1:3" ht="15" customHeight="1" x14ac:dyDescent="0.3">
      <c r="A14" s="11" t="s">
        <v>80</v>
      </c>
      <c r="B14" s="12">
        <f>B12-B13-B15</f>
        <v>1044</v>
      </c>
      <c r="C14" s="13" t="s">
        <v>81</v>
      </c>
    </row>
    <row r="15" spans="1:3" ht="15" customHeight="1" x14ac:dyDescent="0.3">
      <c r="A15" s="11" t="s">
        <v>82</v>
      </c>
      <c r="B15" s="12">
        <f>COUNTIFS('Screening Log'!$A$2:$A$1046,"&lt;&gt;",'Screening Log'!$E$2:$E$1046,"&lt;&gt;Snowballing",'Screening Log'!$E$2:$E$1046,"&lt;&gt;Other sources",'Screening Log'!$K$2:$K$1046,"Include")+COUNTIFS('Screening Log'!$A$2:$A$1046,"&lt;&gt;",'Screening Log'!$E$2:$E$1046,"&lt;&gt;Snowballing",'Screening Log'!$E$2:$E$1046,"&lt;&gt;Other sources",'Screening Log'!$K$2:$K$1046,"Maybe")</f>
        <v>0</v>
      </c>
      <c r="C15" s="13" t="s">
        <v>83</v>
      </c>
    </row>
    <row r="16" spans="1:3" ht="15" customHeight="1" x14ac:dyDescent="0.3">
      <c r="A16" s="11" t="s">
        <v>84</v>
      </c>
      <c r="B16" s="12">
        <f>COUNTIFS('Screening Log'!$A$2:$A$1046,"&lt;&gt;",'Screening Log'!$E$2:$E$1046,"&lt;&gt;Snowballing",'Screening Log'!$E$2:$E$1046,"&lt;&gt;Other sources",'Screening Log'!$M$2:$M$1046,"No")</f>
        <v>0</v>
      </c>
      <c r="C16" s="13"/>
    </row>
    <row r="17" spans="1:3" ht="15" customHeight="1" x14ac:dyDescent="0.3">
      <c r="A17" s="11" t="s">
        <v>85</v>
      </c>
      <c r="B17" s="12">
        <f>B15-B16</f>
        <v>0</v>
      </c>
      <c r="C17" s="13"/>
    </row>
    <row r="18" spans="1:3" ht="15" customHeight="1" x14ac:dyDescent="0.3">
      <c r="A18" s="11" t="s">
        <v>86</v>
      </c>
      <c r="B18" s="12">
        <f>COUNTIFS('Screening Log'!$A$2:$A$1046,"&lt;&gt;",'Screening Log'!$E$2:$E$1046,"&lt;&gt;Snowballing",'Screening Log'!$E$2:$E$1046,"&lt;&gt;Other sources",'Screening Log'!$N$2:$N$1046,"Exclude",'Screening Log'!$O$2:$O$1046,"E1")</f>
        <v>0</v>
      </c>
      <c r="C18" s="13"/>
    </row>
    <row r="19" spans="1:3" ht="15" customHeight="1" x14ac:dyDescent="0.3">
      <c r="A19" s="11" t="s">
        <v>87</v>
      </c>
      <c r="B19" s="12">
        <f>COUNTIFS('Screening Log'!$A$2:$A$1046,"&lt;&gt;",'Screening Log'!$E$2:$E$1046,"&lt;&gt;Snowballing",'Screening Log'!$E$2:$E$1046,"&lt;&gt;Other sources",'Screening Log'!$N$2:$N$1046,"Exclude",'Screening Log'!$O$2:$O$1046,"E2")</f>
        <v>0</v>
      </c>
      <c r="C19" s="13"/>
    </row>
    <row r="20" spans="1:3" ht="15" customHeight="1" x14ac:dyDescent="0.3">
      <c r="A20" s="11" t="s">
        <v>88</v>
      </c>
      <c r="B20" s="12">
        <f>COUNTIFS('Screening Log'!$A$2:$A$1046,"&lt;&gt;",'Screening Log'!$E$2:$E$1046,"&lt;&gt;Snowballing",'Screening Log'!$E$2:$E$1046,"&lt;&gt;Other sources",'Screening Log'!$N$2:$N$1046,"Exclude",'Screening Log'!$O$2:$O$1046,"E3")</f>
        <v>0</v>
      </c>
      <c r="C20" s="13"/>
    </row>
    <row r="21" spans="1:3" ht="15" customHeight="1" x14ac:dyDescent="0.3">
      <c r="A21" s="11" t="s">
        <v>89</v>
      </c>
      <c r="B21" s="12">
        <f>COUNTIFS('Screening Log'!$A$2:$A$1046,"&lt;&gt;",'Screening Log'!$E$2:$E$1046,"&lt;&gt;Snowballing",'Screening Log'!$E$2:$E$1046,"&lt;&gt;Other sources",'Screening Log'!$N$2:$N$1046,"Exclude",'Screening Log'!$O$2:$O$1046,"E4")</f>
        <v>0</v>
      </c>
      <c r="C21" s="13"/>
    </row>
    <row r="22" spans="1:3" ht="15" customHeight="1" x14ac:dyDescent="0.3">
      <c r="A22" s="11" t="s">
        <v>90</v>
      </c>
      <c r="B22" s="12">
        <f>COUNTIFS('Screening Log'!$A$2:$A$1046,"&lt;&gt;",'Screening Log'!$E$2:$E$1046,"&lt;&gt;Snowballing",'Screening Log'!$E$2:$E$1046,"&lt;&gt;Other sources",'Screening Log'!$N$2:$N$1046,"Exclude",'Screening Log'!$O$2:$O$1046,"E6")</f>
        <v>0</v>
      </c>
      <c r="C22" s="13"/>
    </row>
    <row r="23" spans="1:3" ht="15" customHeight="1" x14ac:dyDescent="0.3">
      <c r="A23" s="11" t="s">
        <v>91</v>
      </c>
      <c r="B23" s="12">
        <f>SUM(B18:B22)</f>
        <v>0</v>
      </c>
      <c r="C23" s="13"/>
    </row>
    <row r="24" spans="1:3" ht="15" customHeight="1" x14ac:dyDescent="0.3">
      <c r="A24" s="11" t="s">
        <v>92</v>
      </c>
      <c r="B24" s="12">
        <f>COUNTIFS('Screening Log'!$A$2:$A$1046,"&lt;&gt;",'Screening Log'!$E$2:$E$1046,"&lt;&gt;Snowballing",'Screening Log'!$E$2:$E$1046,"&lt;&gt;Other sources",'Screening Log'!$N$2:$N$1046,"Include")</f>
        <v>0</v>
      </c>
      <c r="C24" s="13"/>
    </row>
    <row r="25" spans="1:3" ht="15" customHeight="1" x14ac:dyDescent="0.3">
      <c r="A25" s="11" t="s">
        <v>93</v>
      </c>
      <c r="B25" s="12">
        <f>B17-B23-B24</f>
        <v>0</v>
      </c>
      <c r="C25" s="13" t="s">
        <v>94</v>
      </c>
    </row>
    <row r="26" spans="1:3" ht="15" customHeight="1" x14ac:dyDescent="0.3">
      <c r="A26" s="10" t="s">
        <v>95</v>
      </c>
      <c r="B26" s="10"/>
      <c r="C26" s="10"/>
    </row>
    <row r="27" spans="1:3" ht="15" customHeight="1" x14ac:dyDescent="0.3">
      <c r="A27" s="11" t="s">
        <v>96</v>
      </c>
      <c r="B27" s="12">
        <f>SUM(COUNTIFS('Screening Log'!$A$2:$A$1046,"&lt;&gt;",'Screening Log'!$E$2:$E$1046,{"Snowballing","Other sources"}))</f>
        <v>1</v>
      </c>
      <c r="C27" s="13" t="s">
        <v>97</v>
      </c>
    </row>
    <row r="28" spans="1:3" ht="15" customHeight="1" x14ac:dyDescent="0.3">
      <c r="A28" s="11" t="s">
        <v>98</v>
      </c>
      <c r="B28" s="12">
        <f>SUM(COUNTIFS('Screening Log'!$A$2:$A$1046,"&lt;&gt;",'Screening Log'!$E$2:$E$1046,{"Snowballing","Other sources"},'Screening Log'!$M$2:$M$1046,"No"))</f>
        <v>0</v>
      </c>
      <c r="C28" s="13"/>
    </row>
    <row r="29" spans="1:3" ht="15" customHeight="1" x14ac:dyDescent="0.3">
      <c r="A29" s="11" t="s">
        <v>85</v>
      </c>
      <c r="B29" s="12">
        <f>B27-B28</f>
        <v>1</v>
      </c>
      <c r="C29" s="13"/>
    </row>
    <row r="30" spans="1:3" ht="15" customHeight="1" x14ac:dyDescent="0.3">
      <c r="A30" s="11" t="s">
        <v>99</v>
      </c>
      <c r="B30" s="12">
        <f>SUM(COUNTIFS('Screening Log'!$A$2:$A$1046,"&lt;&gt;",'Screening Log'!$E$2:$E$1046,{"Snowballing","Other sources"},'Screening Log'!$N$2:$N$1046,"Exclude"))</f>
        <v>0</v>
      </c>
      <c r="C30" s="13" t="s">
        <v>100</v>
      </c>
    </row>
    <row r="31" spans="1:3" ht="15" customHeight="1" x14ac:dyDescent="0.3">
      <c r="A31" s="11" t="s">
        <v>101</v>
      </c>
      <c r="B31" s="12">
        <f>SUM(COUNTIFS('Screening Log'!$A$2:$A$1046,"&lt;&gt;",'Screening Log'!$E$2:$E$1046,{"Snowballing","Other sources"},'Screening Log'!$N$2:$N$1046,"Include"))</f>
        <v>0</v>
      </c>
      <c r="C31" s="13"/>
    </row>
    <row r="32" spans="1:3" ht="15" customHeight="1" x14ac:dyDescent="0.3">
      <c r="A32" s="10" t="s">
        <v>102</v>
      </c>
      <c r="B32" s="10"/>
      <c r="C32" s="10"/>
    </row>
    <row r="33" spans="1:3" ht="15" customHeight="1" x14ac:dyDescent="0.3">
      <c r="A33" s="11" t="s">
        <v>103</v>
      </c>
      <c r="B33" s="15">
        <f>B24+B31</f>
        <v>0</v>
      </c>
      <c r="C33" s="13" t="s">
        <v>104</v>
      </c>
    </row>
    <row r="34" spans="1:3" ht="15" customHeight="1" x14ac:dyDescent="0.3">
      <c r="A34" s="10" t="s">
        <v>105</v>
      </c>
      <c r="B34" s="10"/>
      <c r="C34" s="10"/>
    </row>
    <row r="35" spans="1:3" ht="15" customHeight="1" x14ac:dyDescent="0.3">
      <c r="A35" s="11" t="s">
        <v>106</v>
      </c>
      <c r="B35" s="12">
        <f>COUNTIFS('Screening Log'!$A$2:$A$1046,"&lt;&gt;",'Screening Log'!$E$2:$E$1046,"&lt;&gt;Snowballing",'Screening Log'!$E$2:$E$1046,"&lt;&gt;Other sources",'Screening Log'!$G$2:$G$1046,"&lt;&gt;",'Screening Log'!$H$2:$H$1046,"&lt;&gt;")</f>
        <v>0</v>
      </c>
      <c r="C35" s="13"/>
    </row>
    <row r="36" spans="1:3" ht="15" customHeight="1" x14ac:dyDescent="0.3">
      <c r="A36" s="11" t="s">
        <v>107</v>
      </c>
      <c r="B36" s="12">
        <f>COUNTIFS('Screening Log'!$I$2:$I$1046,"Yes")</f>
        <v>0</v>
      </c>
      <c r="C36" s="13"/>
    </row>
    <row r="37" spans="1:3" ht="15" customHeight="1" x14ac:dyDescent="0.3">
      <c r="A37" s="11" t="s">
        <v>108</v>
      </c>
      <c r="B37" s="16">
        <f>IF(B35=0,0,B36/B35)</f>
        <v>0</v>
      </c>
      <c r="C37" s="13" t="s">
        <v>109</v>
      </c>
    </row>
    <row r="38" spans="1:3" ht="15" customHeight="1" x14ac:dyDescent="0.3">
      <c r="A38" s="11" t="s">
        <v>110</v>
      </c>
      <c r="B38" s="12">
        <f>COUNTIFS('Screening Log'!$K$2:$K$1046,"&lt;&gt;Pending",'Screening Log'!$G$2:$G$1046,"Exclude",'Screening Log'!$H$2:$H$1046,"&lt;&gt;Exclude",'Screening Log'!$H$2:$H$1046,"&lt;&gt;")+COUNTIFS('Screening Log'!$K$2:$K$1046,"&lt;&gt;Pending",'Screening Log'!$H$2:$H$1046,"Exclude",'Screening Log'!$G$2:$G$1046,"&lt;&gt;Exclude",'Screening Log'!$G$2:$G$1046,"&lt;&gt;")</f>
        <v>0</v>
      </c>
      <c r="C38" s="13"/>
    </row>
    <row r="39" spans="1:3" ht="15" customHeight="1" x14ac:dyDescent="0.3">
      <c r="A39" s="10" t="s">
        <v>111</v>
      </c>
      <c r="B39" s="10"/>
      <c r="C39" s="10"/>
    </row>
    <row r="40" spans="1:3" ht="15" customHeight="1" x14ac:dyDescent="0.3">
      <c r="A40" s="11" t="s">
        <v>112</v>
      </c>
      <c r="B40" s="12">
        <f>COUNTIFS('Screening Log'!$A$2:$A$1046,"&lt;&gt;",'Screening Log'!$E$2:$E$1046,"&lt;&gt;Snowballing",'Screening Log'!$E$2:$E$1046,"&lt;&gt;Other sources",'Screening Log'!$F$2:$F$1046,"Pair 1")</f>
        <v>348</v>
      </c>
      <c r="C40" s="13"/>
    </row>
    <row r="41" spans="1:3" ht="15" customHeight="1" x14ac:dyDescent="0.3">
      <c r="A41" s="11" t="s">
        <v>113</v>
      </c>
      <c r="B41" s="12">
        <f>COUNTIFS('Screening Log'!$A$2:$A$1046,"&lt;&gt;",'Screening Log'!$E$2:$E$1046,"&lt;&gt;Snowballing",'Screening Log'!$E$2:$E$1046,"&lt;&gt;Other sources",'Screening Log'!$F$2:$F$1046,"Pair 2")</f>
        <v>348</v>
      </c>
      <c r="C41" s="13"/>
    </row>
    <row r="42" spans="1:3" ht="15" customHeight="1" x14ac:dyDescent="0.3">
      <c r="A42" s="11" t="s">
        <v>114</v>
      </c>
      <c r="B42" s="12">
        <f>COUNTIFS('Screening Log'!$A$2:$A$1046,"&lt;&gt;",'Screening Log'!$E$2:$E$1046,"&lt;&gt;Snowballing",'Screening Log'!$E$2:$E$1046,"&lt;&gt;Other sources",'Screening Log'!$F$2:$F$1046,"Pair 3")</f>
        <v>348</v>
      </c>
      <c r="C42" s="13"/>
    </row>
    <row r="43" spans="1:3" ht="15" customHeight="1" x14ac:dyDescent="0.3">
      <c r="A43" s="11" t="s">
        <v>115</v>
      </c>
      <c r="B43" s="12">
        <f>COUNTIFS('Screening Log'!$L$2:$L$1046,"Saif")</f>
        <v>0</v>
      </c>
      <c r="C43" s="13"/>
    </row>
    <row r="44" spans="1:3" ht="15" customHeight="1" x14ac:dyDescent="0.3">
      <c r="A44" s="11" t="s">
        <v>116</v>
      </c>
      <c r="B44" s="12">
        <f>COUNTIFS('Screening Log'!$L$2:$L$1046,"Naif")</f>
        <v>0</v>
      </c>
      <c r="C44" s="13"/>
    </row>
    <row r="45" spans="1:3" ht="15" customHeight="1" x14ac:dyDescent="0.3">
      <c r="A45" s="11" t="s">
        <v>117</v>
      </c>
      <c r="B45" s="12">
        <f>COUNTIFS('Screening Log'!$L$2:$L$1046,"Sarim")</f>
        <v>0</v>
      </c>
      <c r="C45" s="13"/>
    </row>
    <row r="46" spans="1:3" ht="15" customHeight="1" x14ac:dyDescent="0.3">
      <c r="A46" s="11" t="s">
        <v>118</v>
      </c>
      <c r="B46" s="12">
        <f>COUNTIFS('Screening Log'!$L$2:$L$1046,"Hassan")</f>
        <v>0</v>
      </c>
      <c r="C46" s="13"/>
    </row>
    <row r="47" spans="1:3" ht="15" customHeight="1" x14ac:dyDescent="0.3">
      <c r="A47" s="11" t="s">
        <v>119</v>
      </c>
      <c r="B47" s="12">
        <f>COUNTIFS('Screening Log'!$L$2:$L$1046,"Khalid")</f>
        <v>0</v>
      </c>
      <c r="C47" s="13"/>
    </row>
    <row r="48" spans="1:3" ht="15" customHeight="1" x14ac:dyDescent="0.3">
      <c r="A48" s="11" t="s">
        <v>120</v>
      </c>
      <c r="B48" s="12">
        <f>COUNTIFS('Screening Log'!$L$2:$L$1046,"Abdullah")</f>
        <v>0</v>
      </c>
      <c r="C48" s="13"/>
    </row>
    <row r="49" spans="1:3" ht="15" customHeight="1" x14ac:dyDescent="0.3">
      <c r="A49" s="10" t="s">
        <v>35</v>
      </c>
      <c r="B49" s="10"/>
      <c r="C49" s="10"/>
    </row>
    <row r="50" spans="1:3" ht="15" customHeight="1" x14ac:dyDescent="0.3">
      <c r="A50" s="11" t="s">
        <v>121</v>
      </c>
      <c r="B50" s="29" t="str">
        <f>IF(B9="","Waiting for duplicate count",IF(B12=B10,"OK","Mismatch: "&amp;B12&amp;" rows vs "&amp;B10&amp;" expected"))</f>
        <v>OK</v>
      </c>
      <c r="C50" s="30"/>
    </row>
    <row r="51" spans="1:3" ht="15" customHeight="1" x14ac:dyDescent="0.3">
      <c r="A51" s="11" t="s">
        <v>122</v>
      </c>
      <c r="B51" s="29" t="str">
        <f>IF(COUNTIFS('Screening Log'!$A$2:$A$1046,"&lt;&gt;",'Screening Log'!$E$2:$E$1046,"&lt;&gt;Snowballing",'Screening Log'!$E$2:$E$1046,"&lt;&gt;Other sources",'Screening Log'!$F$2:$F$1046,"")=0,"OK",COUNTIFS('Screening Log'!$A$2:$A$1046,"&lt;&gt;",'Screening Log'!$E$2:$E$1046,"&lt;&gt;Snowballing",'Screening Log'!$E$2:$E$1046,"&lt;&gt;Other sources",'Screening Log'!$F$2:$F$1046,"")&amp;" record(s) with no pair")</f>
        <v>OK</v>
      </c>
      <c r="C51" s="30"/>
    </row>
    <row r="52" spans="1:3" ht="15" customHeight="1" x14ac:dyDescent="0.3">
      <c r="A52" s="11" t="s">
        <v>123</v>
      </c>
      <c r="B52" s="29" t="str">
        <f>IF(COUNTIFS('Screening Log'!$A$2:$A$1046,"&lt;&gt;",'Screening Log'!$E$2:$E$1046,"&lt;&gt;Snowballing",'Screening Log'!$E$2:$E$1046,"&lt;&gt;Other sources",'Screening Log'!$K$2:$K$1046,"Waiting")=0,"OK",COUNTIFS('Screening Log'!$A$2:$A$1046,"&lt;&gt;",'Screening Log'!$E$2:$E$1046,"&lt;&gt;Snowballing",'Screening Log'!$E$2:$E$1046,"&lt;&gt;Other sources",'Screening Log'!$K$2:$K$1046,"Waiting")&amp;" record(s) still need a second decision")</f>
        <v>OK</v>
      </c>
      <c r="C52" s="30"/>
    </row>
    <row r="53" spans="1:3" ht="15" customHeight="1" x14ac:dyDescent="0.3">
      <c r="A53" s="11" t="s">
        <v>124</v>
      </c>
      <c r="B53" s="29" t="str">
        <f>IF(COUNTIFS('Screening Log'!$K$2:$K$1046,"Pending")=0,"OK",COUNTIFS('Screening Log'!$K$2:$K$1046,"Pending")&amp;" pending: tie-breaker to resolve")</f>
        <v>OK</v>
      </c>
      <c r="C53" s="30"/>
    </row>
    <row r="54" spans="1:3" ht="15" customHeight="1" x14ac:dyDescent="0.3">
      <c r="A54" s="11" t="s">
        <v>125</v>
      </c>
      <c r="B54" s="29" t="str">
        <f>IF(COUNTIFS('Screening Log'!$N$2:$N$1046,"Exclude",'Screening Log'!$O$2:$O$1046,"")=0,"OK",COUNTIFS('Screening Log'!$N$2:$N$1046,"Exclude",'Screening Log'!$O$2:$O$1046,"")&amp;" exclusion(s) missing a code")</f>
        <v>OK</v>
      </c>
      <c r="C54" s="30"/>
    </row>
    <row r="55" spans="1:3" ht="15" customHeight="1" x14ac:dyDescent="0.3">
      <c r="A55" s="11" t="s">
        <v>126</v>
      </c>
      <c r="B55" s="29" t="str">
        <f>IF(COUNTIFS('Screening Log'!$A$2:$A$1046,"&lt;&gt;",'Screening Log'!$E$2:$E$1046,"&lt;&gt;Snowballing",'Screening Log'!$E$2:$E$1046,"&lt;&gt;Other sources",'Screening Log'!$K$2:$K$1046,"Include",'Screening Log'!$L$2:$L$1046,"")+COUNTIFS('Screening Log'!$A$2:$A$1046,"&lt;&gt;",'Screening Log'!$E$2:$E$1046,"&lt;&gt;Snowballing",'Screening Log'!$E$2:$E$1046,"&lt;&gt;Other sources",'Screening Log'!$K$2:$K$1046,"Maybe",'Screening Log'!$L$2:$L$1046,"")+SUM(COUNTIFS('Screening Log'!$A$2:$A$1046,"&lt;&gt;",'Screening Log'!$E$2:$E$1046,{"Snowballing","Other sources"},'Screening Log'!$L$2:$L$1046,""))=0,"OK",COUNTIFS('Screening Log'!$A$2:$A$1046,"&lt;&gt;",'Screening Log'!$E$2:$E$1046,"&lt;&gt;Snowballing",'Screening Log'!$E$2:$E$1046,"&lt;&gt;Other sources",'Screening Log'!$K$2:$K$1046,"Include",'Screening Log'!$L$2:$L$1046,"")+COUNTIFS('Screening Log'!$A$2:$A$1046,"&lt;&gt;",'Screening Log'!$E$2:$E$1046,"&lt;&gt;Snowballing",'Screening Log'!$E$2:$E$1046,"&lt;&gt;Other sources",'Screening Log'!$K$2:$K$1046,"Maybe",'Screening Log'!$L$2:$L$1046,"")+SUM(COUNTIFS('Screening Log'!$A$2:$A$1046,"&lt;&gt;",'Screening Log'!$E$2:$E$1046,{"Snowballing","Other sources"},'Screening Log'!$L$2:$L$1046,""))&amp;" paper(s) with no reader")</f>
        <v>1 paper(s) with no reader</v>
      </c>
      <c r="C55" s="30"/>
    </row>
  </sheetData>
  <mergeCells count="6">
    <mergeCell ref="B55:C55"/>
    <mergeCell ref="B52:C52"/>
    <mergeCell ref="B54:C54"/>
    <mergeCell ref="B51:C51"/>
    <mergeCell ref="B50:C50"/>
    <mergeCell ref="B53:C5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zoomScaleNormal="100" workbookViewId="0"/>
  </sheetViews>
  <sheetFormatPr defaultColWidth="8.6640625" defaultRowHeight="14.4" x14ac:dyDescent="0.3"/>
  <cols>
    <col min="1" max="1" width="15" customWidth="1"/>
    <col min="2" max="2" width="78" customWidth="1"/>
    <col min="3" max="3" width="4" customWidth="1"/>
    <col min="4" max="4" width="14" customWidth="1"/>
    <col min="5" max="5" width="11" customWidth="1"/>
    <col min="6" max="6" width="9" customWidth="1"/>
    <col min="7" max="8" width="12" customWidth="1"/>
    <col min="9" max="9" width="20" customWidth="1"/>
    <col min="10" max="10" width="12" customWidth="1"/>
  </cols>
  <sheetData>
    <row r="1" spans="1:10" ht="15" customHeight="1" x14ac:dyDescent="0.3">
      <c r="A1" s="17" t="s">
        <v>61</v>
      </c>
      <c r="B1" s="17" t="s">
        <v>127</v>
      </c>
      <c r="D1" s="18" t="s">
        <v>128</v>
      </c>
      <c r="E1" s="18" t="s">
        <v>129</v>
      </c>
      <c r="F1" s="18" t="s">
        <v>49</v>
      </c>
      <c r="G1" s="18" t="s">
        <v>130</v>
      </c>
      <c r="H1" s="18" t="s">
        <v>131</v>
      </c>
      <c r="I1" s="18" t="s">
        <v>132</v>
      </c>
      <c r="J1" s="18" t="s">
        <v>133</v>
      </c>
    </row>
    <row r="2" spans="1:10" ht="15" customHeight="1" x14ac:dyDescent="0.3">
      <c r="A2" s="19" t="s">
        <v>134</v>
      </c>
      <c r="B2" s="19" t="s">
        <v>135</v>
      </c>
      <c r="D2" s="19" t="s">
        <v>136</v>
      </c>
      <c r="E2" s="19" t="s">
        <v>137</v>
      </c>
      <c r="F2" s="19" t="s">
        <v>11</v>
      </c>
      <c r="G2" s="19" t="s">
        <v>137</v>
      </c>
      <c r="H2" s="19" t="s">
        <v>138</v>
      </c>
      <c r="I2" s="19" t="s">
        <v>136</v>
      </c>
      <c r="J2" s="19" t="s">
        <v>139</v>
      </c>
    </row>
    <row r="3" spans="1:10" ht="15" customHeight="1" x14ac:dyDescent="0.3">
      <c r="A3" s="19" t="s">
        <v>140</v>
      </c>
      <c r="B3" s="19" t="s">
        <v>141</v>
      </c>
      <c r="D3" s="19" t="s">
        <v>142</v>
      </c>
      <c r="E3" s="19" t="s">
        <v>138</v>
      </c>
      <c r="F3" s="19" t="s">
        <v>13</v>
      </c>
      <c r="G3" s="19" t="s">
        <v>143</v>
      </c>
      <c r="H3" s="19" t="s">
        <v>144</v>
      </c>
      <c r="I3" s="19" t="s">
        <v>142</v>
      </c>
      <c r="J3" s="19" t="s">
        <v>145</v>
      </c>
    </row>
    <row r="4" spans="1:10" ht="15" customHeight="1" x14ac:dyDescent="0.3">
      <c r="A4" s="19" t="s">
        <v>146</v>
      </c>
      <c r="B4" s="19" t="s">
        <v>147</v>
      </c>
      <c r="D4" s="19" t="s">
        <v>48</v>
      </c>
      <c r="E4" s="19" t="s">
        <v>143</v>
      </c>
      <c r="F4" s="19" t="s">
        <v>15</v>
      </c>
      <c r="G4" s="19" t="s">
        <v>58</v>
      </c>
      <c r="H4" s="19" t="s">
        <v>148</v>
      </c>
      <c r="I4" s="19" t="s">
        <v>48</v>
      </c>
      <c r="J4" s="19" t="s">
        <v>149</v>
      </c>
    </row>
    <row r="5" spans="1:10" ht="15" customHeight="1" x14ac:dyDescent="0.3">
      <c r="A5" s="19" t="s">
        <v>150</v>
      </c>
      <c r="B5" s="19" t="s">
        <v>151</v>
      </c>
      <c r="D5" s="19" t="s">
        <v>26</v>
      </c>
      <c r="E5" s="19" t="s">
        <v>144</v>
      </c>
    </row>
    <row r="6" spans="1:10" ht="15" customHeight="1" x14ac:dyDescent="0.3">
      <c r="A6" s="19" t="s">
        <v>152</v>
      </c>
      <c r="B6" s="19" t="s">
        <v>153</v>
      </c>
      <c r="D6" s="19" t="s">
        <v>154</v>
      </c>
      <c r="E6" s="19" t="s">
        <v>58</v>
      </c>
    </row>
    <row r="7" spans="1:10" ht="15" customHeight="1" x14ac:dyDescent="0.3">
      <c r="A7" s="19" t="s">
        <v>155</v>
      </c>
      <c r="B7" s="19" t="s">
        <v>156</v>
      </c>
      <c r="E7" s="19" t="s">
        <v>148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zoomScaleNormal="100" workbookViewId="0">
      <pane ySplit="1" topLeftCell="A2" activePane="bottomLeft" state="frozen"/>
      <selection pane="bottomLeft"/>
    </sheetView>
  </sheetViews>
  <sheetFormatPr defaultColWidth="8.6640625" defaultRowHeight="14.4" x14ac:dyDescent="0.3"/>
  <cols>
    <col min="1" max="1" width="20" customWidth="1"/>
    <col min="2" max="2" width="8" customWidth="1"/>
    <col min="3" max="3" width="10" customWidth="1"/>
    <col min="4" max="4" width="12" customWidth="1"/>
    <col min="5" max="5" width="13" customWidth="1"/>
    <col min="6" max="6" width="64" customWidth="1"/>
    <col min="7" max="7" width="30" customWidth="1"/>
    <col min="8" max="8" width="10" customWidth="1"/>
    <col min="9" max="9" width="30" customWidth="1"/>
  </cols>
  <sheetData>
    <row r="1" spans="1:9" ht="23.85" customHeight="1" x14ac:dyDescent="0.3">
      <c r="A1" s="17" t="s">
        <v>132</v>
      </c>
      <c r="B1" s="17" t="s">
        <v>49</v>
      </c>
      <c r="C1" s="17" t="s">
        <v>157</v>
      </c>
      <c r="D1" s="17" t="s">
        <v>158</v>
      </c>
      <c r="E1" s="17" t="s">
        <v>159</v>
      </c>
      <c r="F1" s="17" t="s">
        <v>160</v>
      </c>
      <c r="G1" s="17" t="s">
        <v>161</v>
      </c>
      <c r="H1" s="17" t="s">
        <v>162</v>
      </c>
      <c r="I1" s="17" t="s">
        <v>163</v>
      </c>
    </row>
    <row r="2" spans="1:9" ht="60" customHeight="1" x14ac:dyDescent="0.3">
      <c r="A2" s="20" t="s">
        <v>136</v>
      </c>
      <c r="B2" s="20" t="s">
        <v>11</v>
      </c>
      <c r="C2" s="20" t="s">
        <v>137</v>
      </c>
      <c r="D2" s="21" t="s">
        <v>138</v>
      </c>
      <c r="E2" s="22">
        <v>46305</v>
      </c>
      <c r="F2" s="21" t="s">
        <v>164</v>
      </c>
      <c r="G2" s="21" t="s">
        <v>165</v>
      </c>
      <c r="H2" s="23">
        <v>337</v>
      </c>
      <c r="I2" s="21" t="s">
        <v>166</v>
      </c>
    </row>
    <row r="3" spans="1:9" ht="60" customHeight="1" x14ac:dyDescent="0.3">
      <c r="A3" s="20" t="s">
        <v>142</v>
      </c>
      <c r="B3" s="20" t="s">
        <v>13</v>
      </c>
      <c r="C3" s="20" t="s">
        <v>143</v>
      </c>
      <c r="D3" s="21" t="s">
        <v>144</v>
      </c>
      <c r="E3" s="22">
        <v>46305</v>
      </c>
      <c r="F3" s="21" t="s">
        <v>167</v>
      </c>
      <c r="G3" s="21" t="s">
        <v>168</v>
      </c>
      <c r="H3" s="23">
        <v>172</v>
      </c>
      <c r="I3" s="21" t="s">
        <v>169</v>
      </c>
    </row>
    <row r="4" spans="1:9" ht="60" customHeight="1" x14ac:dyDescent="0.3">
      <c r="A4" s="20" t="s">
        <v>48</v>
      </c>
      <c r="B4" s="20" t="s">
        <v>15</v>
      </c>
      <c r="C4" s="20" t="s">
        <v>58</v>
      </c>
      <c r="D4" s="21" t="s">
        <v>148</v>
      </c>
      <c r="E4" s="22">
        <v>46305</v>
      </c>
      <c r="F4" s="21" t="s">
        <v>170</v>
      </c>
      <c r="G4" s="21" t="s">
        <v>171</v>
      </c>
      <c r="H4" s="23">
        <v>1017</v>
      </c>
      <c r="I4" s="21" t="s">
        <v>172</v>
      </c>
    </row>
    <row r="5" spans="1:9" ht="15" customHeight="1" x14ac:dyDescent="0.3">
      <c r="A5" s="24" t="s">
        <v>173</v>
      </c>
      <c r="B5" s="25"/>
      <c r="C5" s="25"/>
      <c r="D5" s="25"/>
      <c r="E5" s="25"/>
      <c r="F5" s="25"/>
      <c r="G5" s="25"/>
      <c r="H5" s="26">
        <f>SUM(H2:H4)</f>
        <v>1526</v>
      </c>
      <c r="I5" s="25"/>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46"/>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10" customWidth="1"/>
    <col min="2" max="2" width="52" customWidth="1"/>
    <col min="3" max="3" width="28" customWidth="1"/>
    <col min="4" max="4" width="7" customWidth="1"/>
    <col min="5" max="5" width="13" customWidth="1"/>
    <col min="6" max="6" width="9" customWidth="1"/>
    <col min="7" max="8" width="12" customWidth="1"/>
    <col min="9" max="9" width="8" customWidth="1"/>
    <col min="10" max="10" width="12" customWidth="1"/>
    <col min="11" max="11" width="10" customWidth="1"/>
    <col min="12" max="12" width="12" customWidth="1"/>
    <col min="13" max="13" width="11" customWidth="1"/>
    <col min="14" max="14" width="12" customWidth="1"/>
    <col min="15" max="15" width="10" customWidth="1"/>
    <col min="16" max="16" width="36" customWidth="1"/>
    <col min="17" max="17" width="100" customWidth="1"/>
  </cols>
  <sheetData>
    <row r="1" spans="1:17" ht="30" customHeight="1" x14ac:dyDescent="0.3">
      <c r="A1" s="17" t="s">
        <v>39</v>
      </c>
      <c r="B1" s="17" t="s">
        <v>41</v>
      </c>
      <c r="C1" s="17" t="s">
        <v>43</v>
      </c>
      <c r="D1" s="17" t="s">
        <v>45</v>
      </c>
      <c r="E1" s="17" t="s">
        <v>47</v>
      </c>
      <c r="F1" s="17" t="s">
        <v>49</v>
      </c>
      <c r="G1" s="17" t="s">
        <v>50</v>
      </c>
      <c r="H1" s="17" t="s">
        <v>52</v>
      </c>
      <c r="I1" s="17" t="s">
        <v>53</v>
      </c>
      <c r="J1" s="17" t="s">
        <v>55</v>
      </c>
      <c r="K1" s="17" t="s">
        <v>56</v>
      </c>
      <c r="L1" s="17" t="s">
        <v>57</v>
      </c>
      <c r="M1" s="17" t="s">
        <v>59</v>
      </c>
      <c r="N1" s="17" t="s">
        <v>60</v>
      </c>
      <c r="O1" s="17" t="s">
        <v>61</v>
      </c>
      <c r="P1" s="17" t="s">
        <v>62</v>
      </c>
      <c r="Q1" s="17" t="s">
        <v>174</v>
      </c>
    </row>
    <row r="2" spans="1:17" ht="15" customHeight="1" x14ac:dyDescent="0.3">
      <c r="A2" s="27" t="s">
        <v>175</v>
      </c>
      <c r="B2" s="27" t="s">
        <v>176</v>
      </c>
      <c r="C2" s="27" t="s">
        <v>177</v>
      </c>
      <c r="D2" s="27">
        <v>2025</v>
      </c>
      <c r="E2" s="27" t="s">
        <v>48</v>
      </c>
      <c r="F2" s="27" t="s">
        <v>11</v>
      </c>
      <c r="G2" s="27"/>
      <c r="H2" s="27"/>
      <c r="I2" s="28" t="str">
        <f t="shared" ref="I2:I65" si="0">IF(OR(G2="",H2=""),"",IF(G2=H2,"Yes","No"))</f>
        <v/>
      </c>
      <c r="J2" s="27"/>
      <c r="K2" s="28" t="str">
        <f t="shared" ref="K2:K65" si="1">IF(OR(E2="Snowballing",E2="Other sources"),"n/a",IF(AND(G2="",H2=""),"",IF(OR(G2="",H2=""),"Waiting",IF(G2=H2,G2,IF(AND(G2&lt;&gt;"Exclude",H2&lt;&gt;"Exclude"),"Maybe",IF(J2&lt;&gt;"",J2,"Pending"))))))</f>
        <v/>
      </c>
      <c r="L2" s="27"/>
      <c r="M2" s="27"/>
      <c r="N2" s="27"/>
      <c r="O2" s="27"/>
      <c r="P2" s="27" t="s">
        <v>178</v>
      </c>
      <c r="Q2" s="27" t="s">
        <v>179</v>
      </c>
    </row>
    <row r="3" spans="1:17" ht="15" customHeight="1" x14ac:dyDescent="0.3">
      <c r="A3" s="27" t="s">
        <v>180</v>
      </c>
      <c r="B3" s="27" t="s">
        <v>181</v>
      </c>
      <c r="C3" s="27" t="s">
        <v>182</v>
      </c>
      <c r="D3" s="27">
        <v>2024</v>
      </c>
      <c r="E3" s="27" t="s">
        <v>48</v>
      </c>
      <c r="F3" s="27" t="s">
        <v>13</v>
      </c>
      <c r="G3" s="27"/>
      <c r="H3" s="27"/>
      <c r="I3" s="28" t="str">
        <f t="shared" si="0"/>
        <v/>
      </c>
      <c r="J3" s="27"/>
      <c r="K3" s="28" t="str">
        <f t="shared" si="1"/>
        <v/>
      </c>
      <c r="L3" s="27"/>
      <c r="M3" s="27"/>
      <c r="N3" s="27"/>
      <c r="O3" s="27"/>
      <c r="P3" s="27" t="s">
        <v>183</v>
      </c>
      <c r="Q3" s="27" t="s">
        <v>184</v>
      </c>
    </row>
    <row r="4" spans="1:17" ht="15" customHeight="1" x14ac:dyDescent="0.3">
      <c r="A4" s="27" t="s">
        <v>185</v>
      </c>
      <c r="B4" s="27" t="s">
        <v>186</v>
      </c>
      <c r="C4" s="27" t="s">
        <v>187</v>
      </c>
      <c r="D4" s="27">
        <v>2024</v>
      </c>
      <c r="E4" s="27" t="s">
        <v>48</v>
      </c>
      <c r="F4" s="27" t="s">
        <v>15</v>
      </c>
      <c r="G4" s="27"/>
      <c r="H4" s="27"/>
      <c r="I4" s="28" t="str">
        <f t="shared" si="0"/>
        <v/>
      </c>
      <c r="J4" s="27"/>
      <c r="K4" s="28" t="str">
        <f t="shared" si="1"/>
        <v/>
      </c>
      <c r="L4" s="27"/>
      <c r="M4" s="27"/>
      <c r="N4" s="27"/>
      <c r="O4" s="27"/>
      <c r="P4" s="27" t="s">
        <v>188</v>
      </c>
      <c r="Q4" s="27" t="s">
        <v>189</v>
      </c>
    </row>
    <row r="5" spans="1:17" ht="15" customHeight="1" x14ac:dyDescent="0.3">
      <c r="A5" s="27" t="s">
        <v>190</v>
      </c>
      <c r="B5" s="27" t="s">
        <v>191</v>
      </c>
      <c r="C5" s="27" t="s">
        <v>192</v>
      </c>
      <c r="D5" s="27">
        <v>2019</v>
      </c>
      <c r="E5" s="27" t="s">
        <v>48</v>
      </c>
      <c r="F5" s="27" t="s">
        <v>11</v>
      </c>
      <c r="G5" s="27"/>
      <c r="H5" s="27"/>
      <c r="I5" s="28" t="str">
        <f t="shared" si="0"/>
        <v/>
      </c>
      <c r="J5" s="27"/>
      <c r="K5" s="28" t="str">
        <f t="shared" si="1"/>
        <v/>
      </c>
      <c r="L5" s="27"/>
      <c r="M5" s="27"/>
      <c r="N5" s="27"/>
      <c r="O5" s="27"/>
      <c r="P5" s="27" t="s">
        <v>193</v>
      </c>
      <c r="Q5" s="27" t="s">
        <v>194</v>
      </c>
    </row>
    <row r="6" spans="1:17" ht="15" customHeight="1" x14ac:dyDescent="0.3">
      <c r="A6" s="27" t="s">
        <v>195</v>
      </c>
      <c r="B6" s="27" t="s">
        <v>196</v>
      </c>
      <c r="C6" s="27" t="s">
        <v>197</v>
      </c>
      <c r="D6" s="27">
        <v>2024</v>
      </c>
      <c r="E6" s="27" t="s">
        <v>48</v>
      </c>
      <c r="F6" s="27" t="s">
        <v>13</v>
      </c>
      <c r="G6" s="27"/>
      <c r="H6" s="27"/>
      <c r="I6" s="28" t="str">
        <f t="shared" si="0"/>
        <v/>
      </c>
      <c r="J6" s="27"/>
      <c r="K6" s="28" t="str">
        <f t="shared" si="1"/>
        <v/>
      </c>
      <c r="L6" s="27"/>
      <c r="M6" s="27"/>
      <c r="N6" s="27"/>
      <c r="O6" s="27"/>
      <c r="P6" s="27" t="s">
        <v>198</v>
      </c>
      <c r="Q6" s="27" t="s">
        <v>199</v>
      </c>
    </row>
    <row r="7" spans="1:17" ht="15" customHeight="1" x14ac:dyDescent="0.3">
      <c r="A7" s="27" t="s">
        <v>200</v>
      </c>
      <c r="B7" s="27" t="s">
        <v>201</v>
      </c>
      <c r="C7" s="27" t="s">
        <v>202</v>
      </c>
      <c r="D7" s="27">
        <v>2018</v>
      </c>
      <c r="E7" s="27" t="s">
        <v>48</v>
      </c>
      <c r="F7" s="27" t="s">
        <v>15</v>
      </c>
      <c r="G7" s="27"/>
      <c r="H7" s="27"/>
      <c r="I7" s="28" t="str">
        <f t="shared" si="0"/>
        <v/>
      </c>
      <c r="J7" s="27"/>
      <c r="K7" s="28" t="str">
        <f t="shared" si="1"/>
        <v/>
      </c>
      <c r="L7" s="27"/>
      <c r="M7" s="27"/>
      <c r="N7" s="27"/>
      <c r="O7" s="27"/>
      <c r="P7" s="27" t="s">
        <v>203</v>
      </c>
      <c r="Q7" s="27" t="s">
        <v>204</v>
      </c>
    </row>
    <row r="8" spans="1:17" ht="15" customHeight="1" x14ac:dyDescent="0.3">
      <c r="A8" s="27" t="s">
        <v>205</v>
      </c>
      <c r="B8" s="27" t="s">
        <v>206</v>
      </c>
      <c r="C8" s="27" t="s">
        <v>207</v>
      </c>
      <c r="D8" s="27">
        <v>2024</v>
      </c>
      <c r="E8" s="27" t="s">
        <v>48</v>
      </c>
      <c r="F8" s="27" t="s">
        <v>11</v>
      </c>
      <c r="G8" s="27"/>
      <c r="H8" s="27"/>
      <c r="I8" s="28" t="str">
        <f t="shared" si="0"/>
        <v/>
      </c>
      <c r="J8" s="27"/>
      <c r="K8" s="28" t="str">
        <f t="shared" si="1"/>
        <v/>
      </c>
      <c r="L8" s="27"/>
      <c r="M8" s="27"/>
      <c r="N8" s="27"/>
      <c r="O8" s="27"/>
      <c r="P8" s="27" t="s">
        <v>208</v>
      </c>
      <c r="Q8" s="27" t="s">
        <v>209</v>
      </c>
    </row>
    <row r="9" spans="1:17" ht="15" customHeight="1" x14ac:dyDescent="0.3">
      <c r="A9" s="27" t="s">
        <v>210</v>
      </c>
      <c r="B9" s="27" t="s">
        <v>211</v>
      </c>
      <c r="C9" s="27" t="s">
        <v>212</v>
      </c>
      <c r="D9" s="27">
        <v>2025</v>
      </c>
      <c r="E9" s="27" t="s">
        <v>48</v>
      </c>
      <c r="F9" s="27" t="s">
        <v>13</v>
      </c>
      <c r="G9" s="27"/>
      <c r="H9" s="27"/>
      <c r="I9" s="28" t="str">
        <f t="shared" si="0"/>
        <v/>
      </c>
      <c r="J9" s="27"/>
      <c r="K9" s="28" t="str">
        <f t="shared" si="1"/>
        <v/>
      </c>
      <c r="L9" s="27"/>
      <c r="M9" s="27"/>
      <c r="N9" s="27"/>
      <c r="O9" s="27"/>
      <c r="P9" s="27" t="s">
        <v>213</v>
      </c>
      <c r="Q9" s="27" t="s">
        <v>214</v>
      </c>
    </row>
    <row r="10" spans="1:17" ht="15" customHeight="1" x14ac:dyDescent="0.3">
      <c r="A10" s="27" t="s">
        <v>215</v>
      </c>
      <c r="B10" s="27" t="s">
        <v>216</v>
      </c>
      <c r="C10" s="27" t="s">
        <v>217</v>
      </c>
      <c r="D10" s="27">
        <v>2026</v>
      </c>
      <c r="E10" s="27" t="s">
        <v>48</v>
      </c>
      <c r="F10" s="27" t="s">
        <v>15</v>
      </c>
      <c r="G10" s="27"/>
      <c r="H10" s="27"/>
      <c r="I10" s="28" t="str">
        <f t="shared" si="0"/>
        <v/>
      </c>
      <c r="J10" s="27"/>
      <c r="K10" s="28" t="str">
        <f t="shared" si="1"/>
        <v/>
      </c>
      <c r="L10" s="27"/>
      <c r="M10" s="27"/>
      <c r="N10" s="27"/>
      <c r="O10" s="27"/>
      <c r="P10" s="27" t="s">
        <v>218</v>
      </c>
      <c r="Q10" s="27" t="s">
        <v>219</v>
      </c>
    </row>
    <row r="11" spans="1:17" ht="15" customHeight="1" x14ac:dyDescent="0.3">
      <c r="A11" s="27" t="s">
        <v>220</v>
      </c>
      <c r="B11" s="27" t="s">
        <v>221</v>
      </c>
      <c r="C11" s="27" t="s">
        <v>222</v>
      </c>
      <c r="D11" s="27">
        <v>2026</v>
      </c>
      <c r="E11" s="27" t="s">
        <v>48</v>
      </c>
      <c r="F11" s="27" t="s">
        <v>11</v>
      </c>
      <c r="G11" s="27"/>
      <c r="H11" s="27"/>
      <c r="I11" s="28" t="str">
        <f t="shared" si="0"/>
        <v/>
      </c>
      <c r="J11" s="27"/>
      <c r="K11" s="28" t="str">
        <f t="shared" si="1"/>
        <v/>
      </c>
      <c r="L11" s="27"/>
      <c r="M11" s="27"/>
      <c r="N11" s="27"/>
      <c r="O11" s="27"/>
      <c r="P11" s="27" t="s">
        <v>223</v>
      </c>
      <c r="Q11" s="27" t="s">
        <v>224</v>
      </c>
    </row>
    <row r="12" spans="1:17" ht="15" customHeight="1" x14ac:dyDescent="0.3">
      <c r="A12" s="27" t="s">
        <v>225</v>
      </c>
      <c r="B12" s="27" t="s">
        <v>226</v>
      </c>
      <c r="C12" s="27" t="s">
        <v>227</v>
      </c>
      <c r="D12" s="27">
        <v>2025</v>
      </c>
      <c r="E12" s="27" t="s">
        <v>48</v>
      </c>
      <c r="F12" s="27" t="s">
        <v>13</v>
      </c>
      <c r="G12" s="27"/>
      <c r="H12" s="27"/>
      <c r="I12" s="28" t="str">
        <f t="shared" si="0"/>
        <v/>
      </c>
      <c r="J12" s="27"/>
      <c r="K12" s="28" t="str">
        <f t="shared" si="1"/>
        <v/>
      </c>
      <c r="L12" s="27"/>
      <c r="M12" s="27"/>
      <c r="N12" s="27"/>
      <c r="O12" s="27"/>
      <c r="P12" s="27" t="s">
        <v>228</v>
      </c>
      <c r="Q12" s="27" t="s">
        <v>229</v>
      </c>
    </row>
    <row r="13" spans="1:17" ht="15" customHeight="1" x14ac:dyDescent="0.3">
      <c r="A13" s="27" t="s">
        <v>230</v>
      </c>
      <c r="B13" s="27" t="s">
        <v>231</v>
      </c>
      <c r="C13" s="27" t="s">
        <v>232</v>
      </c>
      <c r="D13" s="27">
        <v>2025</v>
      </c>
      <c r="E13" s="27" t="s">
        <v>48</v>
      </c>
      <c r="F13" s="27" t="s">
        <v>15</v>
      </c>
      <c r="G13" s="27"/>
      <c r="H13" s="27"/>
      <c r="I13" s="28" t="str">
        <f t="shared" si="0"/>
        <v/>
      </c>
      <c r="J13" s="27"/>
      <c r="K13" s="28" t="str">
        <f t="shared" si="1"/>
        <v/>
      </c>
      <c r="L13" s="27"/>
      <c r="M13" s="27"/>
      <c r="N13" s="27"/>
      <c r="O13" s="27"/>
      <c r="P13" s="27" t="s">
        <v>233</v>
      </c>
      <c r="Q13" s="27" t="s">
        <v>234</v>
      </c>
    </row>
    <row r="14" spans="1:17" ht="15" customHeight="1" x14ac:dyDescent="0.3">
      <c r="A14" s="27" t="s">
        <v>235</v>
      </c>
      <c r="B14" s="27" t="s">
        <v>236</v>
      </c>
      <c r="C14" s="27" t="s">
        <v>237</v>
      </c>
      <c r="D14" s="27">
        <v>2019</v>
      </c>
      <c r="E14" s="27" t="s">
        <v>48</v>
      </c>
      <c r="F14" s="27" t="s">
        <v>11</v>
      </c>
      <c r="G14" s="27"/>
      <c r="H14" s="27"/>
      <c r="I14" s="28" t="str">
        <f t="shared" si="0"/>
        <v/>
      </c>
      <c r="J14" s="27"/>
      <c r="K14" s="28" t="str">
        <f t="shared" si="1"/>
        <v/>
      </c>
      <c r="L14" s="27"/>
      <c r="M14" s="27"/>
      <c r="N14" s="27"/>
      <c r="O14" s="27"/>
      <c r="P14" s="27" t="s">
        <v>238</v>
      </c>
      <c r="Q14" s="27" t="s">
        <v>239</v>
      </c>
    </row>
    <row r="15" spans="1:17" ht="15" customHeight="1" x14ac:dyDescent="0.3">
      <c r="A15" s="27" t="s">
        <v>240</v>
      </c>
      <c r="B15" s="27" t="s">
        <v>241</v>
      </c>
      <c r="C15" s="27" t="s">
        <v>242</v>
      </c>
      <c r="D15" s="27">
        <v>2026</v>
      </c>
      <c r="E15" s="27" t="s">
        <v>136</v>
      </c>
      <c r="F15" s="27" t="s">
        <v>13</v>
      </c>
      <c r="G15" s="27"/>
      <c r="H15" s="27"/>
      <c r="I15" s="28" t="str">
        <f t="shared" si="0"/>
        <v/>
      </c>
      <c r="J15" s="27"/>
      <c r="K15" s="28" t="str">
        <f t="shared" si="1"/>
        <v/>
      </c>
      <c r="L15" s="27"/>
      <c r="M15" s="27"/>
      <c r="N15" s="27"/>
      <c r="O15" s="27"/>
      <c r="P15" s="27" t="s">
        <v>243</v>
      </c>
      <c r="Q15" s="27" t="s">
        <v>244</v>
      </c>
    </row>
    <row r="16" spans="1:17" ht="15" customHeight="1" x14ac:dyDescent="0.3">
      <c r="A16" s="27" t="s">
        <v>245</v>
      </c>
      <c r="B16" s="27" t="s">
        <v>246</v>
      </c>
      <c r="C16" s="27" t="s">
        <v>247</v>
      </c>
      <c r="D16" s="27">
        <v>2017</v>
      </c>
      <c r="E16" s="27" t="s">
        <v>48</v>
      </c>
      <c r="F16" s="27" t="s">
        <v>15</v>
      </c>
      <c r="G16" s="27"/>
      <c r="H16" s="27"/>
      <c r="I16" s="28" t="str">
        <f t="shared" si="0"/>
        <v/>
      </c>
      <c r="J16" s="27"/>
      <c r="K16" s="28" t="str">
        <f t="shared" si="1"/>
        <v/>
      </c>
      <c r="L16" s="27"/>
      <c r="M16" s="27"/>
      <c r="N16" s="27"/>
      <c r="O16" s="27"/>
      <c r="P16" s="27" t="s">
        <v>248</v>
      </c>
      <c r="Q16" s="27" t="s">
        <v>249</v>
      </c>
    </row>
    <row r="17" spans="1:17" ht="15" customHeight="1" x14ac:dyDescent="0.3">
      <c r="A17" s="27" t="s">
        <v>250</v>
      </c>
      <c r="B17" s="27" t="s">
        <v>251</v>
      </c>
      <c r="C17" s="27" t="s">
        <v>252</v>
      </c>
      <c r="D17" s="27">
        <v>2019</v>
      </c>
      <c r="E17" s="27" t="s">
        <v>48</v>
      </c>
      <c r="F17" s="27" t="s">
        <v>11</v>
      </c>
      <c r="G17" s="27"/>
      <c r="H17" s="27"/>
      <c r="I17" s="28" t="str">
        <f t="shared" si="0"/>
        <v/>
      </c>
      <c r="J17" s="27"/>
      <c r="K17" s="28" t="str">
        <f t="shared" si="1"/>
        <v/>
      </c>
      <c r="L17" s="27"/>
      <c r="M17" s="27"/>
      <c r="N17" s="27"/>
      <c r="O17" s="27"/>
      <c r="P17" s="27" t="s">
        <v>253</v>
      </c>
      <c r="Q17" s="27" t="s">
        <v>254</v>
      </c>
    </row>
    <row r="18" spans="1:17" ht="15" customHeight="1" x14ac:dyDescent="0.3">
      <c r="A18" s="27" t="s">
        <v>255</v>
      </c>
      <c r="B18" s="27" t="s">
        <v>256</v>
      </c>
      <c r="C18" s="27" t="s">
        <v>257</v>
      </c>
      <c r="D18" s="27">
        <v>2025</v>
      </c>
      <c r="E18" s="27" t="s">
        <v>48</v>
      </c>
      <c r="F18" s="27" t="s">
        <v>13</v>
      </c>
      <c r="G18" s="27"/>
      <c r="H18" s="27"/>
      <c r="I18" s="28" t="str">
        <f t="shared" si="0"/>
        <v/>
      </c>
      <c r="J18" s="27"/>
      <c r="K18" s="28" t="str">
        <f t="shared" si="1"/>
        <v/>
      </c>
      <c r="L18" s="27"/>
      <c r="M18" s="27"/>
      <c r="N18" s="27"/>
      <c r="O18" s="27"/>
      <c r="P18" s="27" t="s">
        <v>258</v>
      </c>
      <c r="Q18" s="27" t="s">
        <v>259</v>
      </c>
    </row>
    <row r="19" spans="1:17" ht="15" customHeight="1" x14ac:dyDescent="0.3">
      <c r="A19" s="27" t="s">
        <v>260</v>
      </c>
      <c r="B19" s="27" t="s">
        <v>261</v>
      </c>
      <c r="C19" s="27" t="s">
        <v>262</v>
      </c>
      <c r="D19" s="27">
        <v>2026</v>
      </c>
      <c r="E19" s="27" t="s">
        <v>48</v>
      </c>
      <c r="F19" s="27" t="s">
        <v>15</v>
      </c>
      <c r="G19" s="27"/>
      <c r="H19" s="27"/>
      <c r="I19" s="28" t="str">
        <f t="shared" si="0"/>
        <v/>
      </c>
      <c r="J19" s="27"/>
      <c r="K19" s="28" t="str">
        <f t="shared" si="1"/>
        <v/>
      </c>
      <c r="L19" s="27"/>
      <c r="M19" s="27"/>
      <c r="N19" s="27"/>
      <c r="O19" s="27"/>
      <c r="P19" s="27" t="s">
        <v>263</v>
      </c>
      <c r="Q19" s="27" t="s">
        <v>264</v>
      </c>
    </row>
    <row r="20" spans="1:17" ht="15" customHeight="1" x14ac:dyDescent="0.3">
      <c r="A20" s="27" t="s">
        <v>265</v>
      </c>
      <c r="B20" s="27" t="s">
        <v>266</v>
      </c>
      <c r="C20" s="27" t="s">
        <v>267</v>
      </c>
      <c r="D20" s="27">
        <v>2025</v>
      </c>
      <c r="E20" s="27" t="s">
        <v>48</v>
      </c>
      <c r="F20" s="27" t="s">
        <v>11</v>
      </c>
      <c r="G20" s="27"/>
      <c r="H20" s="27"/>
      <c r="I20" s="28" t="str">
        <f t="shared" si="0"/>
        <v/>
      </c>
      <c r="J20" s="27"/>
      <c r="K20" s="28" t="str">
        <f t="shared" si="1"/>
        <v/>
      </c>
      <c r="L20" s="27"/>
      <c r="M20" s="27"/>
      <c r="N20" s="27"/>
      <c r="O20" s="27"/>
      <c r="P20" s="27" t="s">
        <v>268</v>
      </c>
      <c r="Q20" s="27" t="s">
        <v>269</v>
      </c>
    </row>
    <row r="21" spans="1:17" ht="15" customHeight="1" x14ac:dyDescent="0.3">
      <c r="A21" s="27" t="s">
        <v>270</v>
      </c>
      <c r="B21" s="27" t="s">
        <v>271</v>
      </c>
      <c r="C21" s="27" t="s">
        <v>272</v>
      </c>
      <c r="D21" s="27">
        <v>2026</v>
      </c>
      <c r="E21" s="27" t="s">
        <v>48</v>
      </c>
      <c r="F21" s="27" t="s">
        <v>13</v>
      </c>
      <c r="G21" s="27"/>
      <c r="H21" s="27"/>
      <c r="I21" s="28" t="str">
        <f t="shared" si="0"/>
        <v/>
      </c>
      <c r="J21" s="27"/>
      <c r="K21" s="28" t="str">
        <f t="shared" si="1"/>
        <v/>
      </c>
      <c r="L21" s="27"/>
      <c r="M21" s="27"/>
      <c r="N21" s="27"/>
      <c r="O21" s="27"/>
      <c r="P21" s="27" t="s">
        <v>273</v>
      </c>
      <c r="Q21" s="27" t="s">
        <v>274</v>
      </c>
    </row>
    <row r="22" spans="1:17" ht="15" customHeight="1" x14ac:dyDescent="0.3">
      <c r="A22" s="27" t="s">
        <v>275</v>
      </c>
      <c r="B22" s="27" t="s">
        <v>276</v>
      </c>
      <c r="C22" s="27" t="s">
        <v>277</v>
      </c>
      <c r="D22" s="27">
        <v>2025</v>
      </c>
      <c r="E22" s="27" t="s">
        <v>48</v>
      </c>
      <c r="F22" s="27" t="s">
        <v>15</v>
      </c>
      <c r="G22" s="27"/>
      <c r="H22" s="27"/>
      <c r="I22" s="28" t="str">
        <f t="shared" si="0"/>
        <v/>
      </c>
      <c r="J22" s="27"/>
      <c r="K22" s="28" t="str">
        <f t="shared" si="1"/>
        <v/>
      </c>
      <c r="L22" s="27"/>
      <c r="M22" s="27"/>
      <c r="N22" s="27"/>
      <c r="O22" s="27"/>
      <c r="P22" s="27" t="s">
        <v>278</v>
      </c>
      <c r="Q22" s="27" t="s">
        <v>279</v>
      </c>
    </row>
    <row r="23" spans="1:17" ht="15" customHeight="1" x14ac:dyDescent="0.3">
      <c r="A23" s="27" t="s">
        <v>280</v>
      </c>
      <c r="B23" s="27" t="s">
        <v>281</v>
      </c>
      <c r="C23" s="27" t="s">
        <v>282</v>
      </c>
      <c r="D23" s="27">
        <v>2025</v>
      </c>
      <c r="E23" s="27" t="s">
        <v>48</v>
      </c>
      <c r="F23" s="27" t="s">
        <v>11</v>
      </c>
      <c r="G23" s="27"/>
      <c r="H23" s="27"/>
      <c r="I23" s="28" t="str">
        <f t="shared" si="0"/>
        <v/>
      </c>
      <c r="J23" s="27"/>
      <c r="K23" s="28" t="str">
        <f t="shared" si="1"/>
        <v/>
      </c>
      <c r="L23" s="27"/>
      <c r="M23" s="27"/>
      <c r="N23" s="27"/>
      <c r="O23" s="27"/>
      <c r="P23" s="27" t="s">
        <v>283</v>
      </c>
      <c r="Q23" s="27" t="s">
        <v>284</v>
      </c>
    </row>
    <row r="24" spans="1:17" ht="15" customHeight="1" x14ac:dyDescent="0.3">
      <c r="A24" s="27" t="s">
        <v>285</v>
      </c>
      <c r="B24" s="27" t="s">
        <v>286</v>
      </c>
      <c r="C24" s="27" t="s">
        <v>287</v>
      </c>
      <c r="D24" s="27">
        <v>2019</v>
      </c>
      <c r="E24" s="27" t="s">
        <v>48</v>
      </c>
      <c r="F24" s="27" t="s">
        <v>13</v>
      </c>
      <c r="G24" s="27"/>
      <c r="H24" s="27"/>
      <c r="I24" s="28" t="str">
        <f t="shared" si="0"/>
        <v/>
      </c>
      <c r="J24" s="27"/>
      <c r="K24" s="28" t="str">
        <f t="shared" si="1"/>
        <v/>
      </c>
      <c r="L24" s="27"/>
      <c r="M24" s="27"/>
      <c r="N24" s="27"/>
      <c r="O24" s="27"/>
      <c r="P24" s="27" t="s">
        <v>288</v>
      </c>
      <c r="Q24" s="27" t="s">
        <v>289</v>
      </c>
    </row>
    <row r="25" spans="1:17" ht="15" customHeight="1" x14ac:dyDescent="0.3">
      <c r="A25" s="27" t="s">
        <v>290</v>
      </c>
      <c r="B25" s="27" t="s">
        <v>291</v>
      </c>
      <c r="C25" s="27" t="s">
        <v>292</v>
      </c>
      <c r="D25" s="27">
        <v>2024</v>
      </c>
      <c r="E25" s="27" t="s">
        <v>48</v>
      </c>
      <c r="F25" s="27" t="s">
        <v>15</v>
      </c>
      <c r="G25" s="27"/>
      <c r="H25" s="27"/>
      <c r="I25" s="28" t="str">
        <f t="shared" si="0"/>
        <v/>
      </c>
      <c r="J25" s="27"/>
      <c r="K25" s="28" t="str">
        <f t="shared" si="1"/>
        <v/>
      </c>
      <c r="L25" s="27"/>
      <c r="M25" s="27"/>
      <c r="N25" s="27"/>
      <c r="O25" s="27"/>
      <c r="P25" s="27" t="s">
        <v>293</v>
      </c>
      <c r="Q25" s="27" t="s">
        <v>294</v>
      </c>
    </row>
    <row r="26" spans="1:17" ht="15" customHeight="1" x14ac:dyDescent="0.3">
      <c r="A26" s="27" t="s">
        <v>295</v>
      </c>
      <c r="B26" s="27" t="s">
        <v>296</v>
      </c>
      <c r="C26" s="27" t="s">
        <v>297</v>
      </c>
      <c r="D26" s="27">
        <v>2025</v>
      </c>
      <c r="E26" s="27" t="s">
        <v>48</v>
      </c>
      <c r="F26" s="27" t="s">
        <v>11</v>
      </c>
      <c r="G26" s="27"/>
      <c r="H26" s="27"/>
      <c r="I26" s="28" t="str">
        <f t="shared" si="0"/>
        <v/>
      </c>
      <c r="J26" s="27"/>
      <c r="K26" s="28" t="str">
        <f t="shared" si="1"/>
        <v/>
      </c>
      <c r="L26" s="27"/>
      <c r="M26" s="27"/>
      <c r="N26" s="27"/>
      <c r="O26" s="27"/>
      <c r="P26" s="27" t="s">
        <v>298</v>
      </c>
      <c r="Q26" s="27" t="s">
        <v>299</v>
      </c>
    </row>
    <row r="27" spans="1:17" ht="15" customHeight="1" x14ac:dyDescent="0.3">
      <c r="A27" s="27" t="s">
        <v>300</v>
      </c>
      <c r="B27" s="27" t="s">
        <v>301</v>
      </c>
      <c r="C27" s="27" t="s">
        <v>302</v>
      </c>
      <c r="D27" s="27">
        <v>2021</v>
      </c>
      <c r="E27" s="27" t="s">
        <v>48</v>
      </c>
      <c r="F27" s="27" t="s">
        <v>13</v>
      </c>
      <c r="G27" s="27"/>
      <c r="H27" s="27"/>
      <c r="I27" s="28" t="str">
        <f t="shared" si="0"/>
        <v/>
      </c>
      <c r="J27" s="27"/>
      <c r="K27" s="28" t="str">
        <f t="shared" si="1"/>
        <v/>
      </c>
      <c r="L27" s="27"/>
      <c r="M27" s="27"/>
      <c r="N27" s="27"/>
      <c r="O27" s="27"/>
      <c r="P27" s="27" t="s">
        <v>303</v>
      </c>
      <c r="Q27" s="27" t="s">
        <v>304</v>
      </c>
    </row>
    <row r="28" spans="1:17" ht="15" customHeight="1" x14ac:dyDescent="0.3">
      <c r="A28" s="27" t="s">
        <v>305</v>
      </c>
      <c r="B28" s="27" t="s">
        <v>306</v>
      </c>
      <c r="C28" s="27" t="s">
        <v>307</v>
      </c>
      <c r="D28" s="27">
        <v>2025</v>
      </c>
      <c r="E28" s="27" t="s">
        <v>48</v>
      </c>
      <c r="F28" s="27" t="s">
        <v>15</v>
      </c>
      <c r="G28" s="27"/>
      <c r="H28" s="27"/>
      <c r="I28" s="28" t="str">
        <f t="shared" si="0"/>
        <v/>
      </c>
      <c r="J28" s="27"/>
      <c r="K28" s="28" t="str">
        <f t="shared" si="1"/>
        <v/>
      </c>
      <c r="L28" s="27"/>
      <c r="M28" s="27"/>
      <c r="N28" s="27"/>
      <c r="O28" s="27"/>
      <c r="P28" s="27" t="s">
        <v>308</v>
      </c>
      <c r="Q28" s="27" t="s">
        <v>309</v>
      </c>
    </row>
    <row r="29" spans="1:17" ht="15" customHeight="1" x14ac:dyDescent="0.3">
      <c r="A29" s="27" t="s">
        <v>310</v>
      </c>
      <c r="B29" s="27" t="s">
        <v>311</v>
      </c>
      <c r="C29" s="27" t="s">
        <v>312</v>
      </c>
      <c r="D29" s="27">
        <v>2020</v>
      </c>
      <c r="E29" s="27" t="s">
        <v>48</v>
      </c>
      <c r="F29" s="27" t="s">
        <v>11</v>
      </c>
      <c r="G29" s="27"/>
      <c r="H29" s="27"/>
      <c r="I29" s="28" t="str">
        <f t="shared" si="0"/>
        <v/>
      </c>
      <c r="J29" s="27"/>
      <c r="K29" s="28" t="str">
        <f t="shared" si="1"/>
        <v/>
      </c>
      <c r="L29" s="27"/>
      <c r="M29" s="27"/>
      <c r="N29" s="27"/>
      <c r="O29" s="27"/>
      <c r="P29" s="27" t="s">
        <v>313</v>
      </c>
      <c r="Q29" s="27" t="s">
        <v>314</v>
      </c>
    </row>
    <row r="30" spans="1:17" ht="15" customHeight="1" x14ac:dyDescent="0.3">
      <c r="A30" s="27" t="s">
        <v>315</v>
      </c>
      <c r="B30" s="27" t="s">
        <v>316</v>
      </c>
      <c r="C30" s="27" t="s">
        <v>317</v>
      </c>
      <c r="D30" s="27">
        <v>2025</v>
      </c>
      <c r="E30" s="27" t="s">
        <v>48</v>
      </c>
      <c r="F30" s="27" t="s">
        <v>13</v>
      </c>
      <c r="G30" s="27"/>
      <c r="H30" s="27"/>
      <c r="I30" s="28" t="str">
        <f t="shared" si="0"/>
        <v/>
      </c>
      <c r="J30" s="27"/>
      <c r="K30" s="28" t="str">
        <f t="shared" si="1"/>
        <v/>
      </c>
      <c r="L30" s="27"/>
      <c r="M30" s="27"/>
      <c r="N30" s="27"/>
      <c r="O30" s="27"/>
      <c r="P30" s="27" t="s">
        <v>318</v>
      </c>
      <c r="Q30" s="27" t="s">
        <v>319</v>
      </c>
    </row>
    <row r="31" spans="1:17" ht="15" customHeight="1" x14ac:dyDescent="0.3">
      <c r="A31" s="27" t="s">
        <v>320</v>
      </c>
      <c r="B31" s="27" t="s">
        <v>321</v>
      </c>
      <c r="C31" s="27" t="s">
        <v>322</v>
      </c>
      <c r="D31" s="27">
        <v>2021</v>
      </c>
      <c r="E31" s="27" t="s">
        <v>48</v>
      </c>
      <c r="F31" s="27" t="s">
        <v>15</v>
      </c>
      <c r="G31" s="27"/>
      <c r="H31" s="27"/>
      <c r="I31" s="28" t="str">
        <f t="shared" si="0"/>
        <v/>
      </c>
      <c r="J31" s="27"/>
      <c r="K31" s="28" t="str">
        <f t="shared" si="1"/>
        <v/>
      </c>
      <c r="L31" s="27"/>
      <c r="M31" s="27"/>
      <c r="N31" s="27"/>
      <c r="O31" s="27"/>
      <c r="P31" s="27" t="s">
        <v>323</v>
      </c>
      <c r="Q31" s="27" t="s">
        <v>324</v>
      </c>
    </row>
    <row r="32" spans="1:17" ht="15" customHeight="1" x14ac:dyDescent="0.3">
      <c r="A32" s="27" t="s">
        <v>325</v>
      </c>
      <c r="B32" s="27" t="s">
        <v>326</v>
      </c>
      <c r="C32" s="27" t="s">
        <v>327</v>
      </c>
      <c r="D32" s="27">
        <v>2022</v>
      </c>
      <c r="E32" s="27" t="s">
        <v>48</v>
      </c>
      <c r="F32" s="27" t="s">
        <v>11</v>
      </c>
      <c r="G32" s="27"/>
      <c r="H32" s="27"/>
      <c r="I32" s="28" t="str">
        <f t="shared" si="0"/>
        <v/>
      </c>
      <c r="J32" s="27"/>
      <c r="K32" s="28" t="str">
        <f t="shared" si="1"/>
        <v/>
      </c>
      <c r="L32" s="27"/>
      <c r="M32" s="27"/>
      <c r="N32" s="27"/>
      <c r="O32" s="27"/>
      <c r="P32" s="27" t="s">
        <v>328</v>
      </c>
      <c r="Q32" s="27" t="s">
        <v>329</v>
      </c>
    </row>
    <row r="33" spans="1:17" ht="15" customHeight="1" x14ac:dyDescent="0.3">
      <c r="A33" s="27" t="s">
        <v>330</v>
      </c>
      <c r="B33" s="27" t="s">
        <v>331</v>
      </c>
      <c r="C33" s="27" t="s">
        <v>332</v>
      </c>
      <c r="D33" s="27">
        <v>2026</v>
      </c>
      <c r="E33" s="27" t="s">
        <v>48</v>
      </c>
      <c r="F33" s="27" t="s">
        <v>13</v>
      </c>
      <c r="G33" s="27"/>
      <c r="H33" s="27"/>
      <c r="I33" s="28" t="str">
        <f t="shared" si="0"/>
        <v/>
      </c>
      <c r="J33" s="27"/>
      <c r="K33" s="28" t="str">
        <f t="shared" si="1"/>
        <v/>
      </c>
      <c r="L33" s="27"/>
      <c r="M33" s="27"/>
      <c r="N33" s="27"/>
      <c r="O33" s="27"/>
      <c r="P33" s="27" t="s">
        <v>333</v>
      </c>
      <c r="Q33" s="27" t="s">
        <v>334</v>
      </c>
    </row>
    <row r="34" spans="1:17" ht="15" customHeight="1" x14ac:dyDescent="0.3">
      <c r="A34" s="27" t="s">
        <v>335</v>
      </c>
      <c r="B34" s="27" t="s">
        <v>336</v>
      </c>
      <c r="C34" s="27" t="s">
        <v>337</v>
      </c>
      <c r="D34" s="27">
        <v>2024</v>
      </c>
      <c r="E34" s="27" t="s">
        <v>48</v>
      </c>
      <c r="F34" s="27" t="s">
        <v>15</v>
      </c>
      <c r="G34" s="27"/>
      <c r="H34" s="27"/>
      <c r="I34" s="28" t="str">
        <f t="shared" si="0"/>
        <v/>
      </c>
      <c r="J34" s="27"/>
      <c r="K34" s="28" t="str">
        <f t="shared" si="1"/>
        <v/>
      </c>
      <c r="L34" s="27"/>
      <c r="M34" s="27"/>
      <c r="N34" s="27"/>
      <c r="O34" s="27"/>
      <c r="P34" s="27" t="s">
        <v>338</v>
      </c>
      <c r="Q34" s="27" t="s">
        <v>339</v>
      </c>
    </row>
    <row r="35" spans="1:17" ht="15" customHeight="1" x14ac:dyDescent="0.3">
      <c r="A35" s="27" t="s">
        <v>340</v>
      </c>
      <c r="B35" s="27" t="s">
        <v>341</v>
      </c>
      <c r="C35" s="27" t="s">
        <v>342</v>
      </c>
      <c r="D35" s="27">
        <v>2025</v>
      </c>
      <c r="E35" s="27" t="s">
        <v>48</v>
      </c>
      <c r="F35" s="27" t="s">
        <v>11</v>
      </c>
      <c r="G35" s="27"/>
      <c r="H35" s="27"/>
      <c r="I35" s="28" t="str">
        <f t="shared" si="0"/>
        <v/>
      </c>
      <c r="J35" s="27"/>
      <c r="K35" s="28" t="str">
        <f t="shared" si="1"/>
        <v/>
      </c>
      <c r="L35" s="27"/>
      <c r="M35" s="27"/>
      <c r="N35" s="27"/>
      <c r="O35" s="27"/>
      <c r="P35" s="27" t="s">
        <v>343</v>
      </c>
      <c r="Q35" s="27" t="s">
        <v>344</v>
      </c>
    </row>
    <row r="36" spans="1:17" ht="15" customHeight="1" x14ac:dyDescent="0.3">
      <c r="A36" s="27" t="s">
        <v>345</v>
      </c>
      <c r="B36" s="27" t="s">
        <v>346</v>
      </c>
      <c r="C36" s="27" t="s">
        <v>347</v>
      </c>
      <c r="D36" s="27">
        <v>2026</v>
      </c>
      <c r="E36" s="27" t="s">
        <v>48</v>
      </c>
      <c r="F36" s="27" t="s">
        <v>13</v>
      </c>
      <c r="G36" s="27"/>
      <c r="H36" s="27"/>
      <c r="I36" s="28" t="str">
        <f t="shared" si="0"/>
        <v/>
      </c>
      <c r="J36" s="27"/>
      <c r="K36" s="28" t="str">
        <f t="shared" si="1"/>
        <v/>
      </c>
      <c r="L36" s="27"/>
      <c r="M36" s="27"/>
      <c r="N36" s="27"/>
      <c r="O36" s="27"/>
      <c r="P36" s="27" t="s">
        <v>348</v>
      </c>
      <c r="Q36" s="27" t="s">
        <v>349</v>
      </c>
    </row>
    <row r="37" spans="1:17" ht="15" customHeight="1" x14ac:dyDescent="0.3">
      <c r="A37" s="27" t="s">
        <v>350</v>
      </c>
      <c r="B37" s="27" t="s">
        <v>351</v>
      </c>
      <c r="C37" s="27" t="s">
        <v>352</v>
      </c>
      <c r="D37" s="27">
        <v>2020</v>
      </c>
      <c r="E37" s="27" t="s">
        <v>48</v>
      </c>
      <c r="F37" s="27" t="s">
        <v>15</v>
      </c>
      <c r="G37" s="27"/>
      <c r="H37" s="27"/>
      <c r="I37" s="28" t="str">
        <f t="shared" si="0"/>
        <v/>
      </c>
      <c r="J37" s="27"/>
      <c r="K37" s="28" t="str">
        <f t="shared" si="1"/>
        <v/>
      </c>
      <c r="L37" s="27"/>
      <c r="M37" s="27"/>
      <c r="N37" s="27"/>
      <c r="O37" s="27"/>
      <c r="P37" s="27" t="s">
        <v>353</v>
      </c>
      <c r="Q37" s="27" t="s">
        <v>354</v>
      </c>
    </row>
    <row r="38" spans="1:17" ht="15" customHeight="1" x14ac:dyDescent="0.3">
      <c r="A38" s="27" t="s">
        <v>355</v>
      </c>
      <c r="B38" s="27" t="s">
        <v>356</v>
      </c>
      <c r="C38" s="27" t="s">
        <v>357</v>
      </c>
      <c r="D38" s="27">
        <v>2018</v>
      </c>
      <c r="E38" s="27" t="s">
        <v>48</v>
      </c>
      <c r="F38" s="27" t="s">
        <v>11</v>
      </c>
      <c r="G38" s="27"/>
      <c r="H38" s="27"/>
      <c r="I38" s="28" t="str">
        <f t="shared" si="0"/>
        <v/>
      </c>
      <c r="J38" s="27"/>
      <c r="K38" s="28" t="str">
        <f t="shared" si="1"/>
        <v/>
      </c>
      <c r="L38" s="27"/>
      <c r="M38" s="27"/>
      <c r="N38" s="27"/>
      <c r="O38" s="27"/>
      <c r="P38" s="27" t="s">
        <v>358</v>
      </c>
      <c r="Q38" s="27" t="s">
        <v>359</v>
      </c>
    </row>
    <row r="39" spans="1:17" ht="15" customHeight="1" x14ac:dyDescent="0.3">
      <c r="A39" s="27" t="s">
        <v>360</v>
      </c>
      <c r="B39" s="27" t="s">
        <v>361</v>
      </c>
      <c r="C39" s="27" t="s">
        <v>362</v>
      </c>
      <c r="D39" s="27">
        <v>2020</v>
      </c>
      <c r="E39" s="27" t="s">
        <v>48</v>
      </c>
      <c r="F39" s="27" t="s">
        <v>13</v>
      </c>
      <c r="G39" s="27"/>
      <c r="H39" s="27"/>
      <c r="I39" s="28" t="str">
        <f t="shared" si="0"/>
        <v/>
      </c>
      <c r="J39" s="27"/>
      <c r="K39" s="28" t="str">
        <f t="shared" si="1"/>
        <v/>
      </c>
      <c r="L39" s="27"/>
      <c r="M39" s="27"/>
      <c r="N39" s="27"/>
      <c r="O39" s="27"/>
      <c r="P39" s="27" t="s">
        <v>363</v>
      </c>
      <c r="Q39" s="27" t="s">
        <v>364</v>
      </c>
    </row>
    <row r="40" spans="1:17" ht="15" customHeight="1" x14ac:dyDescent="0.3">
      <c r="A40" s="27" t="s">
        <v>365</v>
      </c>
      <c r="B40" s="27" t="s">
        <v>366</v>
      </c>
      <c r="C40" s="27" t="s">
        <v>367</v>
      </c>
      <c r="D40" s="27">
        <v>2025</v>
      </c>
      <c r="E40" s="27" t="s">
        <v>48</v>
      </c>
      <c r="F40" s="27" t="s">
        <v>15</v>
      </c>
      <c r="G40" s="27"/>
      <c r="H40" s="27"/>
      <c r="I40" s="28" t="str">
        <f t="shared" si="0"/>
        <v/>
      </c>
      <c r="J40" s="27"/>
      <c r="K40" s="28" t="str">
        <f t="shared" si="1"/>
        <v/>
      </c>
      <c r="L40" s="27"/>
      <c r="M40" s="27"/>
      <c r="N40" s="27"/>
      <c r="O40" s="27"/>
      <c r="P40" s="27" t="s">
        <v>368</v>
      </c>
      <c r="Q40" s="27" t="s">
        <v>369</v>
      </c>
    </row>
    <row r="41" spans="1:17" ht="15" customHeight="1" x14ac:dyDescent="0.3">
      <c r="A41" s="27" t="s">
        <v>370</v>
      </c>
      <c r="B41" s="27" t="s">
        <v>371</v>
      </c>
      <c r="C41" s="27" t="s">
        <v>372</v>
      </c>
      <c r="D41" s="27">
        <v>2022</v>
      </c>
      <c r="E41" s="27" t="s">
        <v>48</v>
      </c>
      <c r="F41" s="27" t="s">
        <v>11</v>
      </c>
      <c r="G41" s="27"/>
      <c r="H41" s="27"/>
      <c r="I41" s="28" t="str">
        <f t="shared" si="0"/>
        <v/>
      </c>
      <c r="J41" s="27"/>
      <c r="K41" s="28" t="str">
        <f t="shared" si="1"/>
        <v/>
      </c>
      <c r="L41" s="27"/>
      <c r="M41" s="27"/>
      <c r="N41" s="27"/>
      <c r="O41" s="27"/>
      <c r="P41" s="27" t="s">
        <v>373</v>
      </c>
      <c r="Q41" s="27" t="s">
        <v>374</v>
      </c>
    </row>
    <row r="42" spans="1:17" ht="15" customHeight="1" x14ac:dyDescent="0.3">
      <c r="A42" s="27" t="s">
        <v>375</v>
      </c>
      <c r="B42" s="27" t="s">
        <v>376</v>
      </c>
      <c r="C42" s="27" t="s">
        <v>377</v>
      </c>
      <c r="D42" s="27">
        <v>2025</v>
      </c>
      <c r="E42" s="27" t="s">
        <v>48</v>
      </c>
      <c r="F42" s="27" t="s">
        <v>13</v>
      </c>
      <c r="G42" s="27"/>
      <c r="H42" s="27"/>
      <c r="I42" s="28" t="str">
        <f t="shared" si="0"/>
        <v/>
      </c>
      <c r="J42" s="27"/>
      <c r="K42" s="28" t="str">
        <f t="shared" si="1"/>
        <v/>
      </c>
      <c r="L42" s="27"/>
      <c r="M42" s="27"/>
      <c r="N42" s="27"/>
      <c r="O42" s="27"/>
      <c r="P42" s="27" t="s">
        <v>378</v>
      </c>
      <c r="Q42" s="27" t="s">
        <v>379</v>
      </c>
    </row>
    <row r="43" spans="1:17" ht="15" customHeight="1" x14ac:dyDescent="0.3">
      <c r="A43" s="27" t="s">
        <v>380</v>
      </c>
      <c r="B43" s="27" t="s">
        <v>381</v>
      </c>
      <c r="C43" s="27" t="s">
        <v>382</v>
      </c>
      <c r="D43" s="27">
        <v>2025</v>
      </c>
      <c r="E43" s="27" t="s">
        <v>48</v>
      </c>
      <c r="F43" s="27" t="s">
        <v>15</v>
      </c>
      <c r="G43" s="27"/>
      <c r="H43" s="27"/>
      <c r="I43" s="28" t="str">
        <f t="shared" si="0"/>
        <v/>
      </c>
      <c r="J43" s="27"/>
      <c r="K43" s="28" t="str">
        <f t="shared" si="1"/>
        <v/>
      </c>
      <c r="L43" s="27"/>
      <c r="M43" s="27"/>
      <c r="N43" s="27"/>
      <c r="O43" s="27"/>
      <c r="P43" s="27" t="s">
        <v>383</v>
      </c>
      <c r="Q43" s="27" t="s">
        <v>384</v>
      </c>
    </row>
    <row r="44" spans="1:17" ht="15" customHeight="1" x14ac:dyDescent="0.3">
      <c r="A44" s="27" t="s">
        <v>385</v>
      </c>
      <c r="B44" s="27" t="s">
        <v>386</v>
      </c>
      <c r="C44" s="27" t="s">
        <v>387</v>
      </c>
      <c r="D44" s="27">
        <v>2026</v>
      </c>
      <c r="E44" s="27" t="s">
        <v>48</v>
      </c>
      <c r="F44" s="27" t="s">
        <v>11</v>
      </c>
      <c r="G44" s="27"/>
      <c r="H44" s="27"/>
      <c r="I44" s="28" t="str">
        <f t="shared" si="0"/>
        <v/>
      </c>
      <c r="J44" s="27"/>
      <c r="K44" s="28" t="str">
        <f t="shared" si="1"/>
        <v/>
      </c>
      <c r="L44" s="27"/>
      <c r="M44" s="27"/>
      <c r="N44" s="27"/>
      <c r="O44" s="27"/>
      <c r="P44" s="27" t="s">
        <v>388</v>
      </c>
      <c r="Q44" s="27" t="s">
        <v>389</v>
      </c>
    </row>
    <row r="45" spans="1:17" ht="15" customHeight="1" x14ac:dyDescent="0.3">
      <c r="A45" s="27" t="s">
        <v>390</v>
      </c>
      <c r="B45" s="27" t="s">
        <v>391</v>
      </c>
      <c r="C45" s="27" t="s">
        <v>392</v>
      </c>
      <c r="D45" s="27">
        <v>2024</v>
      </c>
      <c r="E45" s="27" t="s">
        <v>48</v>
      </c>
      <c r="F45" s="27" t="s">
        <v>13</v>
      </c>
      <c r="G45" s="27"/>
      <c r="H45" s="27"/>
      <c r="I45" s="28" t="str">
        <f t="shared" si="0"/>
        <v/>
      </c>
      <c r="J45" s="27"/>
      <c r="K45" s="28" t="str">
        <f t="shared" si="1"/>
        <v/>
      </c>
      <c r="L45" s="27"/>
      <c r="M45" s="27"/>
      <c r="N45" s="27"/>
      <c r="O45" s="27"/>
      <c r="P45" s="27" t="s">
        <v>393</v>
      </c>
      <c r="Q45" s="27" t="s">
        <v>394</v>
      </c>
    </row>
    <row r="46" spans="1:17" ht="15" customHeight="1" x14ac:dyDescent="0.3">
      <c r="A46" s="27" t="s">
        <v>395</v>
      </c>
      <c r="B46" s="27" t="s">
        <v>396</v>
      </c>
      <c r="C46" s="27" t="s">
        <v>397</v>
      </c>
      <c r="D46" s="27">
        <v>2020</v>
      </c>
      <c r="E46" s="27" t="s">
        <v>48</v>
      </c>
      <c r="F46" s="27" t="s">
        <v>15</v>
      </c>
      <c r="G46" s="27"/>
      <c r="H46" s="27"/>
      <c r="I46" s="28" t="str">
        <f t="shared" si="0"/>
        <v/>
      </c>
      <c r="J46" s="27"/>
      <c r="K46" s="28" t="str">
        <f t="shared" si="1"/>
        <v/>
      </c>
      <c r="L46" s="27"/>
      <c r="M46" s="27"/>
      <c r="N46" s="27"/>
      <c r="O46" s="27"/>
      <c r="P46" s="27" t="s">
        <v>238</v>
      </c>
      <c r="Q46" s="27" t="s">
        <v>398</v>
      </c>
    </row>
    <row r="47" spans="1:17" ht="15" customHeight="1" x14ac:dyDescent="0.3">
      <c r="A47" s="27" t="s">
        <v>399</v>
      </c>
      <c r="B47" s="27" t="s">
        <v>400</v>
      </c>
      <c r="C47" s="27" t="s">
        <v>401</v>
      </c>
      <c r="D47" s="27">
        <v>2026</v>
      </c>
      <c r="E47" s="27" t="s">
        <v>48</v>
      </c>
      <c r="F47" s="27" t="s">
        <v>11</v>
      </c>
      <c r="G47" s="27"/>
      <c r="H47" s="27"/>
      <c r="I47" s="28" t="str">
        <f t="shared" si="0"/>
        <v/>
      </c>
      <c r="J47" s="27"/>
      <c r="K47" s="28" t="str">
        <f t="shared" si="1"/>
        <v/>
      </c>
      <c r="L47" s="27"/>
      <c r="M47" s="27"/>
      <c r="N47" s="27"/>
      <c r="O47" s="27"/>
      <c r="P47" s="27" t="s">
        <v>402</v>
      </c>
      <c r="Q47" s="27" t="s">
        <v>403</v>
      </c>
    </row>
    <row r="48" spans="1:17" ht="15" customHeight="1" x14ac:dyDescent="0.3">
      <c r="A48" s="27" t="s">
        <v>404</v>
      </c>
      <c r="B48" s="27" t="s">
        <v>405</v>
      </c>
      <c r="C48" s="27" t="s">
        <v>406</v>
      </c>
      <c r="D48" s="27">
        <v>2025</v>
      </c>
      <c r="E48" s="27" t="s">
        <v>48</v>
      </c>
      <c r="F48" s="27" t="s">
        <v>13</v>
      </c>
      <c r="G48" s="27"/>
      <c r="H48" s="27"/>
      <c r="I48" s="28" t="str">
        <f t="shared" si="0"/>
        <v/>
      </c>
      <c r="J48" s="27"/>
      <c r="K48" s="28" t="str">
        <f t="shared" si="1"/>
        <v/>
      </c>
      <c r="L48" s="27"/>
      <c r="M48" s="27"/>
      <c r="N48" s="27"/>
      <c r="O48" s="27"/>
      <c r="P48" s="27" t="s">
        <v>407</v>
      </c>
      <c r="Q48" s="27" t="s">
        <v>408</v>
      </c>
    </row>
    <row r="49" spans="1:17" ht="15" customHeight="1" x14ac:dyDescent="0.3">
      <c r="A49" s="27" t="s">
        <v>409</v>
      </c>
      <c r="B49" s="27" t="s">
        <v>410</v>
      </c>
      <c r="C49" s="27" t="s">
        <v>411</v>
      </c>
      <c r="D49" s="27">
        <v>2024</v>
      </c>
      <c r="E49" s="27" t="s">
        <v>48</v>
      </c>
      <c r="F49" s="27" t="s">
        <v>15</v>
      </c>
      <c r="G49" s="27"/>
      <c r="H49" s="27"/>
      <c r="I49" s="28" t="str">
        <f t="shared" si="0"/>
        <v/>
      </c>
      <c r="J49" s="27"/>
      <c r="K49" s="28" t="str">
        <f t="shared" si="1"/>
        <v/>
      </c>
      <c r="L49" s="27"/>
      <c r="M49" s="27"/>
      <c r="N49" s="27"/>
      <c r="O49" s="27"/>
      <c r="P49" s="27" t="s">
        <v>412</v>
      </c>
      <c r="Q49" s="27" t="s">
        <v>413</v>
      </c>
    </row>
    <row r="50" spans="1:17" ht="15" customHeight="1" x14ac:dyDescent="0.3">
      <c r="A50" s="27" t="s">
        <v>414</v>
      </c>
      <c r="B50" s="27" t="s">
        <v>415</v>
      </c>
      <c r="C50" s="27" t="s">
        <v>416</v>
      </c>
      <c r="D50" s="27">
        <v>2025</v>
      </c>
      <c r="E50" s="27" t="s">
        <v>48</v>
      </c>
      <c r="F50" s="27" t="s">
        <v>11</v>
      </c>
      <c r="G50" s="27"/>
      <c r="H50" s="27"/>
      <c r="I50" s="28" t="str">
        <f t="shared" si="0"/>
        <v/>
      </c>
      <c r="J50" s="27"/>
      <c r="K50" s="28" t="str">
        <f t="shared" si="1"/>
        <v/>
      </c>
      <c r="L50" s="27"/>
      <c r="M50" s="27"/>
      <c r="N50" s="27"/>
      <c r="O50" s="27"/>
      <c r="P50" s="27" t="s">
        <v>417</v>
      </c>
      <c r="Q50" s="27" t="s">
        <v>418</v>
      </c>
    </row>
    <row r="51" spans="1:17" ht="15" customHeight="1" x14ac:dyDescent="0.3">
      <c r="A51" s="27" t="s">
        <v>419</v>
      </c>
      <c r="B51" s="27" t="s">
        <v>420</v>
      </c>
      <c r="C51" s="27" t="s">
        <v>421</v>
      </c>
      <c r="D51" s="27">
        <v>2021</v>
      </c>
      <c r="E51" s="27" t="s">
        <v>48</v>
      </c>
      <c r="F51" s="27" t="s">
        <v>13</v>
      </c>
      <c r="G51" s="27"/>
      <c r="H51" s="27"/>
      <c r="I51" s="28" t="str">
        <f t="shared" si="0"/>
        <v/>
      </c>
      <c r="J51" s="27"/>
      <c r="K51" s="28" t="str">
        <f t="shared" si="1"/>
        <v/>
      </c>
      <c r="L51" s="27"/>
      <c r="M51" s="27"/>
      <c r="N51" s="27"/>
      <c r="O51" s="27"/>
      <c r="P51" s="27" t="s">
        <v>422</v>
      </c>
      <c r="Q51" s="27" t="s">
        <v>423</v>
      </c>
    </row>
    <row r="52" spans="1:17" ht="15" customHeight="1" x14ac:dyDescent="0.3">
      <c r="A52" s="27" t="s">
        <v>424</v>
      </c>
      <c r="B52" s="27" t="s">
        <v>425</v>
      </c>
      <c r="C52" s="27" t="s">
        <v>426</v>
      </c>
      <c r="D52" s="27">
        <v>2020</v>
      </c>
      <c r="E52" s="27" t="s">
        <v>48</v>
      </c>
      <c r="F52" s="27" t="s">
        <v>15</v>
      </c>
      <c r="G52" s="27"/>
      <c r="H52" s="27"/>
      <c r="I52" s="28" t="str">
        <f t="shared" si="0"/>
        <v/>
      </c>
      <c r="J52" s="27"/>
      <c r="K52" s="28" t="str">
        <f t="shared" si="1"/>
        <v/>
      </c>
      <c r="L52" s="27"/>
      <c r="M52" s="27"/>
      <c r="N52" s="27"/>
      <c r="O52" s="27"/>
      <c r="P52" s="27" t="s">
        <v>427</v>
      </c>
      <c r="Q52" s="27" t="s">
        <v>428</v>
      </c>
    </row>
    <row r="53" spans="1:17" ht="15" customHeight="1" x14ac:dyDescent="0.3">
      <c r="A53" s="27" t="s">
        <v>429</v>
      </c>
      <c r="B53" s="27" t="s">
        <v>430</v>
      </c>
      <c r="C53" s="27" t="s">
        <v>431</v>
      </c>
      <c r="D53" s="27">
        <v>2026</v>
      </c>
      <c r="E53" s="27" t="s">
        <v>48</v>
      </c>
      <c r="F53" s="27" t="s">
        <v>11</v>
      </c>
      <c r="G53" s="27"/>
      <c r="H53" s="27"/>
      <c r="I53" s="28" t="str">
        <f t="shared" si="0"/>
        <v/>
      </c>
      <c r="J53" s="27"/>
      <c r="K53" s="28" t="str">
        <f t="shared" si="1"/>
        <v/>
      </c>
      <c r="L53" s="27"/>
      <c r="M53" s="27"/>
      <c r="N53" s="27"/>
      <c r="O53" s="27"/>
      <c r="P53" s="27" t="s">
        <v>432</v>
      </c>
      <c r="Q53" s="27" t="s">
        <v>433</v>
      </c>
    </row>
    <row r="54" spans="1:17" ht="15" customHeight="1" x14ac:dyDescent="0.3">
      <c r="A54" s="27" t="s">
        <v>434</v>
      </c>
      <c r="B54" s="27" t="s">
        <v>435</v>
      </c>
      <c r="C54" s="27" t="s">
        <v>436</v>
      </c>
      <c r="D54" s="27">
        <v>2026</v>
      </c>
      <c r="E54" s="27" t="s">
        <v>48</v>
      </c>
      <c r="F54" s="27" t="s">
        <v>13</v>
      </c>
      <c r="G54" s="27"/>
      <c r="H54" s="27"/>
      <c r="I54" s="28" t="str">
        <f t="shared" si="0"/>
        <v/>
      </c>
      <c r="J54" s="27"/>
      <c r="K54" s="28" t="str">
        <f t="shared" si="1"/>
        <v/>
      </c>
      <c r="L54" s="27"/>
      <c r="M54" s="27"/>
      <c r="N54" s="27"/>
      <c r="O54" s="27"/>
      <c r="P54" s="27" t="s">
        <v>437</v>
      </c>
      <c r="Q54" s="27" t="s">
        <v>438</v>
      </c>
    </row>
    <row r="55" spans="1:17" ht="15" customHeight="1" x14ac:dyDescent="0.3">
      <c r="A55" s="27" t="s">
        <v>439</v>
      </c>
      <c r="B55" s="27" t="s">
        <v>440</v>
      </c>
      <c r="C55" s="27" t="s">
        <v>441</v>
      </c>
      <c r="D55" s="27">
        <v>2024</v>
      </c>
      <c r="E55" s="27" t="s">
        <v>48</v>
      </c>
      <c r="F55" s="27" t="s">
        <v>15</v>
      </c>
      <c r="G55" s="27"/>
      <c r="H55" s="27"/>
      <c r="I55" s="28" t="str">
        <f t="shared" si="0"/>
        <v/>
      </c>
      <c r="J55" s="27"/>
      <c r="K55" s="28" t="str">
        <f t="shared" si="1"/>
        <v/>
      </c>
      <c r="L55" s="27"/>
      <c r="M55" s="27"/>
      <c r="N55" s="27"/>
      <c r="O55" s="27"/>
      <c r="P55" s="27" t="s">
        <v>442</v>
      </c>
      <c r="Q55" s="27" t="s">
        <v>443</v>
      </c>
    </row>
    <row r="56" spans="1:17" ht="15" customHeight="1" x14ac:dyDescent="0.3">
      <c r="A56" s="27" t="s">
        <v>444</v>
      </c>
      <c r="B56" s="27" t="s">
        <v>445</v>
      </c>
      <c r="C56" s="27" t="s">
        <v>446</v>
      </c>
      <c r="D56" s="27">
        <v>2023</v>
      </c>
      <c r="E56" s="27" t="s">
        <v>48</v>
      </c>
      <c r="F56" s="27" t="s">
        <v>11</v>
      </c>
      <c r="G56" s="27"/>
      <c r="H56" s="27"/>
      <c r="I56" s="28" t="str">
        <f t="shared" si="0"/>
        <v/>
      </c>
      <c r="J56" s="27"/>
      <c r="K56" s="28" t="str">
        <f t="shared" si="1"/>
        <v/>
      </c>
      <c r="L56" s="27"/>
      <c r="M56" s="27"/>
      <c r="N56" s="27"/>
      <c r="O56" s="27"/>
      <c r="P56" s="27" t="s">
        <v>447</v>
      </c>
      <c r="Q56" s="27" t="s">
        <v>448</v>
      </c>
    </row>
    <row r="57" spans="1:17" ht="15" customHeight="1" x14ac:dyDescent="0.3">
      <c r="A57" s="27" t="s">
        <v>449</v>
      </c>
      <c r="B57" s="27" t="s">
        <v>450</v>
      </c>
      <c r="C57" s="27" t="s">
        <v>451</v>
      </c>
      <c r="D57" s="27">
        <v>2025</v>
      </c>
      <c r="E57" s="27" t="s">
        <v>48</v>
      </c>
      <c r="F57" s="27" t="s">
        <v>13</v>
      </c>
      <c r="G57" s="27"/>
      <c r="H57" s="27"/>
      <c r="I57" s="28" t="str">
        <f t="shared" si="0"/>
        <v/>
      </c>
      <c r="J57" s="27"/>
      <c r="K57" s="28" t="str">
        <f t="shared" si="1"/>
        <v/>
      </c>
      <c r="L57" s="27"/>
      <c r="M57" s="27"/>
      <c r="N57" s="27"/>
      <c r="O57" s="27"/>
      <c r="P57" s="27" t="s">
        <v>452</v>
      </c>
      <c r="Q57" s="27" t="s">
        <v>453</v>
      </c>
    </row>
    <row r="58" spans="1:17" ht="15" customHeight="1" x14ac:dyDescent="0.3">
      <c r="A58" s="27" t="s">
        <v>454</v>
      </c>
      <c r="B58" s="27" t="s">
        <v>455</v>
      </c>
      <c r="C58" s="27" t="s">
        <v>456</v>
      </c>
      <c r="D58" s="27">
        <v>2026</v>
      </c>
      <c r="E58" s="27" t="s">
        <v>48</v>
      </c>
      <c r="F58" s="27" t="s">
        <v>15</v>
      </c>
      <c r="G58" s="27"/>
      <c r="H58" s="27"/>
      <c r="I58" s="28" t="str">
        <f t="shared" si="0"/>
        <v/>
      </c>
      <c r="J58" s="27"/>
      <c r="K58" s="28" t="str">
        <f t="shared" si="1"/>
        <v/>
      </c>
      <c r="L58" s="27"/>
      <c r="M58" s="27"/>
      <c r="N58" s="27"/>
      <c r="O58" s="27"/>
      <c r="P58" s="27" t="s">
        <v>457</v>
      </c>
      <c r="Q58" s="27" t="s">
        <v>458</v>
      </c>
    </row>
    <row r="59" spans="1:17" ht="15" customHeight="1" x14ac:dyDescent="0.3">
      <c r="A59" s="27" t="s">
        <v>459</v>
      </c>
      <c r="B59" s="27" t="s">
        <v>460</v>
      </c>
      <c r="C59" s="27" t="s">
        <v>461</v>
      </c>
      <c r="D59" s="27">
        <v>2026</v>
      </c>
      <c r="E59" s="27" t="s">
        <v>136</v>
      </c>
      <c r="F59" s="27" t="s">
        <v>11</v>
      </c>
      <c r="G59" s="27"/>
      <c r="H59" s="27"/>
      <c r="I59" s="28" t="str">
        <f t="shared" si="0"/>
        <v/>
      </c>
      <c r="J59" s="27"/>
      <c r="K59" s="28" t="str">
        <f t="shared" si="1"/>
        <v/>
      </c>
      <c r="L59" s="27"/>
      <c r="M59" s="27"/>
      <c r="N59" s="27"/>
      <c r="O59" s="27"/>
      <c r="P59" s="27" t="s">
        <v>462</v>
      </c>
      <c r="Q59" s="27" t="s">
        <v>463</v>
      </c>
    </row>
    <row r="60" spans="1:17" ht="15" customHeight="1" x14ac:dyDescent="0.3">
      <c r="A60" s="27" t="s">
        <v>464</v>
      </c>
      <c r="B60" s="27" t="s">
        <v>465</v>
      </c>
      <c r="C60" s="27" t="s">
        <v>466</v>
      </c>
      <c r="D60" s="27">
        <v>2024</v>
      </c>
      <c r="E60" s="27" t="s">
        <v>48</v>
      </c>
      <c r="F60" s="27" t="s">
        <v>13</v>
      </c>
      <c r="G60" s="27"/>
      <c r="H60" s="27"/>
      <c r="I60" s="28" t="str">
        <f t="shared" si="0"/>
        <v/>
      </c>
      <c r="J60" s="27"/>
      <c r="K60" s="28" t="str">
        <f t="shared" si="1"/>
        <v/>
      </c>
      <c r="L60" s="27"/>
      <c r="M60" s="27"/>
      <c r="N60" s="27"/>
      <c r="O60" s="27"/>
      <c r="P60" s="27" t="s">
        <v>467</v>
      </c>
      <c r="Q60" s="27" t="s">
        <v>468</v>
      </c>
    </row>
    <row r="61" spans="1:17" ht="15" customHeight="1" x14ac:dyDescent="0.3">
      <c r="A61" s="27" t="s">
        <v>469</v>
      </c>
      <c r="B61" s="27" t="s">
        <v>470</v>
      </c>
      <c r="C61" s="27" t="s">
        <v>471</v>
      </c>
      <c r="D61" s="27">
        <v>2026</v>
      </c>
      <c r="E61" s="27" t="s">
        <v>48</v>
      </c>
      <c r="F61" s="27" t="s">
        <v>15</v>
      </c>
      <c r="G61" s="27"/>
      <c r="H61" s="27"/>
      <c r="I61" s="28" t="str">
        <f t="shared" si="0"/>
        <v/>
      </c>
      <c r="J61" s="27"/>
      <c r="K61" s="28" t="str">
        <f t="shared" si="1"/>
        <v/>
      </c>
      <c r="L61" s="27"/>
      <c r="M61" s="27"/>
      <c r="N61" s="27"/>
      <c r="O61" s="27"/>
      <c r="P61" s="27" t="s">
        <v>472</v>
      </c>
      <c r="Q61" s="27" t="s">
        <v>473</v>
      </c>
    </row>
    <row r="62" spans="1:17" ht="15" customHeight="1" x14ac:dyDescent="0.3">
      <c r="A62" s="27" t="s">
        <v>474</v>
      </c>
      <c r="B62" s="27" t="s">
        <v>475</v>
      </c>
      <c r="C62" s="27" t="s">
        <v>476</v>
      </c>
      <c r="D62" s="27">
        <v>2026</v>
      </c>
      <c r="E62" s="27" t="s">
        <v>48</v>
      </c>
      <c r="F62" s="27" t="s">
        <v>11</v>
      </c>
      <c r="G62" s="27"/>
      <c r="H62" s="27"/>
      <c r="I62" s="28" t="str">
        <f t="shared" si="0"/>
        <v/>
      </c>
      <c r="J62" s="27"/>
      <c r="K62" s="28" t="str">
        <f t="shared" si="1"/>
        <v/>
      </c>
      <c r="L62" s="27"/>
      <c r="M62" s="27"/>
      <c r="N62" s="27"/>
      <c r="O62" s="27"/>
      <c r="P62" s="27" t="s">
        <v>477</v>
      </c>
      <c r="Q62" s="27" t="s">
        <v>478</v>
      </c>
    </row>
    <row r="63" spans="1:17" ht="15" customHeight="1" x14ac:dyDescent="0.3">
      <c r="A63" s="27" t="s">
        <v>479</v>
      </c>
      <c r="B63" s="27" t="s">
        <v>480</v>
      </c>
      <c r="C63" s="27" t="s">
        <v>481</v>
      </c>
      <c r="D63" s="27">
        <v>2026</v>
      </c>
      <c r="E63" s="27" t="s">
        <v>48</v>
      </c>
      <c r="F63" s="27" t="s">
        <v>13</v>
      </c>
      <c r="G63" s="27"/>
      <c r="H63" s="27"/>
      <c r="I63" s="28" t="str">
        <f t="shared" si="0"/>
        <v/>
      </c>
      <c r="J63" s="27"/>
      <c r="K63" s="28" t="str">
        <f t="shared" si="1"/>
        <v/>
      </c>
      <c r="L63" s="27"/>
      <c r="M63" s="27"/>
      <c r="N63" s="27"/>
      <c r="O63" s="27"/>
      <c r="P63" s="27" t="s">
        <v>482</v>
      </c>
      <c r="Q63" s="27" t="s">
        <v>483</v>
      </c>
    </row>
    <row r="64" spans="1:17" ht="15" customHeight="1" x14ac:dyDescent="0.3">
      <c r="A64" s="27" t="s">
        <v>484</v>
      </c>
      <c r="B64" s="27" t="s">
        <v>485</v>
      </c>
      <c r="C64" s="27" t="s">
        <v>486</v>
      </c>
      <c r="D64" s="27">
        <v>2026</v>
      </c>
      <c r="E64" s="27" t="s">
        <v>48</v>
      </c>
      <c r="F64" s="27" t="s">
        <v>15</v>
      </c>
      <c r="G64" s="27"/>
      <c r="H64" s="27"/>
      <c r="I64" s="28" t="str">
        <f t="shared" si="0"/>
        <v/>
      </c>
      <c r="J64" s="27"/>
      <c r="K64" s="28" t="str">
        <f t="shared" si="1"/>
        <v/>
      </c>
      <c r="L64" s="27"/>
      <c r="M64" s="27"/>
      <c r="N64" s="27"/>
      <c r="O64" s="27"/>
      <c r="P64" s="27" t="s">
        <v>487</v>
      </c>
      <c r="Q64" s="27" t="s">
        <v>488</v>
      </c>
    </row>
    <row r="65" spans="1:17" ht="15" customHeight="1" x14ac:dyDescent="0.3">
      <c r="A65" s="27" t="s">
        <v>489</v>
      </c>
      <c r="B65" s="27" t="s">
        <v>490</v>
      </c>
      <c r="C65" s="27" t="s">
        <v>491</v>
      </c>
      <c r="D65" s="27">
        <v>2026</v>
      </c>
      <c r="E65" s="27" t="s">
        <v>48</v>
      </c>
      <c r="F65" s="27" t="s">
        <v>11</v>
      </c>
      <c r="G65" s="27"/>
      <c r="H65" s="27"/>
      <c r="I65" s="28" t="str">
        <f t="shared" si="0"/>
        <v/>
      </c>
      <c r="J65" s="27"/>
      <c r="K65" s="28" t="str">
        <f t="shared" si="1"/>
        <v/>
      </c>
      <c r="L65" s="27"/>
      <c r="M65" s="27"/>
      <c r="N65" s="27"/>
      <c r="O65" s="27"/>
      <c r="P65" s="27" t="s">
        <v>492</v>
      </c>
      <c r="Q65" s="27" t="s">
        <v>493</v>
      </c>
    </row>
    <row r="66" spans="1:17" ht="15" customHeight="1" x14ac:dyDescent="0.3">
      <c r="A66" s="27" t="s">
        <v>494</v>
      </c>
      <c r="B66" s="27" t="s">
        <v>495</v>
      </c>
      <c r="C66" s="27" t="s">
        <v>496</v>
      </c>
      <c r="D66" s="27">
        <v>2023</v>
      </c>
      <c r="E66" s="27" t="s">
        <v>48</v>
      </c>
      <c r="F66" s="27" t="s">
        <v>13</v>
      </c>
      <c r="G66" s="27"/>
      <c r="H66" s="27"/>
      <c r="I66" s="28" t="str">
        <f t="shared" ref="I66:I129" si="2">IF(OR(G66="",H66=""),"",IF(G66=H66,"Yes","No"))</f>
        <v/>
      </c>
      <c r="J66" s="27"/>
      <c r="K66" s="28" t="str">
        <f t="shared" ref="K66:K129" si="3">IF(OR(E66="Snowballing",E66="Other sources"),"n/a",IF(AND(G66="",H66=""),"",IF(OR(G66="",H66=""),"Waiting",IF(G66=H66,G66,IF(AND(G66&lt;&gt;"Exclude",H66&lt;&gt;"Exclude"),"Maybe",IF(J66&lt;&gt;"",J66,"Pending"))))))</f>
        <v/>
      </c>
      <c r="L66" s="27"/>
      <c r="M66" s="27"/>
      <c r="N66" s="27"/>
      <c r="O66" s="27"/>
      <c r="P66" s="27" t="s">
        <v>497</v>
      </c>
      <c r="Q66" s="27" t="s">
        <v>498</v>
      </c>
    </row>
    <row r="67" spans="1:17" ht="15" customHeight="1" x14ac:dyDescent="0.3">
      <c r="A67" s="27" t="s">
        <v>499</v>
      </c>
      <c r="B67" s="27" t="s">
        <v>500</v>
      </c>
      <c r="C67" s="27" t="s">
        <v>501</v>
      </c>
      <c r="D67" s="27">
        <v>2025</v>
      </c>
      <c r="E67" s="27" t="s">
        <v>48</v>
      </c>
      <c r="F67" s="27" t="s">
        <v>15</v>
      </c>
      <c r="G67" s="27"/>
      <c r="H67" s="27"/>
      <c r="I67" s="28" t="str">
        <f t="shared" si="2"/>
        <v/>
      </c>
      <c r="J67" s="27"/>
      <c r="K67" s="28" t="str">
        <f t="shared" si="3"/>
        <v/>
      </c>
      <c r="L67" s="27"/>
      <c r="M67" s="27"/>
      <c r="N67" s="27"/>
      <c r="O67" s="27"/>
      <c r="P67" s="27" t="s">
        <v>502</v>
      </c>
      <c r="Q67" s="27" t="s">
        <v>503</v>
      </c>
    </row>
    <row r="68" spans="1:17" ht="15" customHeight="1" x14ac:dyDescent="0.3">
      <c r="A68" s="27" t="s">
        <v>504</v>
      </c>
      <c r="B68" s="27" t="s">
        <v>505</v>
      </c>
      <c r="C68" s="27" t="s">
        <v>506</v>
      </c>
      <c r="D68" s="27">
        <v>2021</v>
      </c>
      <c r="E68" s="27" t="s">
        <v>48</v>
      </c>
      <c r="F68" s="27" t="s">
        <v>11</v>
      </c>
      <c r="G68" s="27"/>
      <c r="H68" s="27"/>
      <c r="I68" s="28" t="str">
        <f t="shared" si="2"/>
        <v/>
      </c>
      <c r="J68" s="27"/>
      <c r="K68" s="28" t="str">
        <f t="shared" si="3"/>
        <v/>
      </c>
      <c r="L68" s="27"/>
      <c r="M68" s="27"/>
      <c r="N68" s="27"/>
      <c r="O68" s="27"/>
      <c r="P68" s="27" t="s">
        <v>238</v>
      </c>
      <c r="Q68" s="27" t="s">
        <v>507</v>
      </c>
    </row>
    <row r="69" spans="1:17" ht="15" customHeight="1" x14ac:dyDescent="0.3">
      <c r="A69" s="27" t="s">
        <v>508</v>
      </c>
      <c r="B69" s="27" t="s">
        <v>509</v>
      </c>
      <c r="C69" s="27" t="s">
        <v>510</v>
      </c>
      <c r="D69" s="27">
        <v>2025</v>
      </c>
      <c r="E69" s="27" t="s">
        <v>48</v>
      </c>
      <c r="F69" s="27" t="s">
        <v>13</v>
      </c>
      <c r="G69" s="27"/>
      <c r="H69" s="27"/>
      <c r="I69" s="28" t="str">
        <f t="shared" si="2"/>
        <v/>
      </c>
      <c r="J69" s="27"/>
      <c r="K69" s="28" t="str">
        <f t="shared" si="3"/>
        <v/>
      </c>
      <c r="L69" s="27"/>
      <c r="M69" s="27"/>
      <c r="N69" s="27"/>
      <c r="O69" s="27"/>
      <c r="P69" s="27" t="s">
        <v>511</v>
      </c>
      <c r="Q69" s="27" t="s">
        <v>512</v>
      </c>
    </row>
    <row r="70" spans="1:17" ht="15" customHeight="1" x14ac:dyDescent="0.3">
      <c r="A70" s="27" t="s">
        <v>513</v>
      </c>
      <c r="B70" s="27" t="s">
        <v>514</v>
      </c>
      <c r="C70" s="27" t="s">
        <v>515</v>
      </c>
      <c r="D70" s="27">
        <v>2020</v>
      </c>
      <c r="E70" s="27" t="s">
        <v>48</v>
      </c>
      <c r="F70" s="27" t="s">
        <v>15</v>
      </c>
      <c r="G70" s="27"/>
      <c r="H70" s="27"/>
      <c r="I70" s="28" t="str">
        <f t="shared" si="2"/>
        <v/>
      </c>
      <c r="J70" s="27"/>
      <c r="K70" s="28" t="str">
        <f t="shared" si="3"/>
        <v/>
      </c>
      <c r="L70" s="27"/>
      <c r="M70" s="27"/>
      <c r="N70" s="27"/>
      <c r="O70" s="27"/>
      <c r="P70" s="27" t="s">
        <v>516</v>
      </c>
      <c r="Q70" s="27" t="s">
        <v>517</v>
      </c>
    </row>
    <row r="71" spans="1:17" ht="15" customHeight="1" x14ac:dyDescent="0.3">
      <c r="A71" s="27" t="s">
        <v>518</v>
      </c>
      <c r="B71" s="27" t="s">
        <v>519</v>
      </c>
      <c r="C71" s="27" t="s">
        <v>520</v>
      </c>
      <c r="D71" s="27">
        <v>2023</v>
      </c>
      <c r="E71" s="27" t="s">
        <v>48</v>
      </c>
      <c r="F71" s="27" t="s">
        <v>11</v>
      </c>
      <c r="G71" s="27"/>
      <c r="H71" s="27"/>
      <c r="I71" s="28" t="str">
        <f t="shared" si="2"/>
        <v/>
      </c>
      <c r="J71" s="27"/>
      <c r="K71" s="28" t="str">
        <f t="shared" si="3"/>
        <v/>
      </c>
      <c r="L71" s="27"/>
      <c r="M71" s="27"/>
      <c r="N71" s="27"/>
      <c r="O71" s="27"/>
      <c r="P71" s="27" t="s">
        <v>521</v>
      </c>
      <c r="Q71" s="27" t="s">
        <v>522</v>
      </c>
    </row>
    <row r="72" spans="1:17" ht="15" customHeight="1" x14ac:dyDescent="0.3">
      <c r="A72" s="27" t="s">
        <v>523</v>
      </c>
      <c r="B72" s="27" t="s">
        <v>524</v>
      </c>
      <c r="C72" s="27" t="s">
        <v>525</v>
      </c>
      <c r="D72" s="27">
        <v>2022</v>
      </c>
      <c r="E72" s="27" t="s">
        <v>48</v>
      </c>
      <c r="F72" s="27" t="s">
        <v>13</v>
      </c>
      <c r="G72" s="27"/>
      <c r="H72" s="27"/>
      <c r="I72" s="28" t="str">
        <f t="shared" si="2"/>
        <v/>
      </c>
      <c r="J72" s="27"/>
      <c r="K72" s="28" t="str">
        <f t="shared" si="3"/>
        <v/>
      </c>
      <c r="L72" s="27"/>
      <c r="M72" s="27"/>
      <c r="N72" s="27"/>
      <c r="O72" s="27"/>
      <c r="P72" s="27" t="s">
        <v>526</v>
      </c>
      <c r="Q72" s="27" t="s">
        <v>527</v>
      </c>
    </row>
    <row r="73" spans="1:17" ht="15" customHeight="1" x14ac:dyDescent="0.3">
      <c r="A73" s="27" t="s">
        <v>528</v>
      </c>
      <c r="B73" s="27" t="s">
        <v>529</v>
      </c>
      <c r="C73" s="27" t="s">
        <v>530</v>
      </c>
      <c r="D73" s="27">
        <v>2022</v>
      </c>
      <c r="E73" s="27" t="s">
        <v>48</v>
      </c>
      <c r="F73" s="27" t="s">
        <v>15</v>
      </c>
      <c r="G73" s="27"/>
      <c r="H73" s="27"/>
      <c r="I73" s="28" t="str">
        <f t="shared" si="2"/>
        <v/>
      </c>
      <c r="J73" s="27"/>
      <c r="K73" s="28" t="str">
        <f t="shared" si="3"/>
        <v/>
      </c>
      <c r="L73" s="27"/>
      <c r="M73" s="27"/>
      <c r="N73" s="27"/>
      <c r="O73" s="27"/>
      <c r="P73" s="27" t="s">
        <v>531</v>
      </c>
      <c r="Q73" s="27" t="s">
        <v>532</v>
      </c>
    </row>
    <row r="74" spans="1:17" ht="15" customHeight="1" x14ac:dyDescent="0.3">
      <c r="A74" s="27" t="s">
        <v>533</v>
      </c>
      <c r="B74" s="27" t="s">
        <v>534</v>
      </c>
      <c r="C74" s="27" t="s">
        <v>535</v>
      </c>
      <c r="D74" s="27">
        <v>2022</v>
      </c>
      <c r="E74" s="27" t="s">
        <v>48</v>
      </c>
      <c r="F74" s="27" t="s">
        <v>11</v>
      </c>
      <c r="G74" s="27"/>
      <c r="H74" s="27"/>
      <c r="I74" s="28" t="str">
        <f t="shared" si="2"/>
        <v/>
      </c>
      <c r="J74" s="27"/>
      <c r="K74" s="28" t="str">
        <f t="shared" si="3"/>
        <v/>
      </c>
      <c r="L74" s="27"/>
      <c r="M74" s="27"/>
      <c r="N74" s="27"/>
      <c r="O74" s="27"/>
      <c r="P74" s="27" t="s">
        <v>536</v>
      </c>
      <c r="Q74" s="27" t="s">
        <v>537</v>
      </c>
    </row>
    <row r="75" spans="1:17" ht="15" customHeight="1" x14ac:dyDescent="0.3">
      <c r="A75" s="27" t="s">
        <v>538</v>
      </c>
      <c r="B75" s="27" t="s">
        <v>539</v>
      </c>
      <c r="C75" s="27" t="s">
        <v>540</v>
      </c>
      <c r="D75" s="27">
        <v>2026</v>
      </c>
      <c r="E75" s="27" t="s">
        <v>48</v>
      </c>
      <c r="F75" s="27" t="s">
        <v>13</v>
      </c>
      <c r="G75" s="27"/>
      <c r="H75" s="27"/>
      <c r="I75" s="28" t="str">
        <f t="shared" si="2"/>
        <v/>
      </c>
      <c r="J75" s="27"/>
      <c r="K75" s="28" t="str">
        <f t="shared" si="3"/>
        <v/>
      </c>
      <c r="L75" s="27"/>
      <c r="M75" s="27"/>
      <c r="N75" s="27"/>
      <c r="O75" s="27"/>
      <c r="P75" s="27" t="s">
        <v>541</v>
      </c>
      <c r="Q75" s="27" t="s">
        <v>542</v>
      </c>
    </row>
    <row r="76" spans="1:17" ht="15" customHeight="1" x14ac:dyDescent="0.3">
      <c r="A76" s="27" t="s">
        <v>543</v>
      </c>
      <c r="B76" s="27" t="s">
        <v>544</v>
      </c>
      <c r="C76" s="27" t="s">
        <v>545</v>
      </c>
      <c r="D76" s="27">
        <v>2026</v>
      </c>
      <c r="E76" s="27" t="s">
        <v>48</v>
      </c>
      <c r="F76" s="27" t="s">
        <v>15</v>
      </c>
      <c r="G76" s="27"/>
      <c r="H76" s="27"/>
      <c r="I76" s="28" t="str">
        <f t="shared" si="2"/>
        <v/>
      </c>
      <c r="J76" s="27"/>
      <c r="K76" s="28" t="str">
        <f t="shared" si="3"/>
        <v/>
      </c>
      <c r="L76" s="27"/>
      <c r="M76" s="27"/>
      <c r="N76" s="27"/>
      <c r="O76" s="27"/>
      <c r="P76" s="27" t="s">
        <v>546</v>
      </c>
      <c r="Q76" s="27" t="s">
        <v>547</v>
      </c>
    </row>
    <row r="77" spans="1:17" ht="15" customHeight="1" x14ac:dyDescent="0.3">
      <c r="A77" s="27" t="s">
        <v>548</v>
      </c>
      <c r="B77" s="27" t="s">
        <v>549</v>
      </c>
      <c r="C77" s="27" t="s">
        <v>550</v>
      </c>
      <c r="D77" s="27">
        <v>2026</v>
      </c>
      <c r="E77" s="27" t="s">
        <v>142</v>
      </c>
      <c r="F77" s="27" t="s">
        <v>11</v>
      </c>
      <c r="G77" s="27"/>
      <c r="H77" s="27"/>
      <c r="I77" s="28" t="str">
        <f t="shared" si="2"/>
        <v/>
      </c>
      <c r="J77" s="27"/>
      <c r="K77" s="28" t="str">
        <f t="shared" si="3"/>
        <v/>
      </c>
      <c r="L77" s="27"/>
      <c r="M77" s="27"/>
      <c r="N77" s="27"/>
      <c r="O77" s="27"/>
      <c r="P77" s="27" t="s">
        <v>551</v>
      </c>
      <c r="Q77" s="27" t="s">
        <v>552</v>
      </c>
    </row>
    <row r="78" spans="1:17" ht="15" customHeight="1" x14ac:dyDescent="0.3">
      <c r="A78" s="27" t="s">
        <v>553</v>
      </c>
      <c r="B78" s="27" t="s">
        <v>554</v>
      </c>
      <c r="C78" s="27" t="s">
        <v>555</v>
      </c>
      <c r="D78" s="27">
        <v>2024</v>
      </c>
      <c r="E78" s="27" t="s">
        <v>48</v>
      </c>
      <c r="F78" s="27" t="s">
        <v>13</v>
      </c>
      <c r="G78" s="27"/>
      <c r="H78" s="27"/>
      <c r="I78" s="28" t="str">
        <f t="shared" si="2"/>
        <v/>
      </c>
      <c r="J78" s="27"/>
      <c r="K78" s="28" t="str">
        <f t="shared" si="3"/>
        <v/>
      </c>
      <c r="L78" s="27"/>
      <c r="M78" s="27"/>
      <c r="N78" s="27"/>
      <c r="O78" s="27"/>
      <c r="P78" s="27" t="s">
        <v>556</v>
      </c>
      <c r="Q78" s="27" t="s">
        <v>557</v>
      </c>
    </row>
    <row r="79" spans="1:17" ht="15" customHeight="1" x14ac:dyDescent="0.3">
      <c r="A79" s="27" t="s">
        <v>558</v>
      </c>
      <c r="B79" s="27" t="s">
        <v>559</v>
      </c>
      <c r="C79" s="27" t="s">
        <v>560</v>
      </c>
      <c r="D79" s="27">
        <v>2018</v>
      </c>
      <c r="E79" s="27" t="s">
        <v>48</v>
      </c>
      <c r="F79" s="27" t="s">
        <v>15</v>
      </c>
      <c r="G79" s="27"/>
      <c r="H79" s="27"/>
      <c r="I79" s="28" t="str">
        <f t="shared" si="2"/>
        <v/>
      </c>
      <c r="J79" s="27"/>
      <c r="K79" s="28" t="str">
        <f t="shared" si="3"/>
        <v/>
      </c>
      <c r="L79" s="27"/>
      <c r="M79" s="27"/>
      <c r="N79" s="27"/>
      <c r="O79" s="27"/>
      <c r="P79" s="27" t="s">
        <v>561</v>
      </c>
      <c r="Q79" s="27" t="s">
        <v>562</v>
      </c>
    </row>
    <row r="80" spans="1:17" ht="15" customHeight="1" x14ac:dyDescent="0.3">
      <c r="A80" s="27" t="s">
        <v>563</v>
      </c>
      <c r="B80" s="27" t="s">
        <v>564</v>
      </c>
      <c r="C80" s="27" t="s">
        <v>565</v>
      </c>
      <c r="D80" s="27">
        <v>2022</v>
      </c>
      <c r="E80" s="27" t="s">
        <v>48</v>
      </c>
      <c r="F80" s="27" t="s">
        <v>11</v>
      </c>
      <c r="G80" s="27"/>
      <c r="H80" s="27"/>
      <c r="I80" s="28" t="str">
        <f t="shared" si="2"/>
        <v/>
      </c>
      <c r="J80" s="27"/>
      <c r="K80" s="28" t="str">
        <f t="shared" si="3"/>
        <v/>
      </c>
      <c r="L80" s="27"/>
      <c r="M80" s="27"/>
      <c r="N80" s="27"/>
      <c r="O80" s="27"/>
      <c r="P80" s="27" t="s">
        <v>566</v>
      </c>
      <c r="Q80" s="27" t="s">
        <v>567</v>
      </c>
    </row>
    <row r="81" spans="1:17" ht="15" customHeight="1" x14ac:dyDescent="0.3">
      <c r="A81" s="27" t="s">
        <v>568</v>
      </c>
      <c r="B81" s="27" t="s">
        <v>569</v>
      </c>
      <c r="C81" s="27" t="s">
        <v>570</v>
      </c>
      <c r="D81" s="27">
        <v>2024</v>
      </c>
      <c r="E81" s="27" t="s">
        <v>48</v>
      </c>
      <c r="F81" s="27" t="s">
        <v>13</v>
      </c>
      <c r="G81" s="27"/>
      <c r="H81" s="27"/>
      <c r="I81" s="28" t="str">
        <f t="shared" si="2"/>
        <v/>
      </c>
      <c r="J81" s="27"/>
      <c r="K81" s="28" t="str">
        <f t="shared" si="3"/>
        <v/>
      </c>
      <c r="L81" s="27"/>
      <c r="M81" s="27"/>
      <c r="N81" s="27"/>
      <c r="O81" s="27"/>
      <c r="P81" s="27" t="s">
        <v>571</v>
      </c>
      <c r="Q81" s="27" t="s">
        <v>572</v>
      </c>
    </row>
    <row r="82" spans="1:17" ht="15" customHeight="1" x14ac:dyDescent="0.3">
      <c r="A82" s="27" t="s">
        <v>573</v>
      </c>
      <c r="B82" s="27" t="s">
        <v>574</v>
      </c>
      <c r="C82" s="27" t="s">
        <v>575</v>
      </c>
      <c r="D82" s="27">
        <v>2024</v>
      </c>
      <c r="E82" s="27" t="s">
        <v>48</v>
      </c>
      <c r="F82" s="27" t="s">
        <v>15</v>
      </c>
      <c r="G82" s="27"/>
      <c r="H82" s="27"/>
      <c r="I82" s="28" t="str">
        <f t="shared" si="2"/>
        <v/>
      </c>
      <c r="J82" s="27"/>
      <c r="K82" s="28" t="str">
        <f t="shared" si="3"/>
        <v/>
      </c>
      <c r="L82" s="27"/>
      <c r="M82" s="27"/>
      <c r="N82" s="27"/>
      <c r="O82" s="27"/>
      <c r="P82" s="27" t="s">
        <v>576</v>
      </c>
      <c r="Q82" s="27" t="s">
        <v>577</v>
      </c>
    </row>
    <row r="83" spans="1:17" ht="15" customHeight="1" x14ac:dyDescent="0.3">
      <c r="A83" s="27" t="s">
        <v>578</v>
      </c>
      <c r="B83" s="27" t="s">
        <v>579</v>
      </c>
      <c r="C83" s="27" t="s">
        <v>580</v>
      </c>
      <c r="D83" s="27">
        <v>2025</v>
      </c>
      <c r="E83" s="27" t="s">
        <v>48</v>
      </c>
      <c r="F83" s="27" t="s">
        <v>11</v>
      </c>
      <c r="G83" s="27"/>
      <c r="H83" s="27"/>
      <c r="I83" s="28" t="str">
        <f t="shared" si="2"/>
        <v/>
      </c>
      <c r="J83" s="27"/>
      <c r="K83" s="28" t="str">
        <f t="shared" si="3"/>
        <v/>
      </c>
      <c r="L83" s="27"/>
      <c r="M83" s="27"/>
      <c r="N83" s="27"/>
      <c r="O83" s="27"/>
      <c r="P83" s="27" t="s">
        <v>581</v>
      </c>
      <c r="Q83" s="27" t="s">
        <v>582</v>
      </c>
    </row>
    <row r="84" spans="1:17" ht="15" customHeight="1" x14ac:dyDescent="0.3">
      <c r="A84" s="27" t="s">
        <v>583</v>
      </c>
      <c r="B84" s="27" t="s">
        <v>584</v>
      </c>
      <c r="C84" s="27" t="s">
        <v>585</v>
      </c>
      <c r="D84" s="27">
        <v>2023</v>
      </c>
      <c r="E84" s="27" t="s">
        <v>48</v>
      </c>
      <c r="F84" s="27" t="s">
        <v>13</v>
      </c>
      <c r="G84" s="27"/>
      <c r="H84" s="27"/>
      <c r="I84" s="28" t="str">
        <f t="shared" si="2"/>
        <v/>
      </c>
      <c r="J84" s="27"/>
      <c r="K84" s="28" t="str">
        <f t="shared" si="3"/>
        <v/>
      </c>
      <c r="L84" s="27"/>
      <c r="M84" s="27"/>
      <c r="N84" s="27"/>
      <c r="O84" s="27"/>
      <c r="P84" s="27" t="s">
        <v>586</v>
      </c>
      <c r="Q84" s="27" t="s">
        <v>587</v>
      </c>
    </row>
    <row r="85" spans="1:17" ht="15" customHeight="1" x14ac:dyDescent="0.3">
      <c r="A85" s="27" t="s">
        <v>588</v>
      </c>
      <c r="B85" s="27" t="s">
        <v>589</v>
      </c>
      <c r="C85" s="27" t="s">
        <v>590</v>
      </c>
      <c r="D85" s="27">
        <v>2025</v>
      </c>
      <c r="E85" s="27" t="s">
        <v>48</v>
      </c>
      <c r="F85" s="27" t="s">
        <v>15</v>
      </c>
      <c r="G85" s="27"/>
      <c r="H85" s="27"/>
      <c r="I85" s="28" t="str">
        <f t="shared" si="2"/>
        <v/>
      </c>
      <c r="J85" s="27"/>
      <c r="K85" s="28" t="str">
        <f t="shared" si="3"/>
        <v/>
      </c>
      <c r="L85" s="27"/>
      <c r="M85" s="27"/>
      <c r="N85" s="27"/>
      <c r="O85" s="27"/>
      <c r="P85" s="27" t="s">
        <v>591</v>
      </c>
      <c r="Q85" s="27" t="s">
        <v>592</v>
      </c>
    </row>
    <row r="86" spans="1:17" ht="15" customHeight="1" x14ac:dyDescent="0.3">
      <c r="A86" s="27" t="s">
        <v>593</v>
      </c>
      <c r="B86" s="27" t="s">
        <v>594</v>
      </c>
      <c r="C86" s="27" t="s">
        <v>595</v>
      </c>
      <c r="D86" s="27">
        <v>2018</v>
      </c>
      <c r="E86" s="27" t="s">
        <v>48</v>
      </c>
      <c r="F86" s="27" t="s">
        <v>11</v>
      </c>
      <c r="G86" s="27"/>
      <c r="H86" s="27"/>
      <c r="I86" s="28" t="str">
        <f t="shared" si="2"/>
        <v/>
      </c>
      <c r="J86" s="27"/>
      <c r="K86" s="28" t="str">
        <f t="shared" si="3"/>
        <v/>
      </c>
      <c r="L86" s="27"/>
      <c r="M86" s="27"/>
      <c r="N86" s="27"/>
      <c r="O86" s="27"/>
      <c r="P86" s="27" t="s">
        <v>596</v>
      </c>
      <c r="Q86" s="27" t="s">
        <v>597</v>
      </c>
    </row>
    <row r="87" spans="1:17" ht="15" customHeight="1" x14ac:dyDescent="0.3">
      <c r="A87" s="27" t="s">
        <v>598</v>
      </c>
      <c r="B87" s="27" t="s">
        <v>599</v>
      </c>
      <c r="C87" s="27" t="s">
        <v>600</v>
      </c>
      <c r="D87" s="27">
        <v>2019</v>
      </c>
      <c r="E87" s="27" t="s">
        <v>48</v>
      </c>
      <c r="F87" s="27" t="s">
        <v>13</v>
      </c>
      <c r="G87" s="27"/>
      <c r="H87" s="27"/>
      <c r="I87" s="28" t="str">
        <f t="shared" si="2"/>
        <v/>
      </c>
      <c r="J87" s="27"/>
      <c r="K87" s="28" t="str">
        <f t="shared" si="3"/>
        <v/>
      </c>
      <c r="L87" s="27"/>
      <c r="M87" s="27"/>
      <c r="N87" s="27"/>
      <c r="O87" s="27"/>
      <c r="P87" s="27" t="s">
        <v>601</v>
      </c>
      <c r="Q87" s="27" t="s">
        <v>602</v>
      </c>
    </row>
    <row r="88" spans="1:17" ht="15" customHeight="1" x14ac:dyDescent="0.3">
      <c r="A88" s="27" t="s">
        <v>603</v>
      </c>
      <c r="B88" s="27" t="s">
        <v>604</v>
      </c>
      <c r="C88" s="27" t="s">
        <v>605</v>
      </c>
      <c r="D88" s="27">
        <v>2021</v>
      </c>
      <c r="E88" s="27" t="s">
        <v>48</v>
      </c>
      <c r="F88" s="27" t="s">
        <v>15</v>
      </c>
      <c r="G88" s="27"/>
      <c r="H88" s="27"/>
      <c r="I88" s="28" t="str">
        <f t="shared" si="2"/>
        <v/>
      </c>
      <c r="J88" s="27"/>
      <c r="K88" s="28" t="str">
        <f t="shared" si="3"/>
        <v/>
      </c>
      <c r="L88" s="27"/>
      <c r="M88" s="27"/>
      <c r="N88" s="27"/>
      <c r="O88" s="27"/>
      <c r="P88" s="27" t="s">
        <v>606</v>
      </c>
      <c r="Q88" s="27" t="s">
        <v>607</v>
      </c>
    </row>
    <row r="89" spans="1:17" ht="15" customHeight="1" x14ac:dyDescent="0.3">
      <c r="A89" s="27" t="s">
        <v>608</v>
      </c>
      <c r="B89" s="27" t="s">
        <v>609</v>
      </c>
      <c r="C89" s="27" t="s">
        <v>610</v>
      </c>
      <c r="D89" s="27">
        <v>2025</v>
      </c>
      <c r="E89" s="27" t="s">
        <v>48</v>
      </c>
      <c r="F89" s="27" t="s">
        <v>11</v>
      </c>
      <c r="G89" s="27"/>
      <c r="H89" s="27"/>
      <c r="I89" s="28" t="str">
        <f t="shared" si="2"/>
        <v/>
      </c>
      <c r="J89" s="27"/>
      <c r="K89" s="28" t="str">
        <f t="shared" si="3"/>
        <v/>
      </c>
      <c r="L89" s="27"/>
      <c r="M89" s="27"/>
      <c r="N89" s="27"/>
      <c r="O89" s="27"/>
      <c r="P89" s="27" t="s">
        <v>611</v>
      </c>
      <c r="Q89" s="27" t="s">
        <v>612</v>
      </c>
    </row>
    <row r="90" spans="1:17" ht="15" customHeight="1" x14ac:dyDescent="0.3">
      <c r="A90" s="27" t="s">
        <v>613</v>
      </c>
      <c r="B90" s="27" t="s">
        <v>614</v>
      </c>
      <c r="C90" s="27" t="s">
        <v>615</v>
      </c>
      <c r="D90" s="27">
        <v>2025</v>
      </c>
      <c r="E90" s="27" t="s">
        <v>48</v>
      </c>
      <c r="F90" s="27" t="s">
        <v>13</v>
      </c>
      <c r="G90" s="27"/>
      <c r="H90" s="27"/>
      <c r="I90" s="28" t="str">
        <f t="shared" si="2"/>
        <v/>
      </c>
      <c r="J90" s="27"/>
      <c r="K90" s="28" t="str">
        <f t="shared" si="3"/>
        <v/>
      </c>
      <c r="L90" s="27"/>
      <c r="M90" s="27"/>
      <c r="N90" s="27"/>
      <c r="O90" s="27"/>
      <c r="P90" s="27" t="s">
        <v>616</v>
      </c>
      <c r="Q90" s="27" t="s">
        <v>617</v>
      </c>
    </row>
    <row r="91" spans="1:17" ht="15" customHeight="1" x14ac:dyDescent="0.3">
      <c r="A91" s="27" t="s">
        <v>618</v>
      </c>
      <c r="B91" s="27" t="s">
        <v>619</v>
      </c>
      <c r="C91" s="27" t="s">
        <v>620</v>
      </c>
      <c r="D91" s="27">
        <v>2017</v>
      </c>
      <c r="E91" s="27" t="s">
        <v>48</v>
      </c>
      <c r="F91" s="27" t="s">
        <v>15</v>
      </c>
      <c r="G91" s="27"/>
      <c r="H91" s="27"/>
      <c r="I91" s="28" t="str">
        <f t="shared" si="2"/>
        <v/>
      </c>
      <c r="J91" s="27"/>
      <c r="K91" s="28" t="str">
        <f t="shared" si="3"/>
        <v/>
      </c>
      <c r="L91" s="27"/>
      <c r="M91" s="27"/>
      <c r="N91" s="27"/>
      <c r="O91" s="27"/>
      <c r="P91" s="27" t="s">
        <v>621</v>
      </c>
      <c r="Q91" s="27" t="s">
        <v>622</v>
      </c>
    </row>
    <row r="92" spans="1:17" ht="15" customHeight="1" x14ac:dyDescent="0.3">
      <c r="A92" s="27" t="s">
        <v>623</v>
      </c>
      <c r="B92" s="27" t="s">
        <v>624</v>
      </c>
      <c r="C92" s="27" t="s">
        <v>625</v>
      </c>
      <c r="D92" s="27">
        <v>2026</v>
      </c>
      <c r="E92" s="27" t="s">
        <v>48</v>
      </c>
      <c r="F92" s="27" t="s">
        <v>11</v>
      </c>
      <c r="G92" s="27"/>
      <c r="H92" s="27"/>
      <c r="I92" s="28" t="str">
        <f t="shared" si="2"/>
        <v/>
      </c>
      <c r="J92" s="27"/>
      <c r="K92" s="28" t="str">
        <f t="shared" si="3"/>
        <v/>
      </c>
      <c r="L92" s="27"/>
      <c r="M92" s="27"/>
      <c r="N92" s="27"/>
      <c r="O92" s="27"/>
      <c r="P92" s="27" t="s">
        <v>626</v>
      </c>
      <c r="Q92" s="27" t="s">
        <v>627</v>
      </c>
    </row>
    <row r="93" spans="1:17" ht="15" customHeight="1" x14ac:dyDescent="0.3">
      <c r="A93" s="27" t="s">
        <v>628</v>
      </c>
      <c r="B93" s="27" t="s">
        <v>629</v>
      </c>
      <c r="C93" s="27" t="s">
        <v>630</v>
      </c>
      <c r="D93" s="27">
        <v>2025</v>
      </c>
      <c r="E93" s="27" t="s">
        <v>48</v>
      </c>
      <c r="F93" s="27" t="s">
        <v>13</v>
      </c>
      <c r="G93" s="27"/>
      <c r="H93" s="27"/>
      <c r="I93" s="28" t="str">
        <f t="shared" si="2"/>
        <v/>
      </c>
      <c r="J93" s="27"/>
      <c r="K93" s="28" t="str">
        <f t="shared" si="3"/>
        <v/>
      </c>
      <c r="L93" s="27"/>
      <c r="M93" s="27"/>
      <c r="N93" s="27"/>
      <c r="O93" s="27"/>
      <c r="P93" s="27" t="s">
        <v>631</v>
      </c>
      <c r="Q93" s="27" t="s">
        <v>632</v>
      </c>
    </row>
    <row r="94" spans="1:17" ht="15" customHeight="1" x14ac:dyDescent="0.3">
      <c r="A94" s="27" t="s">
        <v>633</v>
      </c>
      <c r="B94" s="27" t="s">
        <v>634</v>
      </c>
      <c r="C94" s="27" t="s">
        <v>635</v>
      </c>
      <c r="D94" s="27">
        <v>2026</v>
      </c>
      <c r="E94" s="27" t="s">
        <v>48</v>
      </c>
      <c r="F94" s="27" t="s">
        <v>15</v>
      </c>
      <c r="G94" s="27"/>
      <c r="H94" s="27"/>
      <c r="I94" s="28" t="str">
        <f t="shared" si="2"/>
        <v/>
      </c>
      <c r="J94" s="27"/>
      <c r="K94" s="28" t="str">
        <f t="shared" si="3"/>
        <v/>
      </c>
      <c r="L94" s="27"/>
      <c r="M94" s="27"/>
      <c r="N94" s="27"/>
      <c r="O94" s="27"/>
      <c r="P94" s="27" t="s">
        <v>636</v>
      </c>
      <c r="Q94" s="27" t="s">
        <v>637</v>
      </c>
    </row>
    <row r="95" spans="1:17" ht="15" customHeight="1" x14ac:dyDescent="0.3">
      <c r="A95" s="27" t="s">
        <v>638</v>
      </c>
      <c r="B95" s="27" t="s">
        <v>639</v>
      </c>
      <c r="C95" s="27" t="s">
        <v>640</v>
      </c>
      <c r="D95" s="27">
        <v>2024</v>
      </c>
      <c r="E95" s="27" t="s">
        <v>48</v>
      </c>
      <c r="F95" s="27" t="s">
        <v>11</v>
      </c>
      <c r="G95" s="27"/>
      <c r="H95" s="27"/>
      <c r="I95" s="28" t="str">
        <f t="shared" si="2"/>
        <v/>
      </c>
      <c r="J95" s="27"/>
      <c r="K95" s="28" t="str">
        <f t="shared" si="3"/>
        <v/>
      </c>
      <c r="L95" s="27"/>
      <c r="M95" s="27"/>
      <c r="N95" s="27"/>
      <c r="O95" s="27"/>
      <c r="P95" s="27" t="s">
        <v>641</v>
      </c>
      <c r="Q95" s="27" t="s">
        <v>642</v>
      </c>
    </row>
    <row r="96" spans="1:17" ht="15" customHeight="1" x14ac:dyDescent="0.3">
      <c r="A96" s="27" t="s">
        <v>643</v>
      </c>
      <c r="B96" s="27" t="s">
        <v>644</v>
      </c>
      <c r="C96" s="27" t="s">
        <v>645</v>
      </c>
      <c r="D96" s="27">
        <v>2026</v>
      </c>
      <c r="E96" s="27" t="s">
        <v>48</v>
      </c>
      <c r="F96" s="27" t="s">
        <v>13</v>
      </c>
      <c r="G96" s="27"/>
      <c r="H96" s="27"/>
      <c r="I96" s="28" t="str">
        <f t="shared" si="2"/>
        <v/>
      </c>
      <c r="J96" s="27"/>
      <c r="K96" s="28" t="str">
        <f t="shared" si="3"/>
        <v/>
      </c>
      <c r="L96" s="27"/>
      <c r="M96" s="27"/>
      <c r="N96" s="27"/>
      <c r="O96" s="27"/>
      <c r="P96" s="27" t="s">
        <v>646</v>
      </c>
      <c r="Q96" s="27" t="s">
        <v>647</v>
      </c>
    </row>
    <row r="97" spans="1:17" ht="15" customHeight="1" x14ac:dyDescent="0.3">
      <c r="A97" s="27" t="s">
        <v>648</v>
      </c>
      <c r="B97" s="27" t="s">
        <v>649</v>
      </c>
      <c r="C97" s="27" t="s">
        <v>650</v>
      </c>
      <c r="D97" s="27">
        <v>2026</v>
      </c>
      <c r="E97" s="27" t="s">
        <v>48</v>
      </c>
      <c r="F97" s="27" t="s">
        <v>15</v>
      </c>
      <c r="G97" s="27"/>
      <c r="H97" s="27"/>
      <c r="I97" s="28" t="str">
        <f t="shared" si="2"/>
        <v/>
      </c>
      <c r="J97" s="27"/>
      <c r="K97" s="28" t="str">
        <f t="shared" si="3"/>
        <v/>
      </c>
      <c r="L97" s="27"/>
      <c r="M97" s="27"/>
      <c r="N97" s="27"/>
      <c r="O97" s="27"/>
      <c r="P97" s="27" t="s">
        <v>238</v>
      </c>
      <c r="Q97" s="27" t="s">
        <v>651</v>
      </c>
    </row>
    <row r="98" spans="1:17" ht="15" customHeight="1" x14ac:dyDescent="0.3">
      <c r="A98" s="27" t="s">
        <v>652</v>
      </c>
      <c r="B98" s="27" t="s">
        <v>653</v>
      </c>
      <c r="C98" s="27" t="s">
        <v>654</v>
      </c>
      <c r="D98" s="27">
        <v>2026</v>
      </c>
      <c r="E98" s="27" t="s">
        <v>48</v>
      </c>
      <c r="F98" s="27" t="s">
        <v>11</v>
      </c>
      <c r="G98" s="27"/>
      <c r="H98" s="27"/>
      <c r="I98" s="28" t="str">
        <f t="shared" si="2"/>
        <v/>
      </c>
      <c r="J98" s="27"/>
      <c r="K98" s="28" t="str">
        <f t="shared" si="3"/>
        <v/>
      </c>
      <c r="L98" s="27"/>
      <c r="M98" s="27"/>
      <c r="N98" s="27"/>
      <c r="O98" s="27"/>
      <c r="P98" s="27" t="s">
        <v>655</v>
      </c>
      <c r="Q98" s="27" t="s">
        <v>656</v>
      </c>
    </row>
    <row r="99" spans="1:17" ht="15" customHeight="1" x14ac:dyDescent="0.3">
      <c r="A99" s="27" t="s">
        <v>657</v>
      </c>
      <c r="B99" s="27" t="s">
        <v>658</v>
      </c>
      <c r="C99" s="27" t="s">
        <v>659</v>
      </c>
      <c r="D99" s="27">
        <v>2023</v>
      </c>
      <c r="E99" s="27" t="s">
        <v>142</v>
      </c>
      <c r="F99" s="27" t="s">
        <v>13</v>
      </c>
      <c r="G99" s="27"/>
      <c r="H99" s="27"/>
      <c r="I99" s="28" t="str">
        <f t="shared" si="2"/>
        <v/>
      </c>
      <c r="J99" s="27"/>
      <c r="K99" s="28" t="str">
        <f t="shared" si="3"/>
        <v/>
      </c>
      <c r="L99" s="27"/>
      <c r="M99" s="27"/>
      <c r="N99" s="27"/>
      <c r="O99" s="27"/>
      <c r="P99" s="27" t="s">
        <v>660</v>
      </c>
      <c r="Q99" s="27" t="s">
        <v>661</v>
      </c>
    </row>
    <row r="100" spans="1:17" ht="15" customHeight="1" x14ac:dyDescent="0.3">
      <c r="A100" s="27" t="s">
        <v>662</v>
      </c>
      <c r="B100" s="27" t="s">
        <v>663</v>
      </c>
      <c r="C100" s="27" t="s">
        <v>664</v>
      </c>
      <c r="D100" s="27">
        <v>2026</v>
      </c>
      <c r="E100" s="27" t="s">
        <v>48</v>
      </c>
      <c r="F100" s="27" t="s">
        <v>15</v>
      </c>
      <c r="G100" s="27"/>
      <c r="H100" s="27"/>
      <c r="I100" s="28" t="str">
        <f t="shared" si="2"/>
        <v/>
      </c>
      <c r="J100" s="27"/>
      <c r="K100" s="28" t="str">
        <f t="shared" si="3"/>
        <v/>
      </c>
      <c r="L100" s="27"/>
      <c r="M100" s="27"/>
      <c r="N100" s="27"/>
      <c r="O100" s="27"/>
      <c r="P100" s="27" t="s">
        <v>665</v>
      </c>
      <c r="Q100" s="27" t="s">
        <v>666</v>
      </c>
    </row>
    <row r="101" spans="1:17" ht="15" customHeight="1" x14ac:dyDescent="0.3">
      <c r="A101" s="27" t="s">
        <v>667</v>
      </c>
      <c r="B101" s="27" t="s">
        <v>668</v>
      </c>
      <c r="C101" s="27" t="s">
        <v>669</v>
      </c>
      <c r="D101" s="27">
        <v>2019</v>
      </c>
      <c r="E101" s="27" t="s">
        <v>48</v>
      </c>
      <c r="F101" s="27" t="s">
        <v>11</v>
      </c>
      <c r="G101" s="27"/>
      <c r="H101" s="27"/>
      <c r="I101" s="28" t="str">
        <f t="shared" si="2"/>
        <v/>
      </c>
      <c r="J101" s="27"/>
      <c r="K101" s="28" t="str">
        <f t="shared" si="3"/>
        <v/>
      </c>
      <c r="L101" s="27"/>
      <c r="M101" s="27"/>
      <c r="N101" s="27"/>
      <c r="O101" s="27"/>
      <c r="P101" s="27" t="s">
        <v>670</v>
      </c>
      <c r="Q101" s="27" t="s">
        <v>671</v>
      </c>
    </row>
    <row r="102" spans="1:17" ht="15" customHeight="1" x14ac:dyDescent="0.3">
      <c r="A102" s="27" t="s">
        <v>672</v>
      </c>
      <c r="B102" s="27" t="s">
        <v>673</v>
      </c>
      <c r="C102" s="27" t="s">
        <v>674</v>
      </c>
      <c r="D102" s="27">
        <v>2023</v>
      </c>
      <c r="E102" s="27" t="s">
        <v>142</v>
      </c>
      <c r="F102" s="27" t="s">
        <v>13</v>
      </c>
      <c r="G102" s="27"/>
      <c r="H102" s="27"/>
      <c r="I102" s="28" t="str">
        <f t="shared" si="2"/>
        <v/>
      </c>
      <c r="J102" s="27"/>
      <c r="K102" s="28" t="str">
        <f t="shared" si="3"/>
        <v/>
      </c>
      <c r="L102" s="27"/>
      <c r="M102" s="27"/>
      <c r="N102" s="27"/>
      <c r="O102" s="27"/>
      <c r="P102" s="27" t="s">
        <v>675</v>
      </c>
      <c r="Q102" s="27" t="s">
        <v>676</v>
      </c>
    </row>
    <row r="103" spans="1:17" ht="15" customHeight="1" x14ac:dyDescent="0.3">
      <c r="A103" s="27" t="s">
        <v>677</v>
      </c>
      <c r="B103" s="27" t="s">
        <v>678</v>
      </c>
      <c r="C103" s="27" t="s">
        <v>679</v>
      </c>
      <c r="D103" s="27">
        <v>2025</v>
      </c>
      <c r="E103" s="27" t="s">
        <v>48</v>
      </c>
      <c r="F103" s="27" t="s">
        <v>15</v>
      </c>
      <c r="G103" s="27"/>
      <c r="H103" s="27"/>
      <c r="I103" s="28" t="str">
        <f t="shared" si="2"/>
        <v/>
      </c>
      <c r="J103" s="27"/>
      <c r="K103" s="28" t="str">
        <f t="shared" si="3"/>
        <v/>
      </c>
      <c r="L103" s="27"/>
      <c r="M103" s="27"/>
      <c r="N103" s="27"/>
      <c r="O103" s="27"/>
      <c r="P103" s="27" t="s">
        <v>680</v>
      </c>
      <c r="Q103" s="27" t="s">
        <v>681</v>
      </c>
    </row>
    <row r="104" spans="1:17" ht="15" customHeight="1" x14ac:dyDescent="0.3">
      <c r="A104" s="27" t="s">
        <v>682</v>
      </c>
      <c r="B104" s="27" t="s">
        <v>683</v>
      </c>
      <c r="C104" s="27" t="s">
        <v>684</v>
      </c>
      <c r="D104" s="27">
        <v>2026</v>
      </c>
      <c r="E104" s="27" t="s">
        <v>48</v>
      </c>
      <c r="F104" s="27" t="s">
        <v>11</v>
      </c>
      <c r="G104" s="27"/>
      <c r="H104" s="27"/>
      <c r="I104" s="28" t="str">
        <f t="shared" si="2"/>
        <v/>
      </c>
      <c r="J104" s="27"/>
      <c r="K104" s="28" t="str">
        <f t="shared" si="3"/>
        <v/>
      </c>
      <c r="L104" s="27"/>
      <c r="M104" s="27"/>
      <c r="N104" s="27"/>
      <c r="O104" s="27"/>
      <c r="P104" s="27" t="s">
        <v>685</v>
      </c>
      <c r="Q104" s="27" t="s">
        <v>686</v>
      </c>
    </row>
    <row r="105" spans="1:17" ht="15" customHeight="1" x14ac:dyDescent="0.3">
      <c r="A105" s="27" t="s">
        <v>687</v>
      </c>
      <c r="B105" s="27" t="s">
        <v>688</v>
      </c>
      <c r="C105" s="27" t="s">
        <v>689</v>
      </c>
      <c r="D105" s="27">
        <v>2026</v>
      </c>
      <c r="E105" s="27" t="s">
        <v>48</v>
      </c>
      <c r="F105" s="27" t="s">
        <v>13</v>
      </c>
      <c r="G105" s="27"/>
      <c r="H105" s="27"/>
      <c r="I105" s="28" t="str">
        <f t="shared" si="2"/>
        <v/>
      </c>
      <c r="J105" s="27"/>
      <c r="K105" s="28" t="str">
        <f t="shared" si="3"/>
        <v/>
      </c>
      <c r="L105" s="27"/>
      <c r="M105" s="27"/>
      <c r="N105" s="27"/>
      <c r="O105" s="27"/>
      <c r="P105" s="27" t="s">
        <v>690</v>
      </c>
      <c r="Q105" s="27" t="s">
        <v>691</v>
      </c>
    </row>
    <row r="106" spans="1:17" ht="15" customHeight="1" x14ac:dyDescent="0.3">
      <c r="A106" s="27" t="s">
        <v>692</v>
      </c>
      <c r="B106" s="27" t="s">
        <v>693</v>
      </c>
      <c r="C106" s="27" t="s">
        <v>694</v>
      </c>
      <c r="D106" s="27">
        <v>2025</v>
      </c>
      <c r="E106" s="27" t="s">
        <v>48</v>
      </c>
      <c r="F106" s="27" t="s">
        <v>15</v>
      </c>
      <c r="G106" s="27"/>
      <c r="H106" s="27"/>
      <c r="I106" s="28" t="str">
        <f t="shared" si="2"/>
        <v/>
      </c>
      <c r="J106" s="27"/>
      <c r="K106" s="28" t="str">
        <f t="shared" si="3"/>
        <v/>
      </c>
      <c r="L106" s="27"/>
      <c r="M106" s="27"/>
      <c r="N106" s="27"/>
      <c r="O106" s="27"/>
      <c r="P106" s="27" t="s">
        <v>695</v>
      </c>
      <c r="Q106" s="27" t="s">
        <v>696</v>
      </c>
    </row>
    <row r="107" spans="1:17" ht="15" customHeight="1" x14ac:dyDescent="0.3">
      <c r="A107" s="27" t="s">
        <v>697</v>
      </c>
      <c r="B107" s="27" t="s">
        <v>698</v>
      </c>
      <c r="C107" s="27" t="s">
        <v>699</v>
      </c>
      <c r="D107" s="27">
        <v>2024</v>
      </c>
      <c r="E107" s="27" t="s">
        <v>48</v>
      </c>
      <c r="F107" s="27" t="s">
        <v>11</v>
      </c>
      <c r="G107" s="27"/>
      <c r="H107" s="27"/>
      <c r="I107" s="28" t="str">
        <f t="shared" si="2"/>
        <v/>
      </c>
      <c r="J107" s="27"/>
      <c r="K107" s="28" t="str">
        <f t="shared" si="3"/>
        <v/>
      </c>
      <c r="L107" s="27"/>
      <c r="M107" s="27"/>
      <c r="N107" s="27"/>
      <c r="O107" s="27"/>
      <c r="P107" s="27" t="s">
        <v>700</v>
      </c>
      <c r="Q107" s="27" t="s">
        <v>701</v>
      </c>
    </row>
    <row r="108" spans="1:17" ht="15" customHeight="1" x14ac:dyDescent="0.3">
      <c r="A108" s="27" t="s">
        <v>702</v>
      </c>
      <c r="B108" s="27" t="s">
        <v>703</v>
      </c>
      <c r="C108" s="27" t="s">
        <v>704</v>
      </c>
      <c r="D108" s="27">
        <v>2024</v>
      </c>
      <c r="E108" s="27" t="s">
        <v>48</v>
      </c>
      <c r="F108" s="27" t="s">
        <v>13</v>
      </c>
      <c r="G108" s="27"/>
      <c r="H108" s="27"/>
      <c r="I108" s="28" t="str">
        <f t="shared" si="2"/>
        <v/>
      </c>
      <c r="J108" s="27"/>
      <c r="K108" s="28" t="str">
        <f t="shared" si="3"/>
        <v/>
      </c>
      <c r="L108" s="27"/>
      <c r="M108" s="27"/>
      <c r="N108" s="27"/>
      <c r="O108" s="27"/>
      <c r="P108" s="27" t="s">
        <v>705</v>
      </c>
      <c r="Q108" s="27" t="s">
        <v>706</v>
      </c>
    </row>
    <row r="109" spans="1:17" ht="15" customHeight="1" x14ac:dyDescent="0.3">
      <c r="A109" s="27" t="s">
        <v>707</v>
      </c>
      <c r="B109" s="27" t="s">
        <v>708</v>
      </c>
      <c r="C109" s="27" t="s">
        <v>709</v>
      </c>
      <c r="D109" s="27">
        <v>2026</v>
      </c>
      <c r="E109" s="27" t="s">
        <v>48</v>
      </c>
      <c r="F109" s="27" t="s">
        <v>15</v>
      </c>
      <c r="G109" s="27"/>
      <c r="H109" s="27"/>
      <c r="I109" s="28" t="str">
        <f t="shared" si="2"/>
        <v/>
      </c>
      <c r="J109" s="27"/>
      <c r="K109" s="28" t="str">
        <f t="shared" si="3"/>
        <v/>
      </c>
      <c r="L109" s="27"/>
      <c r="M109" s="27"/>
      <c r="N109" s="27"/>
      <c r="O109" s="27"/>
      <c r="P109" s="27" t="s">
        <v>710</v>
      </c>
      <c r="Q109" s="27" t="s">
        <v>711</v>
      </c>
    </row>
    <row r="110" spans="1:17" ht="15" customHeight="1" x14ac:dyDescent="0.3">
      <c r="A110" s="27" t="s">
        <v>712</v>
      </c>
      <c r="B110" s="27" t="s">
        <v>713</v>
      </c>
      <c r="C110" s="27" t="s">
        <v>714</v>
      </c>
      <c r="D110" s="27">
        <v>2024</v>
      </c>
      <c r="E110" s="27" t="s">
        <v>48</v>
      </c>
      <c r="F110" s="27" t="s">
        <v>11</v>
      </c>
      <c r="G110" s="27"/>
      <c r="H110" s="27"/>
      <c r="I110" s="28" t="str">
        <f t="shared" si="2"/>
        <v/>
      </c>
      <c r="J110" s="27"/>
      <c r="K110" s="28" t="str">
        <f t="shared" si="3"/>
        <v/>
      </c>
      <c r="L110" s="27"/>
      <c r="M110" s="27"/>
      <c r="N110" s="27"/>
      <c r="O110" s="27"/>
      <c r="P110" s="27" t="s">
        <v>715</v>
      </c>
      <c r="Q110" s="27" t="s">
        <v>716</v>
      </c>
    </row>
    <row r="111" spans="1:17" ht="15" customHeight="1" x14ac:dyDescent="0.3">
      <c r="A111" s="27" t="s">
        <v>717</v>
      </c>
      <c r="B111" s="27" t="s">
        <v>718</v>
      </c>
      <c r="C111" s="27" t="s">
        <v>719</v>
      </c>
      <c r="D111" s="27">
        <v>2021</v>
      </c>
      <c r="E111" s="27" t="s">
        <v>48</v>
      </c>
      <c r="F111" s="27" t="s">
        <v>13</v>
      </c>
      <c r="G111" s="27"/>
      <c r="H111" s="27"/>
      <c r="I111" s="28" t="str">
        <f t="shared" si="2"/>
        <v/>
      </c>
      <c r="J111" s="27"/>
      <c r="K111" s="28" t="str">
        <f t="shared" si="3"/>
        <v/>
      </c>
      <c r="L111" s="27"/>
      <c r="M111" s="27"/>
      <c r="N111" s="27"/>
      <c r="O111" s="27"/>
      <c r="P111" s="27" t="s">
        <v>238</v>
      </c>
      <c r="Q111" s="27" t="s">
        <v>720</v>
      </c>
    </row>
    <row r="112" spans="1:17" ht="15" customHeight="1" x14ac:dyDescent="0.3">
      <c r="A112" s="27" t="s">
        <v>721</v>
      </c>
      <c r="B112" s="27" t="s">
        <v>722</v>
      </c>
      <c r="C112" s="27" t="s">
        <v>723</v>
      </c>
      <c r="D112" s="27">
        <v>2024</v>
      </c>
      <c r="E112" s="27" t="s">
        <v>48</v>
      </c>
      <c r="F112" s="27" t="s">
        <v>15</v>
      </c>
      <c r="G112" s="27"/>
      <c r="H112" s="27"/>
      <c r="I112" s="28" t="str">
        <f t="shared" si="2"/>
        <v/>
      </c>
      <c r="J112" s="27"/>
      <c r="K112" s="28" t="str">
        <f t="shared" si="3"/>
        <v/>
      </c>
      <c r="L112" s="27"/>
      <c r="M112" s="27"/>
      <c r="N112" s="27"/>
      <c r="O112" s="27"/>
      <c r="P112" s="27" t="s">
        <v>724</v>
      </c>
      <c r="Q112" s="27" t="s">
        <v>725</v>
      </c>
    </row>
    <row r="113" spans="1:17" ht="15" customHeight="1" x14ac:dyDescent="0.3">
      <c r="A113" s="27" t="s">
        <v>726</v>
      </c>
      <c r="B113" s="27" t="s">
        <v>727</v>
      </c>
      <c r="C113" s="27" t="s">
        <v>728</v>
      </c>
      <c r="D113" s="27">
        <v>2025</v>
      </c>
      <c r="E113" s="27" t="s">
        <v>48</v>
      </c>
      <c r="F113" s="27" t="s">
        <v>11</v>
      </c>
      <c r="G113" s="27"/>
      <c r="H113" s="27"/>
      <c r="I113" s="28" t="str">
        <f t="shared" si="2"/>
        <v/>
      </c>
      <c r="J113" s="27"/>
      <c r="K113" s="28" t="str">
        <f t="shared" si="3"/>
        <v/>
      </c>
      <c r="L113" s="27"/>
      <c r="M113" s="27"/>
      <c r="N113" s="27"/>
      <c r="O113" s="27"/>
      <c r="P113" s="27" t="s">
        <v>729</v>
      </c>
      <c r="Q113" s="27" t="s">
        <v>730</v>
      </c>
    </row>
    <row r="114" spans="1:17" ht="15" customHeight="1" x14ac:dyDescent="0.3">
      <c r="A114" s="27" t="s">
        <v>731</v>
      </c>
      <c r="B114" s="27" t="s">
        <v>732</v>
      </c>
      <c r="C114" s="27" t="s">
        <v>733</v>
      </c>
      <c r="D114" s="27">
        <v>2016</v>
      </c>
      <c r="E114" s="27" t="s">
        <v>48</v>
      </c>
      <c r="F114" s="27" t="s">
        <v>13</v>
      </c>
      <c r="G114" s="27"/>
      <c r="H114" s="27"/>
      <c r="I114" s="28" t="str">
        <f t="shared" si="2"/>
        <v/>
      </c>
      <c r="J114" s="27"/>
      <c r="K114" s="28" t="str">
        <f t="shared" si="3"/>
        <v/>
      </c>
      <c r="L114" s="27"/>
      <c r="M114" s="27"/>
      <c r="N114" s="27"/>
      <c r="O114" s="27"/>
      <c r="P114" s="27" t="s">
        <v>734</v>
      </c>
      <c r="Q114" s="27" t="s">
        <v>735</v>
      </c>
    </row>
    <row r="115" spans="1:17" ht="15" customHeight="1" x14ac:dyDescent="0.3">
      <c r="A115" s="27" t="s">
        <v>736</v>
      </c>
      <c r="B115" s="27" t="s">
        <v>737</v>
      </c>
      <c r="C115" s="27" t="s">
        <v>738</v>
      </c>
      <c r="D115" s="27">
        <v>2025</v>
      </c>
      <c r="E115" s="27" t="s">
        <v>48</v>
      </c>
      <c r="F115" s="27" t="s">
        <v>15</v>
      </c>
      <c r="G115" s="27"/>
      <c r="H115" s="27"/>
      <c r="I115" s="28" t="str">
        <f t="shared" si="2"/>
        <v/>
      </c>
      <c r="J115" s="27"/>
      <c r="K115" s="28" t="str">
        <f t="shared" si="3"/>
        <v/>
      </c>
      <c r="L115" s="27"/>
      <c r="M115" s="27"/>
      <c r="N115" s="27"/>
      <c r="O115" s="27"/>
      <c r="P115" s="27" t="s">
        <v>739</v>
      </c>
      <c r="Q115" s="27" t="s">
        <v>740</v>
      </c>
    </row>
    <row r="116" spans="1:17" ht="15" customHeight="1" x14ac:dyDescent="0.3">
      <c r="A116" s="27" t="s">
        <v>741</v>
      </c>
      <c r="B116" s="27" t="s">
        <v>742</v>
      </c>
      <c r="C116" s="27" t="s">
        <v>743</v>
      </c>
      <c r="D116" s="27">
        <v>2025</v>
      </c>
      <c r="E116" s="27" t="s">
        <v>48</v>
      </c>
      <c r="F116" s="27" t="s">
        <v>11</v>
      </c>
      <c r="G116" s="27"/>
      <c r="H116" s="27"/>
      <c r="I116" s="28" t="str">
        <f t="shared" si="2"/>
        <v/>
      </c>
      <c r="J116" s="27"/>
      <c r="K116" s="28" t="str">
        <f t="shared" si="3"/>
        <v/>
      </c>
      <c r="L116" s="27"/>
      <c r="M116" s="27"/>
      <c r="N116" s="27"/>
      <c r="O116" s="27"/>
      <c r="P116" s="27" t="s">
        <v>744</v>
      </c>
      <c r="Q116" s="27" t="s">
        <v>745</v>
      </c>
    </row>
    <row r="117" spans="1:17" ht="15" customHeight="1" x14ac:dyDescent="0.3">
      <c r="A117" s="27" t="s">
        <v>746</v>
      </c>
      <c r="B117" s="27" t="s">
        <v>747</v>
      </c>
      <c r="C117" s="27" t="s">
        <v>748</v>
      </c>
      <c r="D117" s="27">
        <v>2026</v>
      </c>
      <c r="E117" s="27" t="s">
        <v>48</v>
      </c>
      <c r="F117" s="27" t="s">
        <v>13</v>
      </c>
      <c r="G117" s="27"/>
      <c r="H117" s="27"/>
      <c r="I117" s="28" t="str">
        <f t="shared" si="2"/>
        <v/>
      </c>
      <c r="J117" s="27"/>
      <c r="K117" s="28" t="str">
        <f t="shared" si="3"/>
        <v/>
      </c>
      <c r="L117" s="27"/>
      <c r="M117" s="27"/>
      <c r="N117" s="27"/>
      <c r="O117" s="27"/>
      <c r="P117" s="27" t="s">
        <v>749</v>
      </c>
      <c r="Q117" s="27" t="s">
        <v>750</v>
      </c>
    </row>
    <row r="118" spans="1:17" ht="15" customHeight="1" x14ac:dyDescent="0.3">
      <c r="A118" s="27" t="s">
        <v>751</v>
      </c>
      <c r="B118" s="27" t="s">
        <v>752</v>
      </c>
      <c r="C118" s="27" t="s">
        <v>753</v>
      </c>
      <c r="D118" s="27">
        <v>2026</v>
      </c>
      <c r="E118" s="27" t="s">
        <v>48</v>
      </c>
      <c r="F118" s="27" t="s">
        <v>15</v>
      </c>
      <c r="G118" s="27"/>
      <c r="H118" s="27"/>
      <c r="I118" s="28" t="str">
        <f t="shared" si="2"/>
        <v/>
      </c>
      <c r="J118" s="27"/>
      <c r="K118" s="28" t="str">
        <f t="shared" si="3"/>
        <v/>
      </c>
      <c r="L118" s="27"/>
      <c r="M118" s="27"/>
      <c r="N118" s="27"/>
      <c r="O118" s="27"/>
      <c r="P118" s="27" t="s">
        <v>754</v>
      </c>
      <c r="Q118" s="27" t="s">
        <v>755</v>
      </c>
    </row>
    <row r="119" spans="1:17" ht="15" customHeight="1" x14ac:dyDescent="0.3">
      <c r="A119" s="27" t="s">
        <v>756</v>
      </c>
      <c r="B119" s="27" t="s">
        <v>757</v>
      </c>
      <c r="C119" s="27" t="s">
        <v>758</v>
      </c>
      <c r="D119" s="27">
        <v>2025</v>
      </c>
      <c r="E119" s="27" t="s">
        <v>48</v>
      </c>
      <c r="F119" s="27" t="s">
        <v>11</v>
      </c>
      <c r="G119" s="27"/>
      <c r="H119" s="27"/>
      <c r="I119" s="28" t="str">
        <f t="shared" si="2"/>
        <v/>
      </c>
      <c r="J119" s="27"/>
      <c r="K119" s="28" t="str">
        <f t="shared" si="3"/>
        <v/>
      </c>
      <c r="L119" s="27"/>
      <c r="M119" s="27"/>
      <c r="N119" s="27"/>
      <c r="O119" s="27"/>
      <c r="P119" s="27" t="s">
        <v>759</v>
      </c>
      <c r="Q119" s="27" t="s">
        <v>760</v>
      </c>
    </row>
    <row r="120" spans="1:17" ht="15" customHeight="1" x14ac:dyDescent="0.3">
      <c r="A120" s="27" t="s">
        <v>761</v>
      </c>
      <c r="B120" s="27" t="s">
        <v>762</v>
      </c>
      <c r="C120" s="27" t="s">
        <v>763</v>
      </c>
      <c r="D120" s="27">
        <v>2026</v>
      </c>
      <c r="E120" s="27" t="s">
        <v>48</v>
      </c>
      <c r="F120" s="27" t="s">
        <v>13</v>
      </c>
      <c r="G120" s="27"/>
      <c r="H120" s="27"/>
      <c r="I120" s="28" t="str">
        <f t="shared" si="2"/>
        <v/>
      </c>
      <c r="J120" s="27"/>
      <c r="K120" s="28" t="str">
        <f t="shared" si="3"/>
        <v/>
      </c>
      <c r="L120" s="27"/>
      <c r="M120" s="27"/>
      <c r="N120" s="27"/>
      <c r="O120" s="27"/>
      <c r="P120" s="27" t="s">
        <v>764</v>
      </c>
      <c r="Q120" s="27" t="s">
        <v>765</v>
      </c>
    </row>
    <row r="121" spans="1:17" ht="15" customHeight="1" x14ac:dyDescent="0.3">
      <c r="A121" s="27" t="s">
        <v>766</v>
      </c>
      <c r="B121" s="27" t="s">
        <v>767</v>
      </c>
      <c r="C121" s="27" t="s">
        <v>768</v>
      </c>
      <c r="D121" s="27">
        <v>2025</v>
      </c>
      <c r="E121" s="27" t="s">
        <v>48</v>
      </c>
      <c r="F121" s="27" t="s">
        <v>15</v>
      </c>
      <c r="G121" s="27"/>
      <c r="H121" s="27"/>
      <c r="I121" s="28" t="str">
        <f t="shared" si="2"/>
        <v/>
      </c>
      <c r="J121" s="27"/>
      <c r="K121" s="28" t="str">
        <f t="shared" si="3"/>
        <v/>
      </c>
      <c r="L121" s="27"/>
      <c r="M121" s="27"/>
      <c r="N121" s="27"/>
      <c r="O121" s="27"/>
      <c r="P121" s="27" t="s">
        <v>769</v>
      </c>
      <c r="Q121" s="27" t="s">
        <v>770</v>
      </c>
    </row>
    <row r="122" spans="1:17" ht="15" customHeight="1" x14ac:dyDescent="0.3">
      <c r="A122" s="27" t="s">
        <v>771</v>
      </c>
      <c r="B122" s="27" t="s">
        <v>772</v>
      </c>
      <c r="C122" s="27" t="s">
        <v>773</v>
      </c>
      <c r="D122" s="27">
        <v>2022</v>
      </c>
      <c r="E122" s="27" t="s">
        <v>48</v>
      </c>
      <c r="F122" s="27" t="s">
        <v>11</v>
      </c>
      <c r="G122" s="27"/>
      <c r="H122" s="27"/>
      <c r="I122" s="28" t="str">
        <f t="shared" si="2"/>
        <v/>
      </c>
      <c r="J122" s="27"/>
      <c r="K122" s="28" t="str">
        <f t="shared" si="3"/>
        <v/>
      </c>
      <c r="L122" s="27"/>
      <c r="M122" s="27"/>
      <c r="N122" s="27"/>
      <c r="O122" s="27"/>
      <c r="P122" s="27" t="s">
        <v>774</v>
      </c>
      <c r="Q122" s="27" t="s">
        <v>775</v>
      </c>
    </row>
    <row r="123" spans="1:17" ht="15" customHeight="1" x14ac:dyDescent="0.3">
      <c r="A123" s="27" t="s">
        <v>776</v>
      </c>
      <c r="B123" s="27" t="s">
        <v>777</v>
      </c>
      <c r="C123" s="27" t="s">
        <v>778</v>
      </c>
      <c r="D123" s="27">
        <v>2023</v>
      </c>
      <c r="E123" s="27" t="s">
        <v>48</v>
      </c>
      <c r="F123" s="27" t="s">
        <v>13</v>
      </c>
      <c r="G123" s="27"/>
      <c r="H123" s="27"/>
      <c r="I123" s="28" t="str">
        <f t="shared" si="2"/>
        <v/>
      </c>
      <c r="J123" s="27"/>
      <c r="K123" s="28" t="str">
        <f t="shared" si="3"/>
        <v/>
      </c>
      <c r="L123" s="27"/>
      <c r="M123" s="27"/>
      <c r="N123" s="27"/>
      <c r="O123" s="27"/>
      <c r="P123" s="27" t="s">
        <v>779</v>
      </c>
      <c r="Q123" s="27" t="s">
        <v>780</v>
      </c>
    </row>
    <row r="124" spans="1:17" ht="15" customHeight="1" x14ac:dyDescent="0.3">
      <c r="A124" s="27" t="s">
        <v>781</v>
      </c>
      <c r="B124" s="27" t="s">
        <v>782</v>
      </c>
      <c r="C124" s="27" t="s">
        <v>783</v>
      </c>
      <c r="D124" s="27">
        <v>2021</v>
      </c>
      <c r="E124" s="27" t="s">
        <v>48</v>
      </c>
      <c r="F124" s="27" t="s">
        <v>15</v>
      </c>
      <c r="G124" s="27"/>
      <c r="H124" s="27"/>
      <c r="I124" s="28" t="str">
        <f t="shared" si="2"/>
        <v/>
      </c>
      <c r="J124" s="27"/>
      <c r="K124" s="28" t="str">
        <f t="shared" si="3"/>
        <v/>
      </c>
      <c r="L124" s="27"/>
      <c r="M124" s="27"/>
      <c r="N124" s="27"/>
      <c r="O124" s="27"/>
      <c r="P124" s="27" t="s">
        <v>784</v>
      </c>
      <c r="Q124" s="27" t="s">
        <v>785</v>
      </c>
    </row>
    <row r="125" spans="1:17" ht="15" customHeight="1" x14ac:dyDescent="0.3">
      <c r="A125" s="27" t="s">
        <v>786</v>
      </c>
      <c r="B125" s="27" t="s">
        <v>787</v>
      </c>
      <c r="C125" s="27" t="s">
        <v>788</v>
      </c>
      <c r="D125" s="27">
        <v>2025</v>
      </c>
      <c r="E125" s="27" t="s">
        <v>48</v>
      </c>
      <c r="F125" s="27" t="s">
        <v>11</v>
      </c>
      <c r="G125" s="27"/>
      <c r="H125" s="27"/>
      <c r="I125" s="28" t="str">
        <f t="shared" si="2"/>
        <v/>
      </c>
      <c r="J125" s="27"/>
      <c r="K125" s="28" t="str">
        <f t="shared" si="3"/>
        <v/>
      </c>
      <c r="L125" s="27"/>
      <c r="M125" s="27"/>
      <c r="N125" s="27"/>
      <c r="O125" s="27"/>
      <c r="P125" s="27" t="s">
        <v>789</v>
      </c>
      <c r="Q125" s="27" t="s">
        <v>790</v>
      </c>
    </row>
    <row r="126" spans="1:17" ht="15" customHeight="1" x14ac:dyDescent="0.3">
      <c r="A126" s="27" t="s">
        <v>791</v>
      </c>
      <c r="B126" s="27" t="s">
        <v>792</v>
      </c>
      <c r="C126" s="27" t="s">
        <v>793</v>
      </c>
      <c r="D126" s="27">
        <v>2019</v>
      </c>
      <c r="E126" s="27" t="s">
        <v>48</v>
      </c>
      <c r="F126" s="27" t="s">
        <v>13</v>
      </c>
      <c r="G126" s="27"/>
      <c r="H126" s="27"/>
      <c r="I126" s="28" t="str">
        <f t="shared" si="2"/>
        <v/>
      </c>
      <c r="J126" s="27"/>
      <c r="K126" s="28" t="str">
        <f t="shared" si="3"/>
        <v/>
      </c>
      <c r="L126" s="27"/>
      <c r="M126" s="27"/>
      <c r="N126" s="27"/>
      <c r="O126" s="27"/>
      <c r="P126" s="27" t="s">
        <v>794</v>
      </c>
      <c r="Q126" s="27" t="s">
        <v>795</v>
      </c>
    </row>
    <row r="127" spans="1:17" ht="15" customHeight="1" x14ac:dyDescent="0.3">
      <c r="A127" s="27" t="s">
        <v>796</v>
      </c>
      <c r="B127" s="27" t="s">
        <v>797</v>
      </c>
      <c r="C127" s="27" t="s">
        <v>798</v>
      </c>
      <c r="D127" s="27">
        <v>2023</v>
      </c>
      <c r="E127" s="27" t="s">
        <v>48</v>
      </c>
      <c r="F127" s="27" t="s">
        <v>15</v>
      </c>
      <c r="G127" s="27"/>
      <c r="H127" s="27"/>
      <c r="I127" s="28" t="str">
        <f t="shared" si="2"/>
        <v/>
      </c>
      <c r="J127" s="27"/>
      <c r="K127" s="28" t="str">
        <f t="shared" si="3"/>
        <v/>
      </c>
      <c r="L127" s="27"/>
      <c r="M127" s="27"/>
      <c r="N127" s="27"/>
      <c r="O127" s="27"/>
      <c r="P127" s="27" t="s">
        <v>799</v>
      </c>
      <c r="Q127" s="27" t="s">
        <v>800</v>
      </c>
    </row>
    <row r="128" spans="1:17" ht="15" customHeight="1" x14ac:dyDescent="0.3">
      <c r="A128" s="27" t="s">
        <v>801</v>
      </c>
      <c r="B128" s="27" t="s">
        <v>802</v>
      </c>
      <c r="C128" s="27" t="s">
        <v>803</v>
      </c>
      <c r="D128" s="27">
        <v>2020</v>
      </c>
      <c r="E128" s="27" t="s">
        <v>48</v>
      </c>
      <c r="F128" s="27" t="s">
        <v>11</v>
      </c>
      <c r="G128" s="27"/>
      <c r="H128" s="27"/>
      <c r="I128" s="28" t="str">
        <f t="shared" si="2"/>
        <v/>
      </c>
      <c r="J128" s="27"/>
      <c r="K128" s="28" t="str">
        <f t="shared" si="3"/>
        <v/>
      </c>
      <c r="L128" s="27"/>
      <c r="M128" s="27"/>
      <c r="N128" s="27"/>
      <c r="O128" s="27"/>
      <c r="P128" s="27" t="s">
        <v>804</v>
      </c>
      <c r="Q128" s="27" t="s">
        <v>805</v>
      </c>
    </row>
    <row r="129" spans="1:17" ht="15" customHeight="1" x14ac:dyDescent="0.3">
      <c r="A129" s="27" t="s">
        <v>806</v>
      </c>
      <c r="B129" s="27" t="s">
        <v>807</v>
      </c>
      <c r="C129" s="27" t="s">
        <v>808</v>
      </c>
      <c r="D129" s="27">
        <v>2018</v>
      </c>
      <c r="E129" s="27" t="s">
        <v>48</v>
      </c>
      <c r="F129" s="27" t="s">
        <v>13</v>
      </c>
      <c r="G129" s="27"/>
      <c r="H129" s="27"/>
      <c r="I129" s="28" t="str">
        <f t="shared" si="2"/>
        <v/>
      </c>
      <c r="J129" s="27"/>
      <c r="K129" s="28" t="str">
        <f t="shared" si="3"/>
        <v/>
      </c>
      <c r="L129" s="27"/>
      <c r="M129" s="27"/>
      <c r="N129" s="27"/>
      <c r="O129" s="27"/>
      <c r="P129" s="27" t="s">
        <v>809</v>
      </c>
      <c r="Q129" s="27" t="s">
        <v>810</v>
      </c>
    </row>
    <row r="130" spans="1:17" ht="15" customHeight="1" x14ac:dyDescent="0.3">
      <c r="A130" s="27" t="s">
        <v>811</v>
      </c>
      <c r="B130" s="27" t="s">
        <v>812</v>
      </c>
      <c r="C130" s="27" t="s">
        <v>813</v>
      </c>
      <c r="D130" s="27">
        <v>2023</v>
      </c>
      <c r="E130" s="27" t="s">
        <v>48</v>
      </c>
      <c r="F130" s="27" t="s">
        <v>15</v>
      </c>
      <c r="G130" s="27"/>
      <c r="H130" s="27"/>
      <c r="I130" s="28" t="str">
        <f t="shared" ref="I130:I193" si="4">IF(OR(G130="",H130=""),"",IF(G130=H130,"Yes","No"))</f>
        <v/>
      </c>
      <c r="J130" s="27"/>
      <c r="K130" s="28" t="str">
        <f t="shared" ref="K130:K193" si="5">IF(OR(E130="Snowballing",E130="Other sources"),"n/a",IF(AND(G130="",H130=""),"",IF(OR(G130="",H130=""),"Waiting",IF(G130=H130,G130,IF(AND(G130&lt;&gt;"Exclude",H130&lt;&gt;"Exclude"),"Maybe",IF(J130&lt;&gt;"",J130,"Pending"))))))</f>
        <v/>
      </c>
      <c r="L130" s="27"/>
      <c r="M130" s="27"/>
      <c r="N130" s="27"/>
      <c r="O130" s="27"/>
      <c r="P130" s="27" t="s">
        <v>814</v>
      </c>
      <c r="Q130" s="27" t="s">
        <v>815</v>
      </c>
    </row>
    <row r="131" spans="1:17" ht="15" customHeight="1" x14ac:dyDescent="0.3">
      <c r="A131" s="27" t="s">
        <v>816</v>
      </c>
      <c r="B131" s="27" t="s">
        <v>817</v>
      </c>
      <c r="C131" s="27" t="s">
        <v>818</v>
      </c>
      <c r="D131" s="27">
        <v>2025</v>
      </c>
      <c r="E131" s="27" t="s">
        <v>48</v>
      </c>
      <c r="F131" s="27" t="s">
        <v>11</v>
      </c>
      <c r="G131" s="27"/>
      <c r="H131" s="27"/>
      <c r="I131" s="28" t="str">
        <f t="shared" si="4"/>
        <v/>
      </c>
      <c r="J131" s="27"/>
      <c r="K131" s="28" t="str">
        <f t="shared" si="5"/>
        <v/>
      </c>
      <c r="L131" s="27"/>
      <c r="M131" s="27"/>
      <c r="N131" s="27"/>
      <c r="O131" s="27"/>
      <c r="P131" s="27" t="s">
        <v>819</v>
      </c>
      <c r="Q131" s="27" t="s">
        <v>820</v>
      </c>
    </row>
    <row r="132" spans="1:17" ht="15" customHeight="1" x14ac:dyDescent="0.3">
      <c r="A132" s="27" t="s">
        <v>821</v>
      </c>
      <c r="B132" s="27" t="s">
        <v>822</v>
      </c>
      <c r="C132" s="27" t="s">
        <v>823</v>
      </c>
      <c r="D132" s="27">
        <v>2026</v>
      </c>
      <c r="E132" s="27" t="s">
        <v>48</v>
      </c>
      <c r="F132" s="27" t="s">
        <v>13</v>
      </c>
      <c r="G132" s="27"/>
      <c r="H132" s="27"/>
      <c r="I132" s="28" t="str">
        <f t="shared" si="4"/>
        <v/>
      </c>
      <c r="J132" s="27"/>
      <c r="K132" s="28" t="str">
        <f t="shared" si="5"/>
        <v/>
      </c>
      <c r="L132" s="27"/>
      <c r="M132" s="27"/>
      <c r="N132" s="27"/>
      <c r="O132" s="27"/>
      <c r="P132" s="27" t="s">
        <v>824</v>
      </c>
      <c r="Q132" s="27" t="s">
        <v>825</v>
      </c>
    </row>
    <row r="133" spans="1:17" ht="15" customHeight="1" x14ac:dyDescent="0.3">
      <c r="A133" s="27" t="s">
        <v>826</v>
      </c>
      <c r="B133" s="27" t="s">
        <v>827</v>
      </c>
      <c r="C133" s="27" t="s">
        <v>828</v>
      </c>
      <c r="D133" s="27">
        <v>2024</v>
      </c>
      <c r="E133" s="27" t="s">
        <v>48</v>
      </c>
      <c r="F133" s="27" t="s">
        <v>15</v>
      </c>
      <c r="G133" s="27"/>
      <c r="H133" s="27"/>
      <c r="I133" s="28" t="str">
        <f t="shared" si="4"/>
        <v/>
      </c>
      <c r="J133" s="27"/>
      <c r="K133" s="28" t="str">
        <f t="shared" si="5"/>
        <v/>
      </c>
      <c r="L133" s="27"/>
      <c r="M133" s="27"/>
      <c r="N133" s="27"/>
      <c r="O133" s="27"/>
      <c r="P133" s="27" t="s">
        <v>829</v>
      </c>
      <c r="Q133" s="27" t="s">
        <v>830</v>
      </c>
    </row>
    <row r="134" spans="1:17" ht="15" customHeight="1" x14ac:dyDescent="0.3">
      <c r="A134" s="27" t="s">
        <v>831</v>
      </c>
      <c r="B134" s="27" t="s">
        <v>832</v>
      </c>
      <c r="C134" s="27" t="s">
        <v>833</v>
      </c>
      <c r="D134" s="27">
        <v>2026</v>
      </c>
      <c r="E134" s="27" t="s">
        <v>48</v>
      </c>
      <c r="F134" s="27" t="s">
        <v>11</v>
      </c>
      <c r="G134" s="27"/>
      <c r="H134" s="27"/>
      <c r="I134" s="28" t="str">
        <f t="shared" si="4"/>
        <v/>
      </c>
      <c r="J134" s="27"/>
      <c r="K134" s="28" t="str">
        <f t="shared" si="5"/>
        <v/>
      </c>
      <c r="L134" s="27"/>
      <c r="M134" s="27"/>
      <c r="N134" s="27"/>
      <c r="O134" s="27"/>
      <c r="P134" s="27" t="s">
        <v>834</v>
      </c>
      <c r="Q134" s="27" t="s">
        <v>835</v>
      </c>
    </row>
    <row r="135" spans="1:17" ht="15" customHeight="1" x14ac:dyDescent="0.3">
      <c r="A135" s="27" t="s">
        <v>836</v>
      </c>
      <c r="B135" s="27" t="s">
        <v>837</v>
      </c>
      <c r="C135" s="27" t="s">
        <v>838</v>
      </c>
      <c r="D135" s="27">
        <v>2025</v>
      </c>
      <c r="E135" s="27" t="s">
        <v>48</v>
      </c>
      <c r="F135" s="27" t="s">
        <v>13</v>
      </c>
      <c r="G135" s="27"/>
      <c r="H135" s="27"/>
      <c r="I135" s="28" t="str">
        <f t="shared" si="4"/>
        <v/>
      </c>
      <c r="J135" s="27"/>
      <c r="K135" s="28" t="str">
        <f t="shared" si="5"/>
        <v/>
      </c>
      <c r="L135" s="27"/>
      <c r="M135" s="27"/>
      <c r="N135" s="27"/>
      <c r="O135" s="27"/>
      <c r="P135" s="27" t="s">
        <v>839</v>
      </c>
      <c r="Q135" s="27" t="s">
        <v>840</v>
      </c>
    </row>
    <row r="136" spans="1:17" ht="15" customHeight="1" x14ac:dyDescent="0.3">
      <c r="A136" s="27" t="s">
        <v>841</v>
      </c>
      <c r="B136" s="27" t="s">
        <v>842</v>
      </c>
      <c r="C136" s="27" t="s">
        <v>843</v>
      </c>
      <c r="D136" s="27">
        <v>2024</v>
      </c>
      <c r="E136" s="27" t="s">
        <v>48</v>
      </c>
      <c r="F136" s="27" t="s">
        <v>15</v>
      </c>
      <c r="G136" s="27"/>
      <c r="H136" s="27"/>
      <c r="I136" s="28" t="str">
        <f t="shared" si="4"/>
        <v/>
      </c>
      <c r="J136" s="27"/>
      <c r="K136" s="28" t="str">
        <f t="shared" si="5"/>
        <v/>
      </c>
      <c r="L136" s="27"/>
      <c r="M136" s="27"/>
      <c r="N136" s="27"/>
      <c r="O136" s="27"/>
      <c r="P136" s="27" t="s">
        <v>844</v>
      </c>
      <c r="Q136" s="27" t="s">
        <v>845</v>
      </c>
    </row>
    <row r="137" spans="1:17" ht="15" customHeight="1" x14ac:dyDescent="0.3">
      <c r="A137" s="27" t="s">
        <v>846</v>
      </c>
      <c r="B137" s="27" t="s">
        <v>847</v>
      </c>
      <c r="C137" s="27" t="s">
        <v>848</v>
      </c>
      <c r="D137" s="27">
        <v>2025</v>
      </c>
      <c r="E137" s="27" t="s">
        <v>48</v>
      </c>
      <c r="F137" s="27" t="s">
        <v>11</v>
      </c>
      <c r="G137" s="27"/>
      <c r="H137" s="27"/>
      <c r="I137" s="28" t="str">
        <f t="shared" si="4"/>
        <v/>
      </c>
      <c r="J137" s="27"/>
      <c r="K137" s="28" t="str">
        <f t="shared" si="5"/>
        <v/>
      </c>
      <c r="L137" s="27"/>
      <c r="M137" s="27"/>
      <c r="N137" s="27"/>
      <c r="O137" s="27"/>
      <c r="P137" s="27" t="s">
        <v>849</v>
      </c>
      <c r="Q137" s="27" t="s">
        <v>850</v>
      </c>
    </row>
    <row r="138" spans="1:17" ht="15" customHeight="1" x14ac:dyDescent="0.3">
      <c r="A138" s="27" t="s">
        <v>851</v>
      </c>
      <c r="B138" s="27" t="s">
        <v>852</v>
      </c>
      <c r="C138" s="27" t="s">
        <v>436</v>
      </c>
      <c r="D138" s="27">
        <v>2025</v>
      </c>
      <c r="E138" s="27" t="s">
        <v>48</v>
      </c>
      <c r="F138" s="27" t="s">
        <v>13</v>
      </c>
      <c r="G138" s="27"/>
      <c r="H138" s="27"/>
      <c r="I138" s="28" t="str">
        <f t="shared" si="4"/>
        <v/>
      </c>
      <c r="J138" s="27"/>
      <c r="K138" s="28" t="str">
        <f t="shared" si="5"/>
        <v/>
      </c>
      <c r="L138" s="27"/>
      <c r="M138" s="27"/>
      <c r="N138" s="27"/>
      <c r="O138" s="27"/>
      <c r="P138" s="27" t="s">
        <v>853</v>
      </c>
      <c r="Q138" s="27" t="s">
        <v>854</v>
      </c>
    </row>
    <row r="139" spans="1:17" ht="15" customHeight="1" x14ac:dyDescent="0.3">
      <c r="A139" s="27" t="s">
        <v>855</v>
      </c>
      <c r="B139" s="27" t="s">
        <v>856</v>
      </c>
      <c r="C139" s="27" t="s">
        <v>857</v>
      </c>
      <c r="D139" s="27">
        <v>2024</v>
      </c>
      <c r="E139" s="27" t="s">
        <v>48</v>
      </c>
      <c r="F139" s="27" t="s">
        <v>15</v>
      </c>
      <c r="G139" s="27"/>
      <c r="H139" s="27"/>
      <c r="I139" s="28" t="str">
        <f t="shared" si="4"/>
        <v/>
      </c>
      <c r="J139" s="27"/>
      <c r="K139" s="28" t="str">
        <f t="shared" si="5"/>
        <v/>
      </c>
      <c r="L139" s="27"/>
      <c r="M139" s="27"/>
      <c r="N139" s="27"/>
      <c r="O139" s="27"/>
      <c r="P139" s="27" t="s">
        <v>858</v>
      </c>
      <c r="Q139" s="27" t="s">
        <v>859</v>
      </c>
    </row>
    <row r="140" spans="1:17" ht="15" customHeight="1" x14ac:dyDescent="0.3">
      <c r="A140" s="27" t="s">
        <v>860</v>
      </c>
      <c r="B140" s="27" t="s">
        <v>861</v>
      </c>
      <c r="C140" s="27" t="s">
        <v>862</v>
      </c>
      <c r="D140" s="27">
        <v>2025</v>
      </c>
      <c r="E140" s="27" t="s">
        <v>48</v>
      </c>
      <c r="F140" s="27" t="s">
        <v>11</v>
      </c>
      <c r="G140" s="27"/>
      <c r="H140" s="27"/>
      <c r="I140" s="28" t="str">
        <f t="shared" si="4"/>
        <v/>
      </c>
      <c r="J140" s="27"/>
      <c r="K140" s="28" t="str">
        <f t="shared" si="5"/>
        <v/>
      </c>
      <c r="L140" s="27"/>
      <c r="M140" s="27"/>
      <c r="N140" s="27"/>
      <c r="O140" s="27"/>
      <c r="P140" s="27" t="s">
        <v>863</v>
      </c>
      <c r="Q140" s="27" t="s">
        <v>864</v>
      </c>
    </row>
    <row r="141" spans="1:17" ht="15" customHeight="1" x14ac:dyDescent="0.3">
      <c r="A141" s="27" t="s">
        <v>865</v>
      </c>
      <c r="B141" s="27" t="s">
        <v>866</v>
      </c>
      <c r="C141" s="27" t="s">
        <v>867</v>
      </c>
      <c r="D141" s="27">
        <v>2023</v>
      </c>
      <c r="E141" s="27" t="s">
        <v>48</v>
      </c>
      <c r="F141" s="27" t="s">
        <v>13</v>
      </c>
      <c r="G141" s="27"/>
      <c r="H141" s="27"/>
      <c r="I141" s="28" t="str">
        <f t="shared" si="4"/>
        <v/>
      </c>
      <c r="J141" s="27"/>
      <c r="K141" s="28" t="str">
        <f t="shared" si="5"/>
        <v/>
      </c>
      <c r="L141" s="27"/>
      <c r="M141" s="27"/>
      <c r="N141" s="27"/>
      <c r="O141" s="27"/>
      <c r="P141" s="27" t="s">
        <v>868</v>
      </c>
      <c r="Q141" s="27" t="s">
        <v>869</v>
      </c>
    </row>
    <row r="142" spans="1:17" ht="15" customHeight="1" x14ac:dyDescent="0.3">
      <c r="A142" s="27" t="s">
        <v>870</v>
      </c>
      <c r="B142" s="27" t="s">
        <v>871</v>
      </c>
      <c r="C142" s="27" t="s">
        <v>872</v>
      </c>
      <c r="D142" s="27">
        <v>2023</v>
      </c>
      <c r="E142" s="27" t="s">
        <v>142</v>
      </c>
      <c r="F142" s="27" t="s">
        <v>15</v>
      </c>
      <c r="G142" s="27"/>
      <c r="H142" s="27"/>
      <c r="I142" s="28" t="str">
        <f t="shared" si="4"/>
        <v/>
      </c>
      <c r="J142" s="27"/>
      <c r="K142" s="28" t="str">
        <f t="shared" si="5"/>
        <v/>
      </c>
      <c r="L142" s="27"/>
      <c r="M142" s="27"/>
      <c r="N142" s="27"/>
      <c r="O142" s="27"/>
      <c r="P142" s="27" t="s">
        <v>873</v>
      </c>
      <c r="Q142" s="27" t="s">
        <v>874</v>
      </c>
    </row>
    <row r="143" spans="1:17" ht="15" customHeight="1" x14ac:dyDescent="0.3">
      <c r="A143" s="27" t="s">
        <v>875</v>
      </c>
      <c r="B143" s="27" t="s">
        <v>876</v>
      </c>
      <c r="C143" s="27" t="s">
        <v>877</v>
      </c>
      <c r="D143" s="27">
        <v>2023</v>
      </c>
      <c r="E143" s="27" t="s">
        <v>48</v>
      </c>
      <c r="F143" s="27" t="s">
        <v>11</v>
      </c>
      <c r="G143" s="27"/>
      <c r="H143" s="27"/>
      <c r="I143" s="28" t="str">
        <f t="shared" si="4"/>
        <v/>
      </c>
      <c r="J143" s="27"/>
      <c r="K143" s="28" t="str">
        <f t="shared" si="5"/>
        <v/>
      </c>
      <c r="L143" s="27"/>
      <c r="M143" s="27"/>
      <c r="N143" s="27"/>
      <c r="O143" s="27"/>
      <c r="P143" s="27" t="s">
        <v>878</v>
      </c>
      <c r="Q143" s="27" t="s">
        <v>879</v>
      </c>
    </row>
    <row r="144" spans="1:17" ht="15" customHeight="1" x14ac:dyDescent="0.3">
      <c r="A144" s="27" t="s">
        <v>880</v>
      </c>
      <c r="B144" s="27" t="s">
        <v>881</v>
      </c>
      <c r="C144" s="27" t="s">
        <v>882</v>
      </c>
      <c r="D144" s="27">
        <v>2022</v>
      </c>
      <c r="E144" s="27" t="s">
        <v>48</v>
      </c>
      <c r="F144" s="27" t="s">
        <v>13</v>
      </c>
      <c r="G144" s="27"/>
      <c r="H144" s="27"/>
      <c r="I144" s="28" t="str">
        <f t="shared" si="4"/>
        <v/>
      </c>
      <c r="J144" s="27"/>
      <c r="K144" s="28" t="str">
        <f t="shared" si="5"/>
        <v/>
      </c>
      <c r="L144" s="27"/>
      <c r="M144" s="27"/>
      <c r="N144" s="27"/>
      <c r="O144" s="27"/>
      <c r="P144" s="27" t="s">
        <v>883</v>
      </c>
      <c r="Q144" s="27" t="s">
        <v>884</v>
      </c>
    </row>
    <row r="145" spans="1:17" ht="15" customHeight="1" x14ac:dyDescent="0.3">
      <c r="A145" s="27" t="s">
        <v>885</v>
      </c>
      <c r="B145" s="27" t="s">
        <v>886</v>
      </c>
      <c r="C145" s="27" t="s">
        <v>887</v>
      </c>
      <c r="D145" s="27">
        <v>2025</v>
      </c>
      <c r="E145" s="27" t="s">
        <v>48</v>
      </c>
      <c r="F145" s="27" t="s">
        <v>15</v>
      </c>
      <c r="G145" s="27"/>
      <c r="H145" s="27"/>
      <c r="I145" s="28" t="str">
        <f t="shared" si="4"/>
        <v/>
      </c>
      <c r="J145" s="27"/>
      <c r="K145" s="28" t="str">
        <f t="shared" si="5"/>
        <v/>
      </c>
      <c r="L145" s="27"/>
      <c r="M145" s="27"/>
      <c r="N145" s="27"/>
      <c r="O145" s="27"/>
      <c r="P145" s="27" t="s">
        <v>888</v>
      </c>
      <c r="Q145" s="27" t="s">
        <v>889</v>
      </c>
    </row>
    <row r="146" spans="1:17" ht="15" customHeight="1" x14ac:dyDescent="0.3">
      <c r="A146" s="27" t="s">
        <v>890</v>
      </c>
      <c r="B146" s="27" t="s">
        <v>891</v>
      </c>
      <c r="C146" s="27" t="s">
        <v>892</v>
      </c>
      <c r="D146" s="27">
        <v>2026</v>
      </c>
      <c r="E146" s="27" t="s">
        <v>48</v>
      </c>
      <c r="F146" s="27" t="s">
        <v>11</v>
      </c>
      <c r="G146" s="27"/>
      <c r="H146" s="27"/>
      <c r="I146" s="28" t="str">
        <f t="shared" si="4"/>
        <v/>
      </c>
      <c r="J146" s="27"/>
      <c r="K146" s="28" t="str">
        <f t="shared" si="5"/>
        <v/>
      </c>
      <c r="L146" s="27"/>
      <c r="M146" s="27"/>
      <c r="N146" s="27"/>
      <c r="O146" s="27"/>
      <c r="P146" s="27" t="s">
        <v>893</v>
      </c>
      <c r="Q146" s="27" t="s">
        <v>894</v>
      </c>
    </row>
    <row r="147" spans="1:17" ht="15" customHeight="1" x14ac:dyDescent="0.3">
      <c r="A147" s="27" t="s">
        <v>895</v>
      </c>
      <c r="B147" s="27" t="s">
        <v>896</v>
      </c>
      <c r="C147" s="27" t="s">
        <v>897</v>
      </c>
      <c r="D147" s="27">
        <v>2024</v>
      </c>
      <c r="E147" s="27" t="s">
        <v>48</v>
      </c>
      <c r="F147" s="27" t="s">
        <v>13</v>
      </c>
      <c r="G147" s="27"/>
      <c r="H147" s="27"/>
      <c r="I147" s="28" t="str">
        <f t="shared" si="4"/>
        <v/>
      </c>
      <c r="J147" s="27"/>
      <c r="K147" s="28" t="str">
        <f t="shared" si="5"/>
        <v/>
      </c>
      <c r="L147" s="27"/>
      <c r="M147" s="27"/>
      <c r="N147" s="27"/>
      <c r="O147" s="27"/>
      <c r="P147" s="27" t="s">
        <v>898</v>
      </c>
      <c r="Q147" s="27" t="s">
        <v>899</v>
      </c>
    </row>
    <row r="148" spans="1:17" ht="15" customHeight="1" x14ac:dyDescent="0.3">
      <c r="A148" s="27" t="s">
        <v>900</v>
      </c>
      <c r="B148" s="27" t="s">
        <v>901</v>
      </c>
      <c r="C148" s="27" t="s">
        <v>902</v>
      </c>
      <c r="D148" s="27">
        <v>2022</v>
      </c>
      <c r="E148" s="27" t="s">
        <v>48</v>
      </c>
      <c r="F148" s="27" t="s">
        <v>15</v>
      </c>
      <c r="G148" s="27"/>
      <c r="H148" s="27"/>
      <c r="I148" s="28" t="str">
        <f t="shared" si="4"/>
        <v/>
      </c>
      <c r="J148" s="27"/>
      <c r="K148" s="28" t="str">
        <f t="shared" si="5"/>
        <v/>
      </c>
      <c r="L148" s="27"/>
      <c r="M148" s="27"/>
      <c r="N148" s="27"/>
      <c r="O148" s="27"/>
      <c r="P148" s="27" t="s">
        <v>903</v>
      </c>
      <c r="Q148" s="27" t="s">
        <v>904</v>
      </c>
    </row>
    <row r="149" spans="1:17" ht="15" customHeight="1" x14ac:dyDescent="0.3">
      <c r="A149" s="27" t="s">
        <v>905</v>
      </c>
      <c r="B149" s="27" t="s">
        <v>906</v>
      </c>
      <c r="C149" s="27" t="s">
        <v>907</v>
      </c>
      <c r="D149" s="27">
        <v>2026</v>
      </c>
      <c r="E149" s="27" t="s">
        <v>136</v>
      </c>
      <c r="F149" s="27" t="s">
        <v>11</v>
      </c>
      <c r="G149" s="27"/>
      <c r="H149" s="27"/>
      <c r="I149" s="28" t="str">
        <f t="shared" si="4"/>
        <v/>
      </c>
      <c r="J149" s="27"/>
      <c r="K149" s="28" t="str">
        <f t="shared" si="5"/>
        <v/>
      </c>
      <c r="L149" s="27"/>
      <c r="M149" s="27"/>
      <c r="N149" s="27"/>
      <c r="O149" s="27"/>
      <c r="P149" s="27" t="s">
        <v>908</v>
      </c>
      <c r="Q149" s="27" t="s">
        <v>909</v>
      </c>
    </row>
    <row r="150" spans="1:17" ht="15" customHeight="1" x14ac:dyDescent="0.3">
      <c r="A150" s="27" t="s">
        <v>910</v>
      </c>
      <c r="B150" s="27" t="s">
        <v>911</v>
      </c>
      <c r="C150" s="27" t="s">
        <v>912</v>
      </c>
      <c r="D150" s="27">
        <v>2022</v>
      </c>
      <c r="E150" s="27" t="s">
        <v>48</v>
      </c>
      <c r="F150" s="27" t="s">
        <v>13</v>
      </c>
      <c r="G150" s="27"/>
      <c r="H150" s="27"/>
      <c r="I150" s="28" t="str">
        <f t="shared" si="4"/>
        <v/>
      </c>
      <c r="J150" s="27"/>
      <c r="K150" s="28" t="str">
        <f t="shared" si="5"/>
        <v/>
      </c>
      <c r="L150" s="27"/>
      <c r="M150" s="27"/>
      <c r="N150" s="27"/>
      <c r="O150" s="27"/>
      <c r="P150" s="27" t="s">
        <v>913</v>
      </c>
      <c r="Q150" s="27" t="s">
        <v>914</v>
      </c>
    </row>
    <row r="151" spans="1:17" ht="15" customHeight="1" x14ac:dyDescent="0.3">
      <c r="A151" s="27" t="s">
        <v>915</v>
      </c>
      <c r="B151" s="27" t="s">
        <v>916</v>
      </c>
      <c r="C151" s="27" t="s">
        <v>917</v>
      </c>
      <c r="D151" s="27">
        <v>2025</v>
      </c>
      <c r="E151" s="27" t="s">
        <v>48</v>
      </c>
      <c r="F151" s="27" t="s">
        <v>15</v>
      </c>
      <c r="G151" s="27"/>
      <c r="H151" s="27"/>
      <c r="I151" s="28" t="str">
        <f t="shared" si="4"/>
        <v/>
      </c>
      <c r="J151" s="27"/>
      <c r="K151" s="28" t="str">
        <f t="shared" si="5"/>
        <v/>
      </c>
      <c r="L151" s="27"/>
      <c r="M151" s="27"/>
      <c r="N151" s="27"/>
      <c r="O151" s="27"/>
      <c r="P151" s="27" t="s">
        <v>918</v>
      </c>
      <c r="Q151" s="27" t="s">
        <v>919</v>
      </c>
    </row>
    <row r="152" spans="1:17" ht="15" customHeight="1" x14ac:dyDescent="0.3">
      <c r="A152" s="27" t="s">
        <v>920</v>
      </c>
      <c r="B152" s="27" t="s">
        <v>921</v>
      </c>
      <c r="C152" s="27" t="s">
        <v>922</v>
      </c>
      <c r="D152" s="27">
        <v>2023</v>
      </c>
      <c r="E152" s="27" t="s">
        <v>48</v>
      </c>
      <c r="F152" s="27" t="s">
        <v>11</v>
      </c>
      <c r="G152" s="27"/>
      <c r="H152" s="27"/>
      <c r="I152" s="28" t="str">
        <f t="shared" si="4"/>
        <v/>
      </c>
      <c r="J152" s="27"/>
      <c r="K152" s="28" t="str">
        <f t="shared" si="5"/>
        <v/>
      </c>
      <c r="L152" s="27"/>
      <c r="M152" s="27"/>
      <c r="N152" s="27"/>
      <c r="O152" s="27"/>
      <c r="P152" s="27" t="s">
        <v>923</v>
      </c>
      <c r="Q152" s="27" t="s">
        <v>924</v>
      </c>
    </row>
    <row r="153" spans="1:17" ht="15" customHeight="1" x14ac:dyDescent="0.3">
      <c r="A153" s="27" t="s">
        <v>925</v>
      </c>
      <c r="B153" s="27" t="s">
        <v>926</v>
      </c>
      <c r="C153" s="27" t="s">
        <v>927</v>
      </c>
      <c r="D153" s="27">
        <v>2026</v>
      </c>
      <c r="E153" s="27" t="s">
        <v>48</v>
      </c>
      <c r="F153" s="27" t="s">
        <v>13</v>
      </c>
      <c r="G153" s="27"/>
      <c r="H153" s="27"/>
      <c r="I153" s="28" t="str">
        <f t="shared" si="4"/>
        <v/>
      </c>
      <c r="J153" s="27"/>
      <c r="K153" s="28" t="str">
        <f t="shared" si="5"/>
        <v/>
      </c>
      <c r="L153" s="27"/>
      <c r="M153" s="27"/>
      <c r="N153" s="27"/>
      <c r="O153" s="27"/>
      <c r="P153" s="27" t="s">
        <v>928</v>
      </c>
      <c r="Q153" s="27" t="s">
        <v>929</v>
      </c>
    </row>
    <row r="154" spans="1:17" ht="15" customHeight="1" x14ac:dyDescent="0.3">
      <c r="A154" s="27" t="s">
        <v>930</v>
      </c>
      <c r="B154" s="27" t="s">
        <v>931</v>
      </c>
      <c r="C154" s="27" t="s">
        <v>932</v>
      </c>
      <c r="D154" s="27">
        <v>2024</v>
      </c>
      <c r="E154" s="27" t="s">
        <v>48</v>
      </c>
      <c r="F154" s="27" t="s">
        <v>15</v>
      </c>
      <c r="G154" s="27"/>
      <c r="H154" s="27"/>
      <c r="I154" s="28" t="str">
        <f t="shared" si="4"/>
        <v/>
      </c>
      <c r="J154" s="27"/>
      <c r="K154" s="28" t="str">
        <f t="shared" si="5"/>
        <v/>
      </c>
      <c r="L154" s="27"/>
      <c r="M154" s="27"/>
      <c r="N154" s="27"/>
      <c r="O154" s="27"/>
      <c r="P154" s="27" t="s">
        <v>933</v>
      </c>
      <c r="Q154" s="27" t="s">
        <v>934</v>
      </c>
    </row>
    <row r="155" spans="1:17" ht="15" customHeight="1" x14ac:dyDescent="0.3">
      <c r="A155" s="27" t="s">
        <v>935</v>
      </c>
      <c r="B155" s="27" t="s">
        <v>936</v>
      </c>
      <c r="C155" s="27" t="s">
        <v>937</v>
      </c>
      <c r="D155" s="27">
        <v>2021</v>
      </c>
      <c r="E155" s="27" t="s">
        <v>48</v>
      </c>
      <c r="F155" s="27" t="s">
        <v>11</v>
      </c>
      <c r="G155" s="27"/>
      <c r="H155" s="27"/>
      <c r="I155" s="28" t="str">
        <f t="shared" si="4"/>
        <v/>
      </c>
      <c r="J155" s="27"/>
      <c r="K155" s="28" t="str">
        <f t="shared" si="5"/>
        <v/>
      </c>
      <c r="L155" s="27"/>
      <c r="M155" s="27"/>
      <c r="N155" s="27"/>
      <c r="O155" s="27"/>
      <c r="P155" s="27" t="s">
        <v>938</v>
      </c>
      <c r="Q155" s="27" t="s">
        <v>939</v>
      </c>
    </row>
    <row r="156" spans="1:17" ht="15" customHeight="1" x14ac:dyDescent="0.3">
      <c r="A156" s="27" t="s">
        <v>940</v>
      </c>
      <c r="B156" s="27" t="s">
        <v>941</v>
      </c>
      <c r="C156" s="27" t="s">
        <v>942</v>
      </c>
      <c r="D156" s="27">
        <v>2023</v>
      </c>
      <c r="E156" s="27" t="s">
        <v>48</v>
      </c>
      <c r="F156" s="27" t="s">
        <v>13</v>
      </c>
      <c r="G156" s="27"/>
      <c r="H156" s="27"/>
      <c r="I156" s="28" t="str">
        <f t="shared" si="4"/>
        <v/>
      </c>
      <c r="J156" s="27"/>
      <c r="K156" s="28" t="str">
        <f t="shared" si="5"/>
        <v/>
      </c>
      <c r="L156" s="27"/>
      <c r="M156" s="27"/>
      <c r="N156" s="27"/>
      <c r="O156" s="27"/>
      <c r="P156" s="27" t="s">
        <v>943</v>
      </c>
      <c r="Q156" s="27" t="s">
        <v>944</v>
      </c>
    </row>
    <row r="157" spans="1:17" ht="15" customHeight="1" x14ac:dyDescent="0.3">
      <c r="A157" s="27" t="s">
        <v>945</v>
      </c>
      <c r="B157" s="27" t="s">
        <v>946</v>
      </c>
      <c r="C157" s="27" t="s">
        <v>947</v>
      </c>
      <c r="D157" s="27">
        <v>2024</v>
      </c>
      <c r="E157" s="27" t="s">
        <v>48</v>
      </c>
      <c r="F157" s="27" t="s">
        <v>15</v>
      </c>
      <c r="G157" s="27"/>
      <c r="H157" s="27"/>
      <c r="I157" s="28" t="str">
        <f t="shared" si="4"/>
        <v/>
      </c>
      <c r="J157" s="27"/>
      <c r="K157" s="28" t="str">
        <f t="shared" si="5"/>
        <v/>
      </c>
      <c r="L157" s="27"/>
      <c r="M157" s="27"/>
      <c r="N157" s="27"/>
      <c r="O157" s="27"/>
      <c r="P157" s="27" t="s">
        <v>948</v>
      </c>
      <c r="Q157" s="27" t="s">
        <v>949</v>
      </c>
    </row>
    <row r="158" spans="1:17" ht="15" customHeight="1" x14ac:dyDescent="0.3">
      <c r="A158" s="27" t="s">
        <v>950</v>
      </c>
      <c r="B158" s="27" t="s">
        <v>951</v>
      </c>
      <c r="C158" s="27" t="s">
        <v>952</v>
      </c>
      <c r="D158" s="27">
        <v>2025</v>
      </c>
      <c r="E158" s="27" t="s">
        <v>48</v>
      </c>
      <c r="F158" s="27" t="s">
        <v>11</v>
      </c>
      <c r="G158" s="27"/>
      <c r="H158" s="27"/>
      <c r="I158" s="28" t="str">
        <f t="shared" si="4"/>
        <v/>
      </c>
      <c r="J158" s="27"/>
      <c r="K158" s="28" t="str">
        <f t="shared" si="5"/>
        <v/>
      </c>
      <c r="L158" s="27"/>
      <c r="M158" s="27"/>
      <c r="N158" s="27"/>
      <c r="O158" s="27"/>
      <c r="P158" s="27" t="s">
        <v>953</v>
      </c>
      <c r="Q158" s="27" t="s">
        <v>954</v>
      </c>
    </row>
    <row r="159" spans="1:17" ht="15" customHeight="1" x14ac:dyDescent="0.3">
      <c r="A159" s="27" t="s">
        <v>955</v>
      </c>
      <c r="B159" s="27" t="s">
        <v>956</v>
      </c>
      <c r="C159" s="27" t="s">
        <v>957</v>
      </c>
      <c r="D159" s="27">
        <v>2025</v>
      </c>
      <c r="E159" s="27" t="s">
        <v>48</v>
      </c>
      <c r="F159" s="27" t="s">
        <v>13</v>
      </c>
      <c r="G159" s="27"/>
      <c r="H159" s="27"/>
      <c r="I159" s="28" t="str">
        <f t="shared" si="4"/>
        <v/>
      </c>
      <c r="J159" s="27"/>
      <c r="K159" s="28" t="str">
        <f t="shared" si="5"/>
        <v/>
      </c>
      <c r="L159" s="27"/>
      <c r="M159" s="27"/>
      <c r="N159" s="27"/>
      <c r="O159" s="27"/>
      <c r="P159" s="27" t="s">
        <v>958</v>
      </c>
      <c r="Q159" s="27" t="s">
        <v>959</v>
      </c>
    </row>
    <row r="160" spans="1:17" ht="15" customHeight="1" x14ac:dyDescent="0.3">
      <c r="A160" s="27" t="s">
        <v>960</v>
      </c>
      <c r="B160" s="27" t="s">
        <v>961</v>
      </c>
      <c r="C160" s="27" t="s">
        <v>962</v>
      </c>
      <c r="D160" s="27">
        <v>2024</v>
      </c>
      <c r="E160" s="27" t="s">
        <v>48</v>
      </c>
      <c r="F160" s="27" t="s">
        <v>15</v>
      </c>
      <c r="G160" s="27"/>
      <c r="H160" s="27"/>
      <c r="I160" s="28" t="str">
        <f t="shared" si="4"/>
        <v/>
      </c>
      <c r="J160" s="27"/>
      <c r="K160" s="28" t="str">
        <f t="shared" si="5"/>
        <v/>
      </c>
      <c r="L160" s="27"/>
      <c r="M160" s="27"/>
      <c r="N160" s="27"/>
      <c r="O160" s="27"/>
      <c r="P160" s="27" t="s">
        <v>963</v>
      </c>
      <c r="Q160" s="27" t="s">
        <v>964</v>
      </c>
    </row>
    <row r="161" spans="1:17" ht="15" customHeight="1" x14ac:dyDescent="0.3">
      <c r="A161" s="27" t="s">
        <v>965</v>
      </c>
      <c r="B161" s="27" t="s">
        <v>966</v>
      </c>
      <c r="C161" s="27" t="s">
        <v>967</v>
      </c>
      <c r="D161" s="27">
        <v>2026</v>
      </c>
      <c r="E161" s="27" t="s">
        <v>48</v>
      </c>
      <c r="F161" s="27" t="s">
        <v>11</v>
      </c>
      <c r="G161" s="27"/>
      <c r="H161" s="27"/>
      <c r="I161" s="28" t="str">
        <f t="shared" si="4"/>
        <v/>
      </c>
      <c r="J161" s="27"/>
      <c r="K161" s="28" t="str">
        <f t="shared" si="5"/>
        <v/>
      </c>
      <c r="L161" s="27"/>
      <c r="M161" s="27"/>
      <c r="N161" s="27"/>
      <c r="O161" s="27"/>
      <c r="P161" s="27" t="s">
        <v>968</v>
      </c>
      <c r="Q161" s="27" t="s">
        <v>969</v>
      </c>
    </row>
    <row r="162" spans="1:17" ht="15" customHeight="1" x14ac:dyDescent="0.3">
      <c r="A162" s="27" t="s">
        <v>970</v>
      </c>
      <c r="B162" s="27" t="s">
        <v>971</v>
      </c>
      <c r="C162" s="27" t="s">
        <v>972</v>
      </c>
      <c r="D162" s="27">
        <v>2024</v>
      </c>
      <c r="E162" s="27" t="s">
        <v>48</v>
      </c>
      <c r="F162" s="27" t="s">
        <v>13</v>
      </c>
      <c r="G162" s="27"/>
      <c r="H162" s="27"/>
      <c r="I162" s="28" t="str">
        <f t="shared" si="4"/>
        <v/>
      </c>
      <c r="J162" s="27"/>
      <c r="K162" s="28" t="str">
        <f t="shared" si="5"/>
        <v/>
      </c>
      <c r="L162" s="27"/>
      <c r="M162" s="27"/>
      <c r="N162" s="27"/>
      <c r="O162" s="27"/>
      <c r="P162" s="27" t="s">
        <v>973</v>
      </c>
      <c r="Q162" s="27" t="s">
        <v>974</v>
      </c>
    </row>
    <row r="163" spans="1:17" ht="15" customHeight="1" x14ac:dyDescent="0.3">
      <c r="A163" s="27" t="s">
        <v>975</v>
      </c>
      <c r="B163" s="27" t="s">
        <v>976</v>
      </c>
      <c r="C163" s="27" t="s">
        <v>977</v>
      </c>
      <c r="D163" s="27">
        <v>2026</v>
      </c>
      <c r="E163" s="27" t="s">
        <v>136</v>
      </c>
      <c r="F163" s="27" t="s">
        <v>15</v>
      </c>
      <c r="G163" s="27"/>
      <c r="H163" s="27"/>
      <c r="I163" s="28" t="str">
        <f t="shared" si="4"/>
        <v/>
      </c>
      <c r="J163" s="27"/>
      <c r="K163" s="28" t="str">
        <f t="shared" si="5"/>
        <v/>
      </c>
      <c r="L163" s="27"/>
      <c r="M163" s="27"/>
      <c r="N163" s="27"/>
      <c r="O163" s="27"/>
      <c r="P163" s="27" t="s">
        <v>978</v>
      </c>
      <c r="Q163" s="27" t="s">
        <v>979</v>
      </c>
    </row>
    <row r="164" spans="1:17" ht="15" customHeight="1" x14ac:dyDescent="0.3">
      <c r="A164" s="27" t="s">
        <v>980</v>
      </c>
      <c r="B164" s="27" t="s">
        <v>981</v>
      </c>
      <c r="C164" s="27" t="s">
        <v>982</v>
      </c>
      <c r="D164" s="27">
        <v>2024</v>
      </c>
      <c r="E164" s="27" t="s">
        <v>48</v>
      </c>
      <c r="F164" s="27" t="s">
        <v>11</v>
      </c>
      <c r="G164" s="27"/>
      <c r="H164" s="27"/>
      <c r="I164" s="28" t="str">
        <f t="shared" si="4"/>
        <v/>
      </c>
      <c r="J164" s="27"/>
      <c r="K164" s="28" t="str">
        <f t="shared" si="5"/>
        <v/>
      </c>
      <c r="L164" s="27"/>
      <c r="M164" s="27"/>
      <c r="N164" s="27"/>
      <c r="O164" s="27"/>
      <c r="P164" s="27" t="s">
        <v>983</v>
      </c>
      <c r="Q164" s="27" t="s">
        <v>984</v>
      </c>
    </row>
    <row r="165" spans="1:17" ht="15" customHeight="1" x14ac:dyDescent="0.3">
      <c r="A165" s="27" t="s">
        <v>985</v>
      </c>
      <c r="B165" s="27" t="s">
        <v>986</v>
      </c>
      <c r="C165" s="27" t="s">
        <v>987</v>
      </c>
      <c r="D165" s="27">
        <v>2023</v>
      </c>
      <c r="E165" s="27" t="s">
        <v>48</v>
      </c>
      <c r="F165" s="27" t="s">
        <v>13</v>
      </c>
      <c r="G165" s="27"/>
      <c r="H165" s="27"/>
      <c r="I165" s="28" t="str">
        <f t="shared" si="4"/>
        <v/>
      </c>
      <c r="J165" s="27"/>
      <c r="K165" s="28" t="str">
        <f t="shared" si="5"/>
        <v/>
      </c>
      <c r="L165" s="27"/>
      <c r="M165" s="27"/>
      <c r="N165" s="27"/>
      <c r="O165" s="27"/>
      <c r="P165" s="27" t="s">
        <v>988</v>
      </c>
      <c r="Q165" s="27" t="s">
        <v>989</v>
      </c>
    </row>
    <row r="166" spans="1:17" ht="15" customHeight="1" x14ac:dyDescent="0.3">
      <c r="A166" s="27" t="s">
        <v>990</v>
      </c>
      <c r="B166" s="27" t="s">
        <v>991</v>
      </c>
      <c r="C166" s="27" t="s">
        <v>992</v>
      </c>
      <c r="D166" s="27">
        <v>2026</v>
      </c>
      <c r="E166" s="27" t="s">
        <v>48</v>
      </c>
      <c r="F166" s="27" t="s">
        <v>15</v>
      </c>
      <c r="G166" s="27"/>
      <c r="H166" s="27"/>
      <c r="I166" s="28" t="str">
        <f t="shared" si="4"/>
        <v/>
      </c>
      <c r="J166" s="27"/>
      <c r="K166" s="28" t="str">
        <f t="shared" si="5"/>
        <v/>
      </c>
      <c r="L166" s="27"/>
      <c r="M166" s="27"/>
      <c r="N166" s="27"/>
      <c r="O166" s="27"/>
      <c r="P166" s="27" t="s">
        <v>993</v>
      </c>
      <c r="Q166" s="27" t="s">
        <v>994</v>
      </c>
    </row>
    <row r="167" spans="1:17" ht="15" customHeight="1" x14ac:dyDescent="0.3">
      <c r="A167" s="27" t="s">
        <v>995</v>
      </c>
      <c r="B167" s="27" t="s">
        <v>996</v>
      </c>
      <c r="C167" s="27" t="s">
        <v>997</v>
      </c>
      <c r="D167" s="27">
        <v>2025</v>
      </c>
      <c r="E167" s="27" t="s">
        <v>48</v>
      </c>
      <c r="F167" s="27" t="s">
        <v>11</v>
      </c>
      <c r="G167" s="27"/>
      <c r="H167" s="27"/>
      <c r="I167" s="28" t="str">
        <f t="shared" si="4"/>
        <v/>
      </c>
      <c r="J167" s="27"/>
      <c r="K167" s="28" t="str">
        <f t="shared" si="5"/>
        <v/>
      </c>
      <c r="L167" s="27"/>
      <c r="M167" s="27"/>
      <c r="N167" s="27"/>
      <c r="O167" s="27"/>
      <c r="P167" s="27" t="s">
        <v>998</v>
      </c>
      <c r="Q167" s="27" t="s">
        <v>999</v>
      </c>
    </row>
    <row r="168" spans="1:17" ht="15" customHeight="1" x14ac:dyDescent="0.3">
      <c r="A168" s="27" t="s">
        <v>1000</v>
      </c>
      <c r="B168" s="27" t="s">
        <v>1001</v>
      </c>
      <c r="C168" s="27" t="s">
        <v>1002</v>
      </c>
      <c r="D168" s="27">
        <v>2017</v>
      </c>
      <c r="E168" s="27" t="s">
        <v>48</v>
      </c>
      <c r="F168" s="27" t="s">
        <v>13</v>
      </c>
      <c r="G168" s="27"/>
      <c r="H168" s="27"/>
      <c r="I168" s="28" t="str">
        <f t="shared" si="4"/>
        <v/>
      </c>
      <c r="J168" s="27"/>
      <c r="K168" s="28" t="str">
        <f t="shared" si="5"/>
        <v/>
      </c>
      <c r="L168" s="27"/>
      <c r="M168" s="27"/>
      <c r="N168" s="27"/>
      <c r="O168" s="27"/>
      <c r="P168" s="27" t="s">
        <v>1003</v>
      </c>
      <c r="Q168" s="27" t="s">
        <v>1004</v>
      </c>
    </row>
    <row r="169" spans="1:17" ht="15" customHeight="1" x14ac:dyDescent="0.3">
      <c r="A169" s="27" t="s">
        <v>1005</v>
      </c>
      <c r="B169" s="27" t="s">
        <v>1006</v>
      </c>
      <c r="C169" s="27" t="s">
        <v>1007</v>
      </c>
      <c r="D169" s="27">
        <v>2023</v>
      </c>
      <c r="E169" s="27" t="s">
        <v>48</v>
      </c>
      <c r="F169" s="27" t="s">
        <v>15</v>
      </c>
      <c r="G169" s="27"/>
      <c r="H169" s="27"/>
      <c r="I169" s="28" t="str">
        <f t="shared" si="4"/>
        <v/>
      </c>
      <c r="J169" s="27"/>
      <c r="K169" s="28" t="str">
        <f t="shared" si="5"/>
        <v/>
      </c>
      <c r="L169" s="27"/>
      <c r="M169" s="27"/>
      <c r="N169" s="27"/>
      <c r="O169" s="27"/>
      <c r="P169" s="27" t="s">
        <v>1008</v>
      </c>
      <c r="Q169" s="27" t="s">
        <v>1009</v>
      </c>
    </row>
    <row r="170" spans="1:17" ht="15" customHeight="1" x14ac:dyDescent="0.3">
      <c r="A170" s="27" t="s">
        <v>1010</v>
      </c>
      <c r="B170" s="27" t="s">
        <v>1011</v>
      </c>
      <c r="C170" s="27" t="s">
        <v>1012</v>
      </c>
      <c r="D170" s="27">
        <v>2025</v>
      </c>
      <c r="E170" s="27" t="s">
        <v>48</v>
      </c>
      <c r="F170" s="27" t="s">
        <v>11</v>
      </c>
      <c r="G170" s="27"/>
      <c r="H170" s="27"/>
      <c r="I170" s="28" t="str">
        <f t="shared" si="4"/>
        <v/>
      </c>
      <c r="J170" s="27"/>
      <c r="K170" s="28" t="str">
        <f t="shared" si="5"/>
        <v/>
      </c>
      <c r="L170" s="27"/>
      <c r="M170" s="27"/>
      <c r="N170" s="27"/>
      <c r="O170" s="27"/>
      <c r="P170" s="27" t="s">
        <v>1013</v>
      </c>
      <c r="Q170" s="27" t="s">
        <v>1014</v>
      </c>
    </row>
    <row r="171" spans="1:17" ht="15" customHeight="1" x14ac:dyDescent="0.3">
      <c r="A171" s="27" t="s">
        <v>1015</v>
      </c>
      <c r="B171" s="27" t="s">
        <v>1016</v>
      </c>
      <c r="C171" s="27" t="s">
        <v>1017</v>
      </c>
      <c r="D171" s="27">
        <v>2025</v>
      </c>
      <c r="E171" s="27" t="s">
        <v>48</v>
      </c>
      <c r="F171" s="27" t="s">
        <v>13</v>
      </c>
      <c r="G171" s="27"/>
      <c r="H171" s="27"/>
      <c r="I171" s="28" t="str">
        <f t="shared" si="4"/>
        <v/>
      </c>
      <c r="J171" s="27"/>
      <c r="K171" s="28" t="str">
        <f t="shared" si="5"/>
        <v/>
      </c>
      <c r="L171" s="27"/>
      <c r="M171" s="27"/>
      <c r="N171" s="27"/>
      <c r="O171" s="27"/>
      <c r="P171" s="27" t="s">
        <v>238</v>
      </c>
      <c r="Q171" s="27" t="s">
        <v>1018</v>
      </c>
    </row>
    <row r="172" spans="1:17" ht="15" customHeight="1" x14ac:dyDescent="0.3">
      <c r="A172" s="27" t="s">
        <v>1019</v>
      </c>
      <c r="B172" s="27" t="s">
        <v>1020</v>
      </c>
      <c r="C172" s="27" t="s">
        <v>1021</v>
      </c>
      <c r="D172" s="27">
        <v>2026</v>
      </c>
      <c r="E172" s="27" t="s">
        <v>48</v>
      </c>
      <c r="F172" s="27" t="s">
        <v>15</v>
      </c>
      <c r="G172" s="27"/>
      <c r="H172" s="27"/>
      <c r="I172" s="28" t="str">
        <f t="shared" si="4"/>
        <v/>
      </c>
      <c r="J172" s="27"/>
      <c r="K172" s="28" t="str">
        <f t="shared" si="5"/>
        <v/>
      </c>
      <c r="L172" s="27"/>
      <c r="M172" s="27"/>
      <c r="N172" s="27"/>
      <c r="O172" s="27"/>
      <c r="P172" s="27" t="s">
        <v>1022</v>
      </c>
      <c r="Q172" s="27" t="s">
        <v>1023</v>
      </c>
    </row>
    <row r="173" spans="1:17" ht="15" customHeight="1" x14ac:dyDescent="0.3">
      <c r="A173" s="27" t="s">
        <v>1024</v>
      </c>
      <c r="B173" s="27" t="s">
        <v>1025</v>
      </c>
      <c r="C173" s="27" t="s">
        <v>1026</v>
      </c>
      <c r="D173" s="27">
        <v>2018</v>
      </c>
      <c r="E173" s="27" t="s">
        <v>48</v>
      </c>
      <c r="F173" s="27" t="s">
        <v>11</v>
      </c>
      <c r="G173" s="27"/>
      <c r="H173" s="27"/>
      <c r="I173" s="28" t="str">
        <f t="shared" si="4"/>
        <v/>
      </c>
      <c r="J173" s="27"/>
      <c r="K173" s="28" t="str">
        <f t="shared" si="5"/>
        <v/>
      </c>
      <c r="L173" s="27"/>
      <c r="M173" s="27"/>
      <c r="N173" s="27"/>
      <c r="O173" s="27"/>
      <c r="P173" s="27" t="s">
        <v>1027</v>
      </c>
      <c r="Q173" s="27" t="s">
        <v>1028</v>
      </c>
    </row>
    <row r="174" spans="1:17" ht="15" customHeight="1" x14ac:dyDescent="0.3">
      <c r="A174" s="27" t="s">
        <v>1029</v>
      </c>
      <c r="B174" s="27" t="s">
        <v>1030</v>
      </c>
      <c r="C174" s="27" t="s">
        <v>1031</v>
      </c>
      <c r="D174" s="27">
        <v>2025</v>
      </c>
      <c r="E174" s="27" t="s">
        <v>48</v>
      </c>
      <c r="F174" s="27" t="s">
        <v>13</v>
      </c>
      <c r="G174" s="27"/>
      <c r="H174" s="27"/>
      <c r="I174" s="28" t="str">
        <f t="shared" si="4"/>
        <v/>
      </c>
      <c r="J174" s="27"/>
      <c r="K174" s="28" t="str">
        <f t="shared" si="5"/>
        <v/>
      </c>
      <c r="L174" s="27"/>
      <c r="M174" s="27"/>
      <c r="N174" s="27"/>
      <c r="O174" s="27"/>
      <c r="P174" s="27" t="s">
        <v>1032</v>
      </c>
      <c r="Q174" s="27" t="s">
        <v>1033</v>
      </c>
    </row>
    <row r="175" spans="1:17" ht="15" customHeight="1" x14ac:dyDescent="0.3">
      <c r="A175" s="27" t="s">
        <v>1034</v>
      </c>
      <c r="B175" s="27" t="s">
        <v>1035</v>
      </c>
      <c r="C175" s="27" t="s">
        <v>1036</v>
      </c>
      <c r="D175" s="27">
        <v>2016</v>
      </c>
      <c r="E175" s="27" t="s">
        <v>48</v>
      </c>
      <c r="F175" s="27" t="s">
        <v>15</v>
      </c>
      <c r="G175" s="27"/>
      <c r="H175" s="27"/>
      <c r="I175" s="28" t="str">
        <f t="shared" si="4"/>
        <v/>
      </c>
      <c r="J175" s="27"/>
      <c r="K175" s="28" t="str">
        <f t="shared" si="5"/>
        <v/>
      </c>
      <c r="L175" s="27"/>
      <c r="M175" s="27"/>
      <c r="N175" s="27"/>
      <c r="O175" s="27"/>
      <c r="P175" s="27" t="s">
        <v>1037</v>
      </c>
      <c r="Q175" s="27" t="s">
        <v>1038</v>
      </c>
    </row>
    <row r="176" spans="1:17" ht="15" customHeight="1" x14ac:dyDescent="0.3">
      <c r="A176" s="27" t="s">
        <v>1039</v>
      </c>
      <c r="B176" s="27" t="s">
        <v>1040</v>
      </c>
      <c r="C176" s="27" t="s">
        <v>1041</v>
      </c>
      <c r="D176" s="27">
        <v>2025</v>
      </c>
      <c r="E176" s="27" t="s">
        <v>48</v>
      </c>
      <c r="F176" s="27" t="s">
        <v>11</v>
      </c>
      <c r="G176" s="27"/>
      <c r="H176" s="27"/>
      <c r="I176" s="28" t="str">
        <f t="shared" si="4"/>
        <v/>
      </c>
      <c r="J176" s="27"/>
      <c r="K176" s="28" t="str">
        <f t="shared" si="5"/>
        <v/>
      </c>
      <c r="L176" s="27"/>
      <c r="M176" s="27"/>
      <c r="N176" s="27"/>
      <c r="O176" s="27"/>
      <c r="P176" s="27" t="s">
        <v>1042</v>
      </c>
      <c r="Q176" s="27" t="s">
        <v>1043</v>
      </c>
    </row>
    <row r="177" spans="1:17" ht="15" customHeight="1" x14ac:dyDescent="0.3">
      <c r="A177" s="27" t="s">
        <v>1044</v>
      </c>
      <c r="B177" s="27" t="s">
        <v>1045</v>
      </c>
      <c r="C177" s="27" t="s">
        <v>1046</v>
      </c>
      <c r="D177" s="27">
        <v>2025</v>
      </c>
      <c r="E177" s="27" t="s">
        <v>48</v>
      </c>
      <c r="F177" s="27" t="s">
        <v>13</v>
      </c>
      <c r="G177" s="27"/>
      <c r="H177" s="27"/>
      <c r="I177" s="28" t="str">
        <f t="shared" si="4"/>
        <v/>
      </c>
      <c r="J177" s="27"/>
      <c r="K177" s="28" t="str">
        <f t="shared" si="5"/>
        <v/>
      </c>
      <c r="L177" s="27"/>
      <c r="M177" s="27"/>
      <c r="N177" s="27"/>
      <c r="O177" s="27"/>
      <c r="P177" s="27" t="s">
        <v>1047</v>
      </c>
      <c r="Q177" s="27" t="s">
        <v>1048</v>
      </c>
    </row>
    <row r="178" spans="1:17" ht="15" customHeight="1" x14ac:dyDescent="0.3">
      <c r="A178" s="27" t="s">
        <v>1049</v>
      </c>
      <c r="B178" s="27" t="s">
        <v>1050</v>
      </c>
      <c r="C178" s="27" t="s">
        <v>1051</v>
      </c>
      <c r="D178" s="27">
        <v>2019</v>
      </c>
      <c r="E178" s="27" t="s">
        <v>48</v>
      </c>
      <c r="F178" s="27" t="s">
        <v>15</v>
      </c>
      <c r="G178" s="27"/>
      <c r="H178" s="27"/>
      <c r="I178" s="28" t="str">
        <f t="shared" si="4"/>
        <v/>
      </c>
      <c r="J178" s="27"/>
      <c r="K178" s="28" t="str">
        <f t="shared" si="5"/>
        <v/>
      </c>
      <c r="L178" s="27"/>
      <c r="M178" s="27"/>
      <c r="N178" s="27"/>
      <c r="O178" s="27"/>
      <c r="P178" s="27" t="s">
        <v>1052</v>
      </c>
      <c r="Q178" s="27" t="s">
        <v>1053</v>
      </c>
    </row>
    <row r="179" spans="1:17" ht="15" customHeight="1" x14ac:dyDescent="0.3">
      <c r="A179" s="27" t="s">
        <v>1054</v>
      </c>
      <c r="B179" s="27" t="s">
        <v>1055</v>
      </c>
      <c r="C179" s="27" t="s">
        <v>1056</v>
      </c>
      <c r="D179" s="27">
        <v>2022</v>
      </c>
      <c r="E179" s="27" t="s">
        <v>48</v>
      </c>
      <c r="F179" s="27" t="s">
        <v>11</v>
      </c>
      <c r="G179" s="27"/>
      <c r="H179" s="27"/>
      <c r="I179" s="28" t="str">
        <f t="shared" si="4"/>
        <v/>
      </c>
      <c r="J179" s="27"/>
      <c r="K179" s="28" t="str">
        <f t="shared" si="5"/>
        <v/>
      </c>
      <c r="L179" s="27"/>
      <c r="M179" s="27"/>
      <c r="N179" s="27"/>
      <c r="O179" s="27"/>
      <c r="P179" s="27" t="s">
        <v>238</v>
      </c>
      <c r="Q179" s="27" t="s">
        <v>1057</v>
      </c>
    </row>
    <row r="180" spans="1:17" ht="15" customHeight="1" x14ac:dyDescent="0.3">
      <c r="A180" s="27" t="s">
        <v>1058</v>
      </c>
      <c r="B180" s="27" t="s">
        <v>1059</v>
      </c>
      <c r="C180" s="27" t="s">
        <v>1060</v>
      </c>
      <c r="D180" s="27">
        <v>2026</v>
      </c>
      <c r="E180" s="27" t="s">
        <v>48</v>
      </c>
      <c r="F180" s="27" t="s">
        <v>13</v>
      </c>
      <c r="G180" s="27"/>
      <c r="H180" s="27"/>
      <c r="I180" s="28" t="str">
        <f t="shared" si="4"/>
        <v/>
      </c>
      <c r="J180" s="27"/>
      <c r="K180" s="28" t="str">
        <f t="shared" si="5"/>
        <v/>
      </c>
      <c r="L180" s="27"/>
      <c r="M180" s="27"/>
      <c r="N180" s="27"/>
      <c r="O180" s="27"/>
      <c r="P180" s="27" t="s">
        <v>1061</v>
      </c>
      <c r="Q180" s="27" t="s">
        <v>1062</v>
      </c>
    </row>
    <row r="181" spans="1:17" ht="15" customHeight="1" x14ac:dyDescent="0.3">
      <c r="A181" s="27" t="s">
        <v>1063</v>
      </c>
      <c r="B181" s="27" t="s">
        <v>1064</v>
      </c>
      <c r="C181" s="27" t="s">
        <v>1065</v>
      </c>
      <c r="D181" s="27">
        <v>2019</v>
      </c>
      <c r="E181" s="27" t="s">
        <v>48</v>
      </c>
      <c r="F181" s="27" t="s">
        <v>15</v>
      </c>
      <c r="G181" s="27"/>
      <c r="H181" s="27"/>
      <c r="I181" s="28" t="str">
        <f t="shared" si="4"/>
        <v/>
      </c>
      <c r="J181" s="27"/>
      <c r="K181" s="28" t="str">
        <f t="shared" si="5"/>
        <v/>
      </c>
      <c r="L181" s="27"/>
      <c r="M181" s="27"/>
      <c r="N181" s="27"/>
      <c r="O181" s="27"/>
      <c r="P181" s="27" t="s">
        <v>1066</v>
      </c>
      <c r="Q181" s="27" t="s">
        <v>1067</v>
      </c>
    </row>
    <row r="182" spans="1:17" ht="15" customHeight="1" x14ac:dyDescent="0.3">
      <c r="A182" s="27" t="s">
        <v>1068</v>
      </c>
      <c r="B182" s="27" t="s">
        <v>1069</v>
      </c>
      <c r="C182" s="27" t="s">
        <v>1070</v>
      </c>
      <c r="D182" s="27">
        <v>2026</v>
      </c>
      <c r="E182" s="27" t="s">
        <v>48</v>
      </c>
      <c r="F182" s="27" t="s">
        <v>11</v>
      </c>
      <c r="G182" s="27"/>
      <c r="H182" s="27"/>
      <c r="I182" s="28" t="str">
        <f t="shared" si="4"/>
        <v/>
      </c>
      <c r="J182" s="27"/>
      <c r="K182" s="28" t="str">
        <f t="shared" si="5"/>
        <v/>
      </c>
      <c r="L182" s="27"/>
      <c r="M182" s="27"/>
      <c r="N182" s="27"/>
      <c r="O182" s="27"/>
      <c r="P182" s="27" t="s">
        <v>1071</v>
      </c>
      <c r="Q182" s="27" t="s">
        <v>1072</v>
      </c>
    </row>
    <row r="183" spans="1:17" ht="15" customHeight="1" x14ac:dyDescent="0.3">
      <c r="A183" s="27" t="s">
        <v>1073</v>
      </c>
      <c r="B183" s="27" t="s">
        <v>1074</v>
      </c>
      <c r="C183" s="27" t="s">
        <v>1075</v>
      </c>
      <c r="D183" s="27">
        <v>2024</v>
      </c>
      <c r="E183" s="27" t="s">
        <v>48</v>
      </c>
      <c r="F183" s="27" t="s">
        <v>13</v>
      </c>
      <c r="G183" s="27"/>
      <c r="H183" s="27"/>
      <c r="I183" s="28" t="str">
        <f t="shared" si="4"/>
        <v/>
      </c>
      <c r="J183" s="27"/>
      <c r="K183" s="28" t="str">
        <f t="shared" si="5"/>
        <v/>
      </c>
      <c r="L183" s="27"/>
      <c r="M183" s="27"/>
      <c r="N183" s="27"/>
      <c r="O183" s="27"/>
      <c r="P183" s="27" t="s">
        <v>1076</v>
      </c>
      <c r="Q183" s="27" t="s">
        <v>1077</v>
      </c>
    </row>
    <row r="184" spans="1:17" ht="15" customHeight="1" x14ac:dyDescent="0.3">
      <c r="A184" s="27" t="s">
        <v>1078</v>
      </c>
      <c r="B184" s="27" t="s">
        <v>1079</v>
      </c>
      <c r="C184" s="27" t="s">
        <v>1080</v>
      </c>
      <c r="D184" s="27">
        <v>2022</v>
      </c>
      <c r="E184" s="27" t="s">
        <v>48</v>
      </c>
      <c r="F184" s="27" t="s">
        <v>15</v>
      </c>
      <c r="G184" s="27"/>
      <c r="H184" s="27"/>
      <c r="I184" s="28" t="str">
        <f t="shared" si="4"/>
        <v/>
      </c>
      <c r="J184" s="27"/>
      <c r="K184" s="28" t="str">
        <f t="shared" si="5"/>
        <v/>
      </c>
      <c r="L184" s="27"/>
      <c r="M184" s="27"/>
      <c r="N184" s="27"/>
      <c r="O184" s="27"/>
      <c r="P184" s="27" t="s">
        <v>1081</v>
      </c>
      <c r="Q184" s="27" t="s">
        <v>1082</v>
      </c>
    </row>
    <row r="185" spans="1:17" ht="15" customHeight="1" x14ac:dyDescent="0.3">
      <c r="A185" s="27" t="s">
        <v>1083</v>
      </c>
      <c r="B185" s="27" t="s">
        <v>1084</v>
      </c>
      <c r="C185" s="27" t="s">
        <v>1085</v>
      </c>
      <c r="D185" s="27">
        <v>2026</v>
      </c>
      <c r="E185" s="27" t="s">
        <v>48</v>
      </c>
      <c r="F185" s="27" t="s">
        <v>11</v>
      </c>
      <c r="G185" s="27"/>
      <c r="H185" s="27"/>
      <c r="I185" s="28" t="str">
        <f t="shared" si="4"/>
        <v/>
      </c>
      <c r="J185" s="27"/>
      <c r="K185" s="28" t="str">
        <f t="shared" si="5"/>
        <v/>
      </c>
      <c r="L185" s="27"/>
      <c r="M185" s="27"/>
      <c r="N185" s="27"/>
      <c r="O185" s="27"/>
      <c r="P185" s="27" t="s">
        <v>1086</v>
      </c>
      <c r="Q185" s="27" t="s">
        <v>1087</v>
      </c>
    </row>
    <row r="186" spans="1:17" ht="15" customHeight="1" x14ac:dyDescent="0.3">
      <c r="A186" s="27" t="s">
        <v>1088</v>
      </c>
      <c r="B186" s="27" t="s">
        <v>1089</v>
      </c>
      <c r="C186" s="27" t="s">
        <v>1090</v>
      </c>
      <c r="D186" s="27">
        <v>2026</v>
      </c>
      <c r="E186" s="27" t="s">
        <v>48</v>
      </c>
      <c r="F186" s="27" t="s">
        <v>13</v>
      </c>
      <c r="G186" s="27"/>
      <c r="H186" s="27"/>
      <c r="I186" s="28" t="str">
        <f t="shared" si="4"/>
        <v/>
      </c>
      <c r="J186" s="27"/>
      <c r="K186" s="28" t="str">
        <f t="shared" si="5"/>
        <v/>
      </c>
      <c r="L186" s="27"/>
      <c r="M186" s="27"/>
      <c r="N186" s="27"/>
      <c r="O186" s="27"/>
      <c r="P186" s="27" t="s">
        <v>1091</v>
      </c>
      <c r="Q186" s="27" t="s">
        <v>1092</v>
      </c>
    </row>
    <row r="187" spans="1:17" ht="15" customHeight="1" x14ac:dyDescent="0.3">
      <c r="A187" s="27" t="s">
        <v>1093</v>
      </c>
      <c r="B187" s="27" t="s">
        <v>1094</v>
      </c>
      <c r="C187" s="27" t="s">
        <v>1095</v>
      </c>
      <c r="D187" s="27">
        <v>2019</v>
      </c>
      <c r="E187" s="27" t="s">
        <v>48</v>
      </c>
      <c r="F187" s="27" t="s">
        <v>15</v>
      </c>
      <c r="G187" s="27"/>
      <c r="H187" s="27"/>
      <c r="I187" s="28" t="str">
        <f t="shared" si="4"/>
        <v/>
      </c>
      <c r="J187" s="27"/>
      <c r="K187" s="28" t="str">
        <f t="shared" si="5"/>
        <v/>
      </c>
      <c r="L187" s="27"/>
      <c r="M187" s="27"/>
      <c r="N187" s="27"/>
      <c r="O187" s="27"/>
      <c r="P187" s="27" t="s">
        <v>1096</v>
      </c>
      <c r="Q187" s="27" t="s">
        <v>1097</v>
      </c>
    </row>
    <row r="188" spans="1:17" ht="15" customHeight="1" x14ac:dyDescent="0.3">
      <c r="A188" s="27" t="s">
        <v>1098</v>
      </c>
      <c r="B188" s="27" t="s">
        <v>1099</v>
      </c>
      <c r="C188" s="27" t="s">
        <v>1100</v>
      </c>
      <c r="D188" s="27">
        <v>2026</v>
      </c>
      <c r="E188" s="27" t="s">
        <v>48</v>
      </c>
      <c r="F188" s="27" t="s">
        <v>11</v>
      </c>
      <c r="G188" s="27"/>
      <c r="H188" s="27"/>
      <c r="I188" s="28" t="str">
        <f t="shared" si="4"/>
        <v/>
      </c>
      <c r="J188" s="27"/>
      <c r="K188" s="28" t="str">
        <f t="shared" si="5"/>
        <v/>
      </c>
      <c r="L188" s="27"/>
      <c r="M188" s="27"/>
      <c r="N188" s="27"/>
      <c r="O188" s="27"/>
      <c r="P188" s="27" t="s">
        <v>1101</v>
      </c>
      <c r="Q188" s="27" t="s">
        <v>1102</v>
      </c>
    </row>
    <row r="189" spans="1:17" ht="15" customHeight="1" x14ac:dyDescent="0.3">
      <c r="A189" s="27" t="s">
        <v>1103</v>
      </c>
      <c r="B189" s="27" t="s">
        <v>1104</v>
      </c>
      <c r="C189" s="27" t="s">
        <v>1105</v>
      </c>
      <c r="D189" s="27">
        <v>2024</v>
      </c>
      <c r="E189" s="27" t="s">
        <v>48</v>
      </c>
      <c r="F189" s="27" t="s">
        <v>13</v>
      </c>
      <c r="G189" s="27"/>
      <c r="H189" s="27"/>
      <c r="I189" s="28" t="str">
        <f t="shared" si="4"/>
        <v/>
      </c>
      <c r="J189" s="27"/>
      <c r="K189" s="28" t="str">
        <f t="shared" si="5"/>
        <v/>
      </c>
      <c r="L189" s="27"/>
      <c r="M189" s="27"/>
      <c r="N189" s="27"/>
      <c r="O189" s="27"/>
      <c r="P189" s="27" t="s">
        <v>1106</v>
      </c>
      <c r="Q189" s="27" t="s">
        <v>1107</v>
      </c>
    </row>
    <row r="190" spans="1:17" ht="15" customHeight="1" x14ac:dyDescent="0.3">
      <c r="A190" s="27" t="s">
        <v>1108</v>
      </c>
      <c r="B190" s="27" t="s">
        <v>1109</v>
      </c>
      <c r="C190" s="27" t="s">
        <v>1110</v>
      </c>
      <c r="D190" s="27">
        <v>2022</v>
      </c>
      <c r="E190" s="27" t="s">
        <v>48</v>
      </c>
      <c r="F190" s="27" t="s">
        <v>15</v>
      </c>
      <c r="G190" s="27"/>
      <c r="H190" s="27"/>
      <c r="I190" s="28" t="str">
        <f t="shared" si="4"/>
        <v/>
      </c>
      <c r="J190" s="27"/>
      <c r="K190" s="28" t="str">
        <f t="shared" si="5"/>
        <v/>
      </c>
      <c r="L190" s="27"/>
      <c r="M190" s="27"/>
      <c r="N190" s="27"/>
      <c r="O190" s="27"/>
      <c r="P190" s="27" t="s">
        <v>1111</v>
      </c>
      <c r="Q190" s="27" t="s">
        <v>1112</v>
      </c>
    </row>
    <row r="191" spans="1:17" ht="15" customHeight="1" x14ac:dyDescent="0.3">
      <c r="A191" s="27" t="s">
        <v>1113</v>
      </c>
      <c r="B191" s="27" t="s">
        <v>1114</v>
      </c>
      <c r="C191" s="27" t="s">
        <v>1115</v>
      </c>
      <c r="D191" s="27">
        <v>2020</v>
      </c>
      <c r="E191" s="27" t="s">
        <v>48</v>
      </c>
      <c r="F191" s="27" t="s">
        <v>11</v>
      </c>
      <c r="G191" s="27"/>
      <c r="H191" s="27"/>
      <c r="I191" s="28" t="str">
        <f t="shared" si="4"/>
        <v/>
      </c>
      <c r="J191" s="27"/>
      <c r="K191" s="28" t="str">
        <f t="shared" si="5"/>
        <v/>
      </c>
      <c r="L191" s="27"/>
      <c r="M191" s="27"/>
      <c r="N191" s="27"/>
      <c r="O191" s="27"/>
      <c r="P191" s="27" t="s">
        <v>1116</v>
      </c>
      <c r="Q191" s="27" t="s">
        <v>1117</v>
      </c>
    </row>
    <row r="192" spans="1:17" ht="15" customHeight="1" x14ac:dyDescent="0.3">
      <c r="A192" s="27" t="s">
        <v>1118</v>
      </c>
      <c r="B192" s="27" t="s">
        <v>1119</v>
      </c>
      <c r="C192" s="27" t="s">
        <v>1120</v>
      </c>
      <c r="D192" s="27">
        <v>2026</v>
      </c>
      <c r="E192" s="27" t="s">
        <v>48</v>
      </c>
      <c r="F192" s="27" t="s">
        <v>13</v>
      </c>
      <c r="G192" s="27"/>
      <c r="H192" s="27"/>
      <c r="I192" s="28" t="str">
        <f t="shared" si="4"/>
        <v/>
      </c>
      <c r="J192" s="27"/>
      <c r="K192" s="28" t="str">
        <f t="shared" si="5"/>
        <v/>
      </c>
      <c r="L192" s="27"/>
      <c r="M192" s="27"/>
      <c r="N192" s="27"/>
      <c r="O192" s="27"/>
      <c r="P192" s="27" t="s">
        <v>1121</v>
      </c>
      <c r="Q192" s="27" t="s">
        <v>1122</v>
      </c>
    </row>
    <row r="193" spans="1:17" ht="15" customHeight="1" x14ac:dyDescent="0.3">
      <c r="A193" s="27" t="s">
        <v>1123</v>
      </c>
      <c r="B193" s="27" t="s">
        <v>1124</v>
      </c>
      <c r="C193" s="27" t="s">
        <v>1125</v>
      </c>
      <c r="D193" s="27">
        <v>2021</v>
      </c>
      <c r="E193" s="27" t="s">
        <v>48</v>
      </c>
      <c r="F193" s="27" t="s">
        <v>15</v>
      </c>
      <c r="G193" s="27"/>
      <c r="H193" s="27"/>
      <c r="I193" s="28" t="str">
        <f t="shared" si="4"/>
        <v/>
      </c>
      <c r="J193" s="27"/>
      <c r="K193" s="28" t="str">
        <f t="shared" si="5"/>
        <v/>
      </c>
      <c r="L193" s="27"/>
      <c r="M193" s="27"/>
      <c r="N193" s="27"/>
      <c r="O193" s="27"/>
      <c r="P193" s="27" t="s">
        <v>1126</v>
      </c>
      <c r="Q193" s="27" t="s">
        <v>1127</v>
      </c>
    </row>
    <row r="194" spans="1:17" ht="15" customHeight="1" x14ac:dyDescent="0.3">
      <c r="A194" s="27" t="s">
        <v>1128</v>
      </c>
      <c r="B194" s="27" t="s">
        <v>1129</v>
      </c>
      <c r="C194" s="27" t="s">
        <v>1130</v>
      </c>
      <c r="D194" s="27">
        <v>2022</v>
      </c>
      <c r="E194" s="27" t="s">
        <v>48</v>
      </c>
      <c r="F194" s="27" t="s">
        <v>11</v>
      </c>
      <c r="G194" s="27"/>
      <c r="H194" s="27"/>
      <c r="I194" s="28" t="str">
        <f t="shared" ref="I194:I257" si="6">IF(OR(G194="",H194=""),"",IF(G194=H194,"Yes","No"))</f>
        <v/>
      </c>
      <c r="J194" s="27"/>
      <c r="K194" s="28" t="str">
        <f t="shared" ref="K194:K257" si="7">IF(OR(E194="Snowballing",E194="Other sources"),"n/a",IF(AND(G194="",H194=""),"",IF(OR(G194="",H194=""),"Waiting",IF(G194=H194,G194,IF(AND(G194&lt;&gt;"Exclude",H194&lt;&gt;"Exclude"),"Maybe",IF(J194&lt;&gt;"",J194,"Pending"))))))</f>
        <v/>
      </c>
      <c r="L194" s="27"/>
      <c r="M194" s="27"/>
      <c r="N194" s="27"/>
      <c r="O194" s="27"/>
      <c r="P194" s="27" t="s">
        <v>1131</v>
      </c>
      <c r="Q194" s="27" t="s">
        <v>1132</v>
      </c>
    </row>
    <row r="195" spans="1:17" ht="15" customHeight="1" x14ac:dyDescent="0.3">
      <c r="A195" s="27" t="s">
        <v>1133</v>
      </c>
      <c r="B195" s="27" t="s">
        <v>1134</v>
      </c>
      <c r="C195" s="27" t="s">
        <v>1135</v>
      </c>
      <c r="D195" s="27">
        <v>2025</v>
      </c>
      <c r="E195" s="27" t="s">
        <v>48</v>
      </c>
      <c r="F195" s="27" t="s">
        <v>13</v>
      </c>
      <c r="G195" s="27"/>
      <c r="H195" s="27"/>
      <c r="I195" s="28" t="str">
        <f t="shared" si="6"/>
        <v/>
      </c>
      <c r="J195" s="27"/>
      <c r="K195" s="28" t="str">
        <f t="shared" si="7"/>
        <v/>
      </c>
      <c r="L195" s="27"/>
      <c r="M195" s="27"/>
      <c r="N195" s="27"/>
      <c r="O195" s="27"/>
      <c r="P195" s="27" t="s">
        <v>1136</v>
      </c>
      <c r="Q195" s="27" t="s">
        <v>1137</v>
      </c>
    </row>
    <row r="196" spans="1:17" ht="15" customHeight="1" x14ac:dyDescent="0.3">
      <c r="A196" s="27" t="s">
        <v>1138</v>
      </c>
      <c r="B196" s="27" t="s">
        <v>1139</v>
      </c>
      <c r="C196" s="27" t="s">
        <v>1140</v>
      </c>
      <c r="D196" s="27">
        <v>2026</v>
      </c>
      <c r="E196" s="27" t="s">
        <v>48</v>
      </c>
      <c r="F196" s="27" t="s">
        <v>15</v>
      </c>
      <c r="G196" s="27"/>
      <c r="H196" s="27"/>
      <c r="I196" s="28" t="str">
        <f t="shared" si="6"/>
        <v/>
      </c>
      <c r="J196" s="27"/>
      <c r="K196" s="28" t="str">
        <f t="shared" si="7"/>
        <v/>
      </c>
      <c r="L196" s="27"/>
      <c r="M196" s="27"/>
      <c r="N196" s="27"/>
      <c r="O196" s="27"/>
      <c r="P196" s="27" t="s">
        <v>1141</v>
      </c>
      <c r="Q196" s="27" t="s">
        <v>1142</v>
      </c>
    </row>
    <row r="197" spans="1:17" ht="15" customHeight="1" x14ac:dyDescent="0.3">
      <c r="A197" s="27" t="s">
        <v>1143</v>
      </c>
      <c r="B197" s="27" t="s">
        <v>1144</v>
      </c>
      <c r="C197" s="27" t="s">
        <v>1145</v>
      </c>
      <c r="D197" s="27">
        <v>2025</v>
      </c>
      <c r="E197" s="27" t="s">
        <v>48</v>
      </c>
      <c r="F197" s="27" t="s">
        <v>11</v>
      </c>
      <c r="G197" s="27"/>
      <c r="H197" s="27"/>
      <c r="I197" s="28" t="str">
        <f t="shared" si="6"/>
        <v/>
      </c>
      <c r="J197" s="27"/>
      <c r="K197" s="28" t="str">
        <f t="shared" si="7"/>
        <v/>
      </c>
      <c r="L197" s="27"/>
      <c r="M197" s="27"/>
      <c r="N197" s="27"/>
      <c r="O197" s="27"/>
      <c r="P197" s="27" t="s">
        <v>1146</v>
      </c>
      <c r="Q197" s="27" t="s">
        <v>1147</v>
      </c>
    </row>
    <row r="198" spans="1:17" ht="15" customHeight="1" x14ac:dyDescent="0.3">
      <c r="A198" s="27" t="s">
        <v>1148</v>
      </c>
      <c r="B198" s="27" t="s">
        <v>1149</v>
      </c>
      <c r="C198" s="27" t="s">
        <v>1150</v>
      </c>
      <c r="D198" s="27">
        <v>2025</v>
      </c>
      <c r="E198" s="27" t="s">
        <v>48</v>
      </c>
      <c r="F198" s="27" t="s">
        <v>13</v>
      </c>
      <c r="G198" s="27"/>
      <c r="H198" s="27"/>
      <c r="I198" s="28" t="str">
        <f t="shared" si="6"/>
        <v/>
      </c>
      <c r="J198" s="27"/>
      <c r="K198" s="28" t="str">
        <f t="shared" si="7"/>
        <v/>
      </c>
      <c r="L198" s="27"/>
      <c r="M198" s="27"/>
      <c r="N198" s="27"/>
      <c r="O198" s="27"/>
      <c r="P198" s="27" t="s">
        <v>1151</v>
      </c>
      <c r="Q198" s="27" t="s">
        <v>1152</v>
      </c>
    </row>
    <row r="199" spans="1:17" ht="15" customHeight="1" x14ac:dyDescent="0.3">
      <c r="A199" s="27" t="s">
        <v>1153</v>
      </c>
      <c r="B199" s="27" t="s">
        <v>1154</v>
      </c>
      <c r="C199" s="27" t="s">
        <v>1155</v>
      </c>
      <c r="D199" s="27">
        <v>2026</v>
      </c>
      <c r="E199" s="27" t="s">
        <v>48</v>
      </c>
      <c r="F199" s="27" t="s">
        <v>15</v>
      </c>
      <c r="G199" s="27"/>
      <c r="H199" s="27"/>
      <c r="I199" s="28" t="str">
        <f t="shared" si="6"/>
        <v/>
      </c>
      <c r="J199" s="27"/>
      <c r="K199" s="28" t="str">
        <f t="shared" si="7"/>
        <v/>
      </c>
      <c r="L199" s="27"/>
      <c r="M199" s="27"/>
      <c r="N199" s="27"/>
      <c r="O199" s="27"/>
      <c r="P199" s="27" t="s">
        <v>1156</v>
      </c>
      <c r="Q199" s="27" t="s">
        <v>1157</v>
      </c>
    </row>
    <row r="200" spans="1:17" ht="15" customHeight="1" x14ac:dyDescent="0.3">
      <c r="A200" s="27" t="s">
        <v>1158</v>
      </c>
      <c r="B200" s="27" t="s">
        <v>1159</v>
      </c>
      <c r="C200" s="27" t="s">
        <v>1160</v>
      </c>
      <c r="D200" s="27">
        <v>2024</v>
      </c>
      <c r="E200" s="27" t="s">
        <v>48</v>
      </c>
      <c r="F200" s="27" t="s">
        <v>11</v>
      </c>
      <c r="G200" s="27"/>
      <c r="H200" s="27"/>
      <c r="I200" s="28" t="str">
        <f t="shared" si="6"/>
        <v/>
      </c>
      <c r="J200" s="27"/>
      <c r="K200" s="28" t="str">
        <f t="shared" si="7"/>
        <v/>
      </c>
      <c r="L200" s="27"/>
      <c r="M200" s="27"/>
      <c r="N200" s="27"/>
      <c r="O200" s="27"/>
      <c r="P200" s="27" t="s">
        <v>1161</v>
      </c>
      <c r="Q200" s="27" t="s">
        <v>1162</v>
      </c>
    </row>
    <row r="201" spans="1:17" ht="15" customHeight="1" x14ac:dyDescent="0.3">
      <c r="A201" s="27" t="s">
        <v>1163</v>
      </c>
      <c r="B201" s="27" t="s">
        <v>1164</v>
      </c>
      <c r="C201" s="27" t="s">
        <v>1165</v>
      </c>
      <c r="D201" s="27">
        <v>2025</v>
      </c>
      <c r="E201" s="27" t="s">
        <v>48</v>
      </c>
      <c r="F201" s="27" t="s">
        <v>13</v>
      </c>
      <c r="G201" s="27"/>
      <c r="H201" s="27"/>
      <c r="I201" s="28" t="str">
        <f t="shared" si="6"/>
        <v/>
      </c>
      <c r="J201" s="27"/>
      <c r="K201" s="28" t="str">
        <f t="shared" si="7"/>
        <v/>
      </c>
      <c r="L201" s="27"/>
      <c r="M201" s="27"/>
      <c r="N201" s="27"/>
      <c r="O201" s="27"/>
      <c r="P201" s="27" t="s">
        <v>1166</v>
      </c>
      <c r="Q201" s="27" t="s">
        <v>1167</v>
      </c>
    </row>
    <row r="202" spans="1:17" ht="15" customHeight="1" x14ac:dyDescent="0.3">
      <c r="A202" s="27" t="s">
        <v>1168</v>
      </c>
      <c r="B202" s="27" t="s">
        <v>1169</v>
      </c>
      <c r="C202" s="27" t="s">
        <v>1170</v>
      </c>
      <c r="D202" s="27">
        <v>2026</v>
      </c>
      <c r="E202" s="27" t="s">
        <v>48</v>
      </c>
      <c r="F202" s="27" t="s">
        <v>15</v>
      </c>
      <c r="G202" s="27"/>
      <c r="H202" s="27"/>
      <c r="I202" s="28" t="str">
        <f t="shared" si="6"/>
        <v/>
      </c>
      <c r="J202" s="27"/>
      <c r="K202" s="28" t="str">
        <f t="shared" si="7"/>
        <v/>
      </c>
      <c r="L202" s="27"/>
      <c r="M202" s="27"/>
      <c r="N202" s="27"/>
      <c r="O202" s="27"/>
      <c r="P202" s="27" t="s">
        <v>1171</v>
      </c>
      <c r="Q202" s="27" t="s">
        <v>1172</v>
      </c>
    </row>
    <row r="203" spans="1:17" ht="15" customHeight="1" x14ac:dyDescent="0.3">
      <c r="A203" s="27" t="s">
        <v>1173</v>
      </c>
      <c r="B203" s="27" t="s">
        <v>1174</v>
      </c>
      <c r="C203" s="27" t="s">
        <v>1175</v>
      </c>
      <c r="D203" s="27">
        <v>2026</v>
      </c>
      <c r="E203" s="27" t="s">
        <v>48</v>
      </c>
      <c r="F203" s="27" t="s">
        <v>11</v>
      </c>
      <c r="G203" s="27"/>
      <c r="H203" s="27"/>
      <c r="I203" s="28" t="str">
        <f t="shared" si="6"/>
        <v/>
      </c>
      <c r="J203" s="27"/>
      <c r="K203" s="28" t="str">
        <f t="shared" si="7"/>
        <v/>
      </c>
      <c r="L203" s="27"/>
      <c r="M203" s="27"/>
      <c r="N203" s="27"/>
      <c r="O203" s="27"/>
      <c r="P203" s="27" t="s">
        <v>1176</v>
      </c>
      <c r="Q203" s="27" t="s">
        <v>1177</v>
      </c>
    </row>
    <row r="204" spans="1:17" ht="15" customHeight="1" x14ac:dyDescent="0.3">
      <c r="A204" s="27" t="s">
        <v>1178</v>
      </c>
      <c r="B204" s="27" t="s">
        <v>1179</v>
      </c>
      <c r="C204" s="27" t="s">
        <v>1180</v>
      </c>
      <c r="D204" s="27">
        <v>2025</v>
      </c>
      <c r="E204" s="27" t="s">
        <v>48</v>
      </c>
      <c r="F204" s="27" t="s">
        <v>13</v>
      </c>
      <c r="G204" s="27"/>
      <c r="H204" s="27"/>
      <c r="I204" s="28" t="str">
        <f t="shared" si="6"/>
        <v/>
      </c>
      <c r="J204" s="27"/>
      <c r="K204" s="28" t="str">
        <f t="shared" si="7"/>
        <v/>
      </c>
      <c r="L204" s="27"/>
      <c r="M204" s="27"/>
      <c r="N204" s="27"/>
      <c r="O204" s="27"/>
      <c r="P204" s="27" t="s">
        <v>1181</v>
      </c>
      <c r="Q204" s="27" t="s">
        <v>1182</v>
      </c>
    </row>
    <row r="205" spans="1:17" ht="15" customHeight="1" x14ac:dyDescent="0.3">
      <c r="A205" s="27" t="s">
        <v>1183</v>
      </c>
      <c r="B205" s="27" t="s">
        <v>1184</v>
      </c>
      <c r="C205" s="27" t="s">
        <v>1185</v>
      </c>
      <c r="D205" s="27">
        <v>2024</v>
      </c>
      <c r="E205" s="27" t="s">
        <v>136</v>
      </c>
      <c r="F205" s="27" t="s">
        <v>15</v>
      </c>
      <c r="G205" s="27"/>
      <c r="H205" s="27"/>
      <c r="I205" s="28" t="str">
        <f t="shared" si="6"/>
        <v/>
      </c>
      <c r="J205" s="27"/>
      <c r="K205" s="28" t="str">
        <f t="shared" si="7"/>
        <v/>
      </c>
      <c r="L205" s="27"/>
      <c r="M205" s="27"/>
      <c r="N205" s="27"/>
      <c r="O205" s="27"/>
      <c r="P205" s="27" t="s">
        <v>1186</v>
      </c>
      <c r="Q205" s="27" t="s">
        <v>1187</v>
      </c>
    </row>
    <row r="206" spans="1:17" ht="15" customHeight="1" x14ac:dyDescent="0.3">
      <c r="A206" s="27" t="s">
        <v>1188</v>
      </c>
      <c r="B206" s="27" t="s">
        <v>1189</v>
      </c>
      <c r="C206" s="27" t="s">
        <v>1190</v>
      </c>
      <c r="D206" s="27">
        <v>2023</v>
      </c>
      <c r="E206" s="27" t="s">
        <v>48</v>
      </c>
      <c r="F206" s="27" t="s">
        <v>11</v>
      </c>
      <c r="G206" s="27"/>
      <c r="H206" s="27"/>
      <c r="I206" s="28" t="str">
        <f t="shared" si="6"/>
        <v/>
      </c>
      <c r="J206" s="27"/>
      <c r="K206" s="28" t="str">
        <f t="shared" si="7"/>
        <v/>
      </c>
      <c r="L206" s="27"/>
      <c r="M206" s="27"/>
      <c r="N206" s="27"/>
      <c r="O206" s="27"/>
      <c r="P206" s="27" t="s">
        <v>1191</v>
      </c>
      <c r="Q206" s="27" t="s">
        <v>1192</v>
      </c>
    </row>
    <row r="207" spans="1:17" ht="15" customHeight="1" x14ac:dyDescent="0.3">
      <c r="A207" s="27" t="s">
        <v>1193</v>
      </c>
      <c r="B207" s="27" t="s">
        <v>1194</v>
      </c>
      <c r="C207" s="27" t="s">
        <v>1195</v>
      </c>
      <c r="D207" s="27">
        <v>2022</v>
      </c>
      <c r="E207" s="27" t="s">
        <v>48</v>
      </c>
      <c r="F207" s="27" t="s">
        <v>13</v>
      </c>
      <c r="G207" s="27"/>
      <c r="H207" s="27"/>
      <c r="I207" s="28" t="str">
        <f t="shared" si="6"/>
        <v/>
      </c>
      <c r="J207" s="27"/>
      <c r="K207" s="28" t="str">
        <f t="shared" si="7"/>
        <v/>
      </c>
      <c r="L207" s="27"/>
      <c r="M207" s="27"/>
      <c r="N207" s="27"/>
      <c r="O207" s="27"/>
      <c r="P207" s="27" t="s">
        <v>1196</v>
      </c>
      <c r="Q207" s="27" t="s">
        <v>1197</v>
      </c>
    </row>
    <row r="208" spans="1:17" ht="15" customHeight="1" x14ac:dyDescent="0.3">
      <c r="A208" s="27" t="s">
        <v>1198</v>
      </c>
      <c r="B208" s="27" t="s">
        <v>1199</v>
      </c>
      <c r="C208" s="27" t="s">
        <v>1200</v>
      </c>
      <c r="D208" s="27">
        <v>2026</v>
      </c>
      <c r="E208" s="27" t="s">
        <v>48</v>
      </c>
      <c r="F208" s="27" t="s">
        <v>15</v>
      </c>
      <c r="G208" s="27"/>
      <c r="H208" s="27"/>
      <c r="I208" s="28" t="str">
        <f t="shared" si="6"/>
        <v/>
      </c>
      <c r="J208" s="27"/>
      <c r="K208" s="28" t="str">
        <f t="shared" si="7"/>
        <v/>
      </c>
      <c r="L208" s="27"/>
      <c r="M208" s="27"/>
      <c r="N208" s="27"/>
      <c r="O208" s="27"/>
      <c r="P208" s="27" t="s">
        <v>1201</v>
      </c>
      <c r="Q208" s="27" t="s">
        <v>1202</v>
      </c>
    </row>
    <row r="209" spans="1:17" ht="15" customHeight="1" x14ac:dyDescent="0.3">
      <c r="A209" s="27" t="s">
        <v>1203</v>
      </c>
      <c r="B209" s="27" t="s">
        <v>1204</v>
      </c>
      <c r="C209" s="27" t="s">
        <v>1205</v>
      </c>
      <c r="D209" s="27">
        <v>2026</v>
      </c>
      <c r="E209" s="27" t="s">
        <v>48</v>
      </c>
      <c r="F209" s="27" t="s">
        <v>11</v>
      </c>
      <c r="G209" s="27"/>
      <c r="H209" s="27"/>
      <c r="I209" s="28" t="str">
        <f t="shared" si="6"/>
        <v/>
      </c>
      <c r="J209" s="27"/>
      <c r="K209" s="28" t="str">
        <f t="shared" si="7"/>
        <v/>
      </c>
      <c r="L209" s="27"/>
      <c r="M209" s="27"/>
      <c r="N209" s="27"/>
      <c r="O209" s="27"/>
      <c r="P209" s="27" t="s">
        <v>1206</v>
      </c>
      <c r="Q209" s="27" t="s">
        <v>1207</v>
      </c>
    </row>
    <row r="210" spans="1:17" ht="15" customHeight="1" x14ac:dyDescent="0.3">
      <c r="A210" s="27" t="s">
        <v>1208</v>
      </c>
      <c r="B210" s="27" t="s">
        <v>1209</v>
      </c>
      <c r="C210" s="27" t="s">
        <v>1210</v>
      </c>
      <c r="D210" s="27">
        <v>2026</v>
      </c>
      <c r="E210" s="27" t="s">
        <v>48</v>
      </c>
      <c r="F210" s="27" t="s">
        <v>13</v>
      </c>
      <c r="G210" s="27"/>
      <c r="H210" s="27"/>
      <c r="I210" s="28" t="str">
        <f t="shared" si="6"/>
        <v/>
      </c>
      <c r="J210" s="27"/>
      <c r="K210" s="28" t="str">
        <f t="shared" si="7"/>
        <v/>
      </c>
      <c r="L210" s="27"/>
      <c r="M210" s="27"/>
      <c r="N210" s="27"/>
      <c r="O210" s="27"/>
      <c r="P210" s="27" t="s">
        <v>1211</v>
      </c>
      <c r="Q210" s="27" t="s">
        <v>1212</v>
      </c>
    </row>
    <row r="211" spans="1:17" ht="15" customHeight="1" x14ac:dyDescent="0.3">
      <c r="A211" s="27" t="s">
        <v>1213</v>
      </c>
      <c r="B211" s="27" t="s">
        <v>1214</v>
      </c>
      <c r="C211" s="27" t="s">
        <v>1215</v>
      </c>
      <c r="D211" s="27">
        <v>2022</v>
      </c>
      <c r="E211" s="27" t="s">
        <v>48</v>
      </c>
      <c r="F211" s="27" t="s">
        <v>15</v>
      </c>
      <c r="G211" s="27"/>
      <c r="H211" s="27"/>
      <c r="I211" s="28" t="str">
        <f t="shared" si="6"/>
        <v/>
      </c>
      <c r="J211" s="27"/>
      <c r="K211" s="28" t="str">
        <f t="shared" si="7"/>
        <v/>
      </c>
      <c r="L211" s="27"/>
      <c r="M211" s="27"/>
      <c r="N211" s="27"/>
      <c r="O211" s="27"/>
      <c r="P211" s="27" t="s">
        <v>1216</v>
      </c>
      <c r="Q211" s="27" t="s">
        <v>1217</v>
      </c>
    </row>
    <row r="212" spans="1:17" ht="15" customHeight="1" x14ac:dyDescent="0.3">
      <c r="A212" s="27" t="s">
        <v>1218</v>
      </c>
      <c r="B212" s="27" t="s">
        <v>1219</v>
      </c>
      <c r="C212" s="27" t="s">
        <v>1220</v>
      </c>
      <c r="D212" s="27">
        <v>2023</v>
      </c>
      <c r="E212" s="27" t="s">
        <v>48</v>
      </c>
      <c r="F212" s="27" t="s">
        <v>11</v>
      </c>
      <c r="G212" s="27"/>
      <c r="H212" s="27"/>
      <c r="I212" s="28" t="str">
        <f t="shared" si="6"/>
        <v/>
      </c>
      <c r="J212" s="27"/>
      <c r="K212" s="28" t="str">
        <f t="shared" si="7"/>
        <v/>
      </c>
      <c r="L212" s="27"/>
      <c r="M212" s="27"/>
      <c r="N212" s="27"/>
      <c r="O212" s="27"/>
      <c r="P212" s="27" t="s">
        <v>1221</v>
      </c>
      <c r="Q212" s="27" t="s">
        <v>1222</v>
      </c>
    </row>
    <row r="213" spans="1:17" ht="15" customHeight="1" x14ac:dyDescent="0.3">
      <c r="A213" s="27" t="s">
        <v>1223</v>
      </c>
      <c r="B213" s="27" t="s">
        <v>1224</v>
      </c>
      <c r="C213" s="27" t="s">
        <v>1225</v>
      </c>
      <c r="D213" s="27">
        <v>2023</v>
      </c>
      <c r="E213" s="27" t="s">
        <v>48</v>
      </c>
      <c r="F213" s="27" t="s">
        <v>13</v>
      </c>
      <c r="G213" s="27"/>
      <c r="H213" s="27"/>
      <c r="I213" s="28" t="str">
        <f t="shared" si="6"/>
        <v/>
      </c>
      <c r="J213" s="27"/>
      <c r="K213" s="28" t="str">
        <f t="shared" si="7"/>
        <v/>
      </c>
      <c r="L213" s="27"/>
      <c r="M213" s="27"/>
      <c r="N213" s="27"/>
      <c r="O213" s="27"/>
      <c r="P213" s="27" t="s">
        <v>1226</v>
      </c>
      <c r="Q213" s="27" t="s">
        <v>1227</v>
      </c>
    </row>
    <row r="214" spans="1:17" ht="15" customHeight="1" x14ac:dyDescent="0.3">
      <c r="A214" s="27" t="s">
        <v>1228</v>
      </c>
      <c r="B214" s="27" t="s">
        <v>1229</v>
      </c>
      <c r="C214" s="27" t="s">
        <v>1230</v>
      </c>
      <c r="D214" s="27">
        <v>2017</v>
      </c>
      <c r="E214" s="27" t="s">
        <v>48</v>
      </c>
      <c r="F214" s="27" t="s">
        <v>15</v>
      </c>
      <c r="G214" s="27"/>
      <c r="H214" s="27"/>
      <c r="I214" s="28" t="str">
        <f t="shared" si="6"/>
        <v/>
      </c>
      <c r="J214" s="27"/>
      <c r="K214" s="28" t="str">
        <f t="shared" si="7"/>
        <v/>
      </c>
      <c r="L214" s="27"/>
      <c r="M214" s="27"/>
      <c r="N214" s="27"/>
      <c r="O214" s="27"/>
      <c r="P214" s="27" t="s">
        <v>1231</v>
      </c>
      <c r="Q214" s="27" t="s">
        <v>1232</v>
      </c>
    </row>
    <row r="215" spans="1:17" ht="15" customHeight="1" x14ac:dyDescent="0.3">
      <c r="A215" s="27" t="s">
        <v>1233</v>
      </c>
      <c r="B215" s="27" t="s">
        <v>1234</v>
      </c>
      <c r="C215" s="27" t="s">
        <v>1235</v>
      </c>
      <c r="D215" s="27">
        <v>2026</v>
      </c>
      <c r="E215" s="27" t="s">
        <v>48</v>
      </c>
      <c r="F215" s="27" t="s">
        <v>11</v>
      </c>
      <c r="G215" s="27"/>
      <c r="H215" s="27"/>
      <c r="I215" s="28" t="str">
        <f t="shared" si="6"/>
        <v/>
      </c>
      <c r="J215" s="27"/>
      <c r="K215" s="28" t="str">
        <f t="shared" si="7"/>
        <v/>
      </c>
      <c r="L215" s="27"/>
      <c r="M215" s="27"/>
      <c r="N215" s="27"/>
      <c r="O215" s="27"/>
      <c r="P215" s="27" t="s">
        <v>1236</v>
      </c>
      <c r="Q215" s="27" t="s">
        <v>1237</v>
      </c>
    </row>
    <row r="216" spans="1:17" ht="15" customHeight="1" x14ac:dyDescent="0.3">
      <c r="A216" s="27" t="s">
        <v>1238</v>
      </c>
      <c r="B216" s="27" t="s">
        <v>1239</v>
      </c>
      <c r="C216" s="27" t="s">
        <v>1240</v>
      </c>
      <c r="D216" s="27">
        <v>2023</v>
      </c>
      <c r="E216" s="27" t="s">
        <v>48</v>
      </c>
      <c r="F216" s="27" t="s">
        <v>13</v>
      </c>
      <c r="G216" s="27"/>
      <c r="H216" s="27"/>
      <c r="I216" s="28" t="str">
        <f t="shared" si="6"/>
        <v/>
      </c>
      <c r="J216" s="27"/>
      <c r="K216" s="28" t="str">
        <f t="shared" si="7"/>
        <v/>
      </c>
      <c r="L216" s="27"/>
      <c r="M216" s="27"/>
      <c r="N216" s="27"/>
      <c r="O216" s="27"/>
      <c r="P216" s="27" t="s">
        <v>1241</v>
      </c>
      <c r="Q216" s="27" t="s">
        <v>1242</v>
      </c>
    </row>
    <row r="217" spans="1:17" ht="15" customHeight="1" x14ac:dyDescent="0.3">
      <c r="A217" s="27" t="s">
        <v>1243</v>
      </c>
      <c r="B217" s="27" t="s">
        <v>1244</v>
      </c>
      <c r="C217" s="27" t="s">
        <v>1245</v>
      </c>
      <c r="D217" s="27">
        <v>2025</v>
      </c>
      <c r="E217" s="27" t="s">
        <v>48</v>
      </c>
      <c r="F217" s="27" t="s">
        <v>15</v>
      </c>
      <c r="G217" s="27"/>
      <c r="H217" s="27"/>
      <c r="I217" s="28" t="str">
        <f t="shared" si="6"/>
        <v/>
      </c>
      <c r="J217" s="27"/>
      <c r="K217" s="28" t="str">
        <f t="shared" si="7"/>
        <v/>
      </c>
      <c r="L217" s="27"/>
      <c r="M217" s="27"/>
      <c r="N217" s="27"/>
      <c r="O217" s="27"/>
      <c r="P217" s="27" t="s">
        <v>1246</v>
      </c>
      <c r="Q217" s="27" t="s">
        <v>1247</v>
      </c>
    </row>
    <row r="218" spans="1:17" ht="15" customHeight="1" x14ac:dyDescent="0.3">
      <c r="A218" s="27" t="s">
        <v>1248</v>
      </c>
      <c r="B218" s="27" t="s">
        <v>1249</v>
      </c>
      <c r="C218" s="27" t="s">
        <v>1250</v>
      </c>
      <c r="D218" s="27">
        <v>2020</v>
      </c>
      <c r="E218" s="27" t="s">
        <v>48</v>
      </c>
      <c r="F218" s="27" t="s">
        <v>11</v>
      </c>
      <c r="G218" s="27"/>
      <c r="H218" s="27"/>
      <c r="I218" s="28" t="str">
        <f t="shared" si="6"/>
        <v/>
      </c>
      <c r="J218" s="27"/>
      <c r="K218" s="28" t="str">
        <f t="shared" si="7"/>
        <v/>
      </c>
      <c r="L218" s="27"/>
      <c r="M218" s="27"/>
      <c r="N218" s="27"/>
      <c r="O218" s="27"/>
      <c r="P218" s="27" t="s">
        <v>1251</v>
      </c>
      <c r="Q218" s="27" t="s">
        <v>1252</v>
      </c>
    </row>
    <row r="219" spans="1:17" ht="15" customHeight="1" x14ac:dyDescent="0.3">
      <c r="A219" s="27" t="s">
        <v>1253</v>
      </c>
      <c r="B219" s="27" t="s">
        <v>1254</v>
      </c>
      <c r="C219" s="27" t="s">
        <v>192</v>
      </c>
      <c r="D219" s="27">
        <v>2018</v>
      </c>
      <c r="E219" s="27" t="s">
        <v>48</v>
      </c>
      <c r="F219" s="27" t="s">
        <v>13</v>
      </c>
      <c r="G219" s="27"/>
      <c r="H219" s="27"/>
      <c r="I219" s="28" t="str">
        <f t="shared" si="6"/>
        <v/>
      </c>
      <c r="J219" s="27"/>
      <c r="K219" s="28" t="str">
        <f t="shared" si="7"/>
        <v/>
      </c>
      <c r="L219" s="27"/>
      <c r="M219" s="27"/>
      <c r="N219" s="27"/>
      <c r="O219" s="27"/>
      <c r="P219" s="27" t="s">
        <v>1255</v>
      </c>
      <c r="Q219" s="27" t="s">
        <v>1256</v>
      </c>
    </row>
    <row r="220" spans="1:17" ht="15" customHeight="1" x14ac:dyDescent="0.3">
      <c r="A220" s="27" t="s">
        <v>1257</v>
      </c>
      <c r="B220" s="27" t="s">
        <v>1258</v>
      </c>
      <c r="C220" s="27" t="s">
        <v>1259</v>
      </c>
      <c r="D220" s="27">
        <v>2025</v>
      </c>
      <c r="E220" s="27" t="s">
        <v>48</v>
      </c>
      <c r="F220" s="27" t="s">
        <v>15</v>
      </c>
      <c r="G220" s="27"/>
      <c r="H220" s="27"/>
      <c r="I220" s="28" t="str">
        <f t="shared" si="6"/>
        <v/>
      </c>
      <c r="J220" s="27"/>
      <c r="K220" s="28" t="str">
        <f t="shared" si="7"/>
        <v/>
      </c>
      <c r="L220" s="27"/>
      <c r="M220" s="27"/>
      <c r="N220" s="27"/>
      <c r="O220" s="27"/>
      <c r="P220" s="27" t="s">
        <v>1260</v>
      </c>
      <c r="Q220" s="27" t="s">
        <v>1261</v>
      </c>
    </row>
    <row r="221" spans="1:17" ht="15" customHeight="1" x14ac:dyDescent="0.3">
      <c r="A221" s="27" t="s">
        <v>1262</v>
      </c>
      <c r="B221" s="27" t="s">
        <v>1263</v>
      </c>
      <c r="C221" s="27" t="s">
        <v>1264</v>
      </c>
      <c r="D221" s="27">
        <v>2025</v>
      </c>
      <c r="E221" s="27" t="s">
        <v>48</v>
      </c>
      <c r="F221" s="27" t="s">
        <v>11</v>
      </c>
      <c r="G221" s="27"/>
      <c r="H221" s="27"/>
      <c r="I221" s="28" t="str">
        <f t="shared" si="6"/>
        <v/>
      </c>
      <c r="J221" s="27"/>
      <c r="K221" s="28" t="str">
        <f t="shared" si="7"/>
        <v/>
      </c>
      <c r="L221" s="27"/>
      <c r="M221" s="27"/>
      <c r="N221" s="27"/>
      <c r="O221" s="27"/>
      <c r="P221" s="27" t="s">
        <v>1265</v>
      </c>
      <c r="Q221" s="27" t="s">
        <v>1266</v>
      </c>
    </row>
    <row r="222" spans="1:17" ht="15" customHeight="1" x14ac:dyDescent="0.3">
      <c r="A222" s="27" t="s">
        <v>1267</v>
      </c>
      <c r="B222" s="27" t="s">
        <v>1268</v>
      </c>
      <c r="C222" s="27" t="s">
        <v>1269</v>
      </c>
      <c r="D222" s="27">
        <v>2021</v>
      </c>
      <c r="E222" s="27" t="s">
        <v>48</v>
      </c>
      <c r="F222" s="27" t="s">
        <v>13</v>
      </c>
      <c r="G222" s="27"/>
      <c r="H222" s="27"/>
      <c r="I222" s="28" t="str">
        <f t="shared" si="6"/>
        <v/>
      </c>
      <c r="J222" s="27"/>
      <c r="K222" s="28" t="str">
        <f t="shared" si="7"/>
        <v/>
      </c>
      <c r="L222" s="27"/>
      <c r="M222" s="27"/>
      <c r="N222" s="27"/>
      <c r="O222" s="27"/>
      <c r="P222" s="27" t="s">
        <v>1270</v>
      </c>
      <c r="Q222" s="27" t="s">
        <v>1271</v>
      </c>
    </row>
    <row r="223" spans="1:17" ht="15" customHeight="1" x14ac:dyDescent="0.3">
      <c r="A223" s="27" t="s">
        <v>1272</v>
      </c>
      <c r="B223" s="27" t="s">
        <v>1273</v>
      </c>
      <c r="C223" s="27" t="s">
        <v>1274</v>
      </c>
      <c r="D223" s="27">
        <v>2026</v>
      </c>
      <c r="E223" s="27" t="s">
        <v>48</v>
      </c>
      <c r="F223" s="27" t="s">
        <v>15</v>
      </c>
      <c r="G223" s="27"/>
      <c r="H223" s="27"/>
      <c r="I223" s="28" t="str">
        <f t="shared" si="6"/>
        <v/>
      </c>
      <c r="J223" s="27"/>
      <c r="K223" s="28" t="str">
        <f t="shared" si="7"/>
        <v/>
      </c>
      <c r="L223" s="27"/>
      <c r="M223" s="27"/>
      <c r="N223" s="27"/>
      <c r="O223" s="27"/>
      <c r="P223" s="27" t="s">
        <v>1275</v>
      </c>
      <c r="Q223" s="27" t="s">
        <v>1276</v>
      </c>
    </row>
    <row r="224" spans="1:17" ht="15" customHeight="1" x14ac:dyDescent="0.3">
      <c r="A224" s="27" t="s">
        <v>1277</v>
      </c>
      <c r="B224" s="27" t="s">
        <v>1278</v>
      </c>
      <c r="C224" s="27" t="s">
        <v>1279</v>
      </c>
      <c r="D224" s="27">
        <v>2025</v>
      </c>
      <c r="E224" s="27" t="s">
        <v>48</v>
      </c>
      <c r="F224" s="27" t="s">
        <v>11</v>
      </c>
      <c r="G224" s="27"/>
      <c r="H224" s="27"/>
      <c r="I224" s="28" t="str">
        <f t="shared" si="6"/>
        <v/>
      </c>
      <c r="J224" s="27"/>
      <c r="K224" s="28" t="str">
        <f t="shared" si="7"/>
        <v/>
      </c>
      <c r="L224" s="27"/>
      <c r="M224" s="27"/>
      <c r="N224" s="27"/>
      <c r="O224" s="27"/>
      <c r="P224" s="27" t="s">
        <v>1280</v>
      </c>
      <c r="Q224" s="27" t="s">
        <v>1281</v>
      </c>
    </row>
    <row r="225" spans="1:17" ht="15" customHeight="1" x14ac:dyDescent="0.3">
      <c r="A225" s="27" t="s">
        <v>1282</v>
      </c>
      <c r="B225" s="27" t="s">
        <v>1283</v>
      </c>
      <c r="C225" s="27" t="s">
        <v>1284</v>
      </c>
      <c r="D225" s="27">
        <v>2025</v>
      </c>
      <c r="E225" s="27" t="s">
        <v>48</v>
      </c>
      <c r="F225" s="27" t="s">
        <v>13</v>
      </c>
      <c r="G225" s="27"/>
      <c r="H225" s="27"/>
      <c r="I225" s="28" t="str">
        <f t="shared" si="6"/>
        <v/>
      </c>
      <c r="J225" s="27"/>
      <c r="K225" s="28" t="str">
        <f t="shared" si="7"/>
        <v/>
      </c>
      <c r="L225" s="27"/>
      <c r="M225" s="27"/>
      <c r="N225" s="27"/>
      <c r="O225" s="27"/>
      <c r="P225" s="27" t="s">
        <v>1285</v>
      </c>
      <c r="Q225" s="27" t="s">
        <v>1286</v>
      </c>
    </row>
    <row r="226" spans="1:17" ht="15" customHeight="1" x14ac:dyDescent="0.3">
      <c r="A226" s="27" t="s">
        <v>1287</v>
      </c>
      <c r="B226" s="27" t="s">
        <v>1288</v>
      </c>
      <c r="C226" s="27" t="s">
        <v>1289</v>
      </c>
      <c r="D226" s="27">
        <v>2022</v>
      </c>
      <c r="E226" s="27" t="s">
        <v>48</v>
      </c>
      <c r="F226" s="27" t="s">
        <v>15</v>
      </c>
      <c r="G226" s="27"/>
      <c r="H226" s="27"/>
      <c r="I226" s="28" t="str">
        <f t="shared" si="6"/>
        <v/>
      </c>
      <c r="J226" s="27"/>
      <c r="K226" s="28" t="str">
        <f t="shared" si="7"/>
        <v/>
      </c>
      <c r="L226" s="27"/>
      <c r="M226" s="27"/>
      <c r="N226" s="27"/>
      <c r="O226" s="27"/>
      <c r="P226" s="27" t="s">
        <v>1290</v>
      </c>
      <c r="Q226" s="27" t="s">
        <v>1291</v>
      </c>
    </row>
    <row r="227" spans="1:17" ht="15" customHeight="1" x14ac:dyDescent="0.3">
      <c r="A227" s="27" t="s">
        <v>1292</v>
      </c>
      <c r="B227" s="27" t="s">
        <v>1293</v>
      </c>
      <c r="C227" s="27" t="s">
        <v>1294</v>
      </c>
      <c r="D227" s="27">
        <v>2026</v>
      </c>
      <c r="E227" s="27" t="s">
        <v>48</v>
      </c>
      <c r="F227" s="27" t="s">
        <v>11</v>
      </c>
      <c r="G227" s="27"/>
      <c r="H227" s="27"/>
      <c r="I227" s="28" t="str">
        <f t="shared" si="6"/>
        <v/>
      </c>
      <c r="J227" s="27"/>
      <c r="K227" s="28" t="str">
        <f t="shared" si="7"/>
        <v/>
      </c>
      <c r="L227" s="27"/>
      <c r="M227" s="27"/>
      <c r="N227" s="27"/>
      <c r="O227" s="27"/>
      <c r="P227" s="27" t="s">
        <v>1295</v>
      </c>
      <c r="Q227" s="27" t="s">
        <v>1296</v>
      </c>
    </row>
    <row r="228" spans="1:17" ht="15" customHeight="1" x14ac:dyDescent="0.3">
      <c r="A228" s="27" t="s">
        <v>1297</v>
      </c>
      <c r="B228" s="27" t="s">
        <v>1298</v>
      </c>
      <c r="C228" s="27" t="s">
        <v>1299</v>
      </c>
      <c r="D228" s="27">
        <v>2025</v>
      </c>
      <c r="E228" s="27" t="s">
        <v>48</v>
      </c>
      <c r="F228" s="27" t="s">
        <v>13</v>
      </c>
      <c r="G228" s="27"/>
      <c r="H228" s="27"/>
      <c r="I228" s="28" t="str">
        <f t="shared" si="6"/>
        <v/>
      </c>
      <c r="J228" s="27"/>
      <c r="K228" s="28" t="str">
        <f t="shared" si="7"/>
        <v/>
      </c>
      <c r="L228" s="27"/>
      <c r="M228" s="27"/>
      <c r="N228" s="27"/>
      <c r="O228" s="27"/>
      <c r="P228" s="27" t="s">
        <v>1300</v>
      </c>
      <c r="Q228" s="27" t="s">
        <v>1301</v>
      </c>
    </row>
    <row r="229" spans="1:17" ht="15" customHeight="1" x14ac:dyDescent="0.3">
      <c r="A229" s="27" t="s">
        <v>1302</v>
      </c>
      <c r="B229" s="27" t="s">
        <v>1303</v>
      </c>
      <c r="C229" s="27" t="s">
        <v>1304</v>
      </c>
      <c r="D229" s="27">
        <v>2022</v>
      </c>
      <c r="E229" s="27" t="s">
        <v>48</v>
      </c>
      <c r="F229" s="27" t="s">
        <v>15</v>
      </c>
      <c r="G229" s="27"/>
      <c r="H229" s="27"/>
      <c r="I229" s="28" t="str">
        <f t="shared" si="6"/>
        <v/>
      </c>
      <c r="J229" s="27"/>
      <c r="K229" s="28" t="str">
        <f t="shared" si="7"/>
        <v/>
      </c>
      <c r="L229" s="27"/>
      <c r="M229" s="27"/>
      <c r="N229" s="27"/>
      <c r="O229" s="27"/>
      <c r="P229" s="27" t="s">
        <v>1305</v>
      </c>
      <c r="Q229" s="27" t="s">
        <v>1306</v>
      </c>
    </row>
    <row r="230" spans="1:17" ht="15" customHeight="1" x14ac:dyDescent="0.3">
      <c r="A230" s="27" t="s">
        <v>1307</v>
      </c>
      <c r="B230" s="27" t="s">
        <v>1308</v>
      </c>
      <c r="C230" s="27" t="s">
        <v>1309</v>
      </c>
      <c r="D230" s="27">
        <v>2025</v>
      </c>
      <c r="E230" s="27" t="s">
        <v>48</v>
      </c>
      <c r="F230" s="27" t="s">
        <v>11</v>
      </c>
      <c r="G230" s="27"/>
      <c r="H230" s="27"/>
      <c r="I230" s="28" t="str">
        <f t="shared" si="6"/>
        <v/>
      </c>
      <c r="J230" s="27"/>
      <c r="K230" s="28" t="str">
        <f t="shared" si="7"/>
        <v/>
      </c>
      <c r="L230" s="27"/>
      <c r="M230" s="27"/>
      <c r="N230" s="27"/>
      <c r="O230" s="27"/>
      <c r="P230" s="27" t="s">
        <v>1310</v>
      </c>
      <c r="Q230" s="27" t="s">
        <v>1311</v>
      </c>
    </row>
    <row r="231" spans="1:17" ht="15" customHeight="1" x14ac:dyDescent="0.3">
      <c r="A231" s="27" t="s">
        <v>1312</v>
      </c>
      <c r="B231" s="27" t="s">
        <v>1313</v>
      </c>
      <c r="C231" s="27" t="s">
        <v>1314</v>
      </c>
      <c r="D231" s="27">
        <v>2026</v>
      </c>
      <c r="E231" s="27" t="s">
        <v>48</v>
      </c>
      <c r="F231" s="27" t="s">
        <v>13</v>
      </c>
      <c r="G231" s="27"/>
      <c r="H231" s="27"/>
      <c r="I231" s="28" t="str">
        <f t="shared" si="6"/>
        <v/>
      </c>
      <c r="J231" s="27"/>
      <c r="K231" s="28" t="str">
        <f t="shared" si="7"/>
        <v/>
      </c>
      <c r="L231" s="27"/>
      <c r="M231" s="27"/>
      <c r="N231" s="27"/>
      <c r="O231" s="27"/>
      <c r="P231" s="27" t="s">
        <v>1315</v>
      </c>
      <c r="Q231" s="27" t="s">
        <v>1316</v>
      </c>
    </row>
    <row r="232" spans="1:17" ht="15" customHeight="1" x14ac:dyDescent="0.3">
      <c r="A232" s="27" t="s">
        <v>1317</v>
      </c>
      <c r="B232" s="27" t="s">
        <v>1318</v>
      </c>
      <c r="C232" s="27" t="s">
        <v>1319</v>
      </c>
      <c r="D232" s="27">
        <v>2019</v>
      </c>
      <c r="E232" s="27" t="s">
        <v>48</v>
      </c>
      <c r="F232" s="27" t="s">
        <v>15</v>
      </c>
      <c r="G232" s="27"/>
      <c r="H232" s="27"/>
      <c r="I232" s="28" t="str">
        <f t="shared" si="6"/>
        <v/>
      </c>
      <c r="J232" s="27"/>
      <c r="K232" s="28" t="str">
        <f t="shared" si="7"/>
        <v/>
      </c>
      <c r="L232" s="27"/>
      <c r="M232" s="27"/>
      <c r="N232" s="27"/>
      <c r="O232" s="27"/>
      <c r="P232" s="27" t="s">
        <v>1320</v>
      </c>
      <c r="Q232" s="27" t="s">
        <v>1321</v>
      </c>
    </row>
    <row r="233" spans="1:17" ht="15" customHeight="1" x14ac:dyDescent="0.3">
      <c r="A233" s="27" t="s">
        <v>1322</v>
      </c>
      <c r="B233" s="27" t="s">
        <v>1323</v>
      </c>
      <c r="C233" s="27" t="s">
        <v>1324</v>
      </c>
      <c r="D233" s="27">
        <v>2026</v>
      </c>
      <c r="E233" s="27" t="s">
        <v>48</v>
      </c>
      <c r="F233" s="27" t="s">
        <v>11</v>
      </c>
      <c r="G233" s="27"/>
      <c r="H233" s="27"/>
      <c r="I233" s="28" t="str">
        <f t="shared" si="6"/>
        <v/>
      </c>
      <c r="J233" s="27"/>
      <c r="K233" s="28" t="str">
        <f t="shared" si="7"/>
        <v/>
      </c>
      <c r="L233" s="27"/>
      <c r="M233" s="27"/>
      <c r="N233" s="27"/>
      <c r="O233" s="27"/>
      <c r="P233" s="27" t="s">
        <v>1325</v>
      </c>
      <c r="Q233" s="27" t="s">
        <v>1326</v>
      </c>
    </row>
    <row r="234" spans="1:17" ht="15" customHeight="1" x14ac:dyDescent="0.3">
      <c r="A234" s="27" t="s">
        <v>1327</v>
      </c>
      <c r="B234" s="27" t="s">
        <v>1328</v>
      </c>
      <c r="C234" s="27" t="s">
        <v>1329</v>
      </c>
      <c r="D234" s="27">
        <v>2022</v>
      </c>
      <c r="E234" s="27" t="s">
        <v>48</v>
      </c>
      <c r="F234" s="27" t="s">
        <v>13</v>
      </c>
      <c r="G234" s="27"/>
      <c r="H234" s="27"/>
      <c r="I234" s="28" t="str">
        <f t="shared" si="6"/>
        <v/>
      </c>
      <c r="J234" s="27"/>
      <c r="K234" s="28" t="str">
        <f t="shared" si="7"/>
        <v/>
      </c>
      <c r="L234" s="27"/>
      <c r="M234" s="27"/>
      <c r="N234" s="27"/>
      <c r="O234" s="27"/>
      <c r="P234" s="27" t="s">
        <v>1330</v>
      </c>
      <c r="Q234" s="27" t="s">
        <v>1331</v>
      </c>
    </row>
    <row r="235" spans="1:17" ht="15" customHeight="1" x14ac:dyDescent="0.3">
      <c r="A235" s="27" t="s">
        <v>1332</v>
      </c>
      <c r="B235" s="27" t="s">
        <v>1333</v>
      </c>
      <c r="C235" s="27" t="s">
        <v>1334</v>
      </c>
      <c r="D235" s="27">
        <v>2025</v>
      </c>
      <c r="E235" s="27" t="s">
        <v>48</v>
      </c>
      <c r="F235" s="27" t="s">
        <v>15</v>
      </c>
      <c r="G235" s="27"/>
      <c r="H235" s="27"/>
      <c r="I235" s="28" t="str">
        <f t="shared" si="6"/>
        <v/>
      </c>
      <c r="J235" s="27"/>
      <c r="K235" s="28" t="str">
        <f t="shared" si="7"/>
        <v/>
      </c>
      <c r="L235" s="27"/>
      <c r="M235" s="27"/>
      <c r="N235" s="27"/>
      <c r="O235" s="27"/>
      <c r="P235" s="27" t="s">
        <v>1335</v>
      </c>
      <c r="Q235" s="27" t="s">
        <v>1336</v>
      </c>
    </row>
    <row r="236" spans="1:17" ht="15" customHeight="1" x14ac:dyDescent="0.3">
      <c r="A236" s="27" t="s">
        <v>1337</v>
      </c>
      <c r="B236" s="27" t="s">
        <v>1338</v>
      </c>
      <c r="C236" s="27" t="s">
        <v>1339</v>
      </c>
      <c r="D236" s="27">
        <v>2024</v>
      </c>
      <c r="E236" s="27" t="s">
        <v>48</v>
      </c>
      <c r="F236" s="27" t="s">
        <v>11</v>
      </c>
      <c r="G236" s="27"/>
      <c r="H236" s="27"/>
      <c r="I236" s="28" t="str">
        <f t="shared" si="6"/>
        <v/>
      </c>
      <c r="J236" s="27"/>
      <c r="K236" s="28" t="str">
        <f t="shared" si="7"/>
        <v/>
      </c>
      <c r="L236" s="27"/>
      <c r="M236" s="27"/>
      <c r="N236" s="27"/>
      <c r="O236" s="27"/>
      <c r="P236" s="27" t="s">
        <v>1340</v>
      </c>
      <c r="Q236" s="27" t="s">
        <v>1341</v>
      </c>
    </row>
    <row r="237" spans="1:17" ht="15" customHeight="1" x14ac:dyDescent="0.3">
      <c r="A237" s="27" t="s">
        <v>1342</v>
      </c>
      <c r="B237" s="27" t="s">
        <v>1343</v>
      </c>
      <c r="C237" s="27" t="s">
        <v>1344</v>
      </c>
      <c r="D237" s="27">
        <v>2024</v>
      </c>
      <c r="E237" s="27" t="s">
        <v>48</v>
      </c>
      <c r="F237" s="27" t="s">
        <v>13</v>
      </c>
      <c r="G237" s="27"/>
      <c r="H237" s="27"/>
      <c r="I237" s="28" t="str">
        <f t="shared" si="6"/>
        <v/>
      </c>
      <c r="J237" s="27"/>
      <c r="K237" s="28" t="str">
        <f t="shared" si="7"/>
        <v/>
      </c>
      <c r="L237" s="27"/>
      <c r="M237" s="27"/>
      <c r="N237" s="27"/>
      <c r="O237" s="27"/>
      <c r="P237" s="27" t="s">
        <v>1345</v>
      </c>
      <c r="Q237" s="27" t="s">
        <v>1346</v>
      </c>
    </row>
    <row r="238" spans="1:17" ht="15" customHeight="1" x14ac:dyDescent="0.3">
      <c r="A238" s="27" t="s">
        <v>1347</v>
      </c>
      <c r="B238" s="27" t="s">
        <v>1348</v>
      </c>
      <c r="C238" s="27" t="s">
        <v>1349</v>
      </c>
      <c r="D238" s="27">
        <v>2026</v>
      </c>
      <c r="E238" s="27" t="s">
        <v>48</v>
      </c>
      <c r="F238" s="27" t="s">
        <v>15</v>
      </c>
      <c r="G238" s="27"/>
      <c r="H238" s="27"/>
      <c r="I238" s="28" t="str">
        <f t="shared" si="6"/>
        <v/>
      </c>
      <c r="J238" s="27"/>
      <c r="K238" s="28" t="str">
        <f t="shared" si="7"/>
        <v/>
      </c>
      <c r="L238" s="27"/>
      <c r="M238" s="27"/>
      <c r="N238" s="27"/>
      <c r="O238" s="27"/>
      <c r="P238" s="27" t="s">
        <v>1350</v>
      </c>
      <c r="Q238" s="27" t="s">
        <v>1351</v>
      </c>
    </row>
    <row r="239" spans="1:17" ht="15" customHeight="1" x14ac:dyDescent="0.3">
      <c r="A239" s="27" t="s">
        <v>1352</v>
      </c>
      <c r="B239" s="27" t="s">
        <v>1353</v>
      </c>
      <c r="C239" s="27" t="s">
        <v>1354</v>
      </c>
      <c r="D239" s="27">
        <v>2025</v>
      </c>
      <c r="E239" s="27" t="s">
        <v>48</v>
      </c>
      <c r="F239" s="27" t="s">
        <v>11</v>
      </c>
      <c r="G239" s="27"/>
      <c r="H239" s="27"/>
      <c r="I239" s="28" t="str">
        <f t="shared" si="6"/>
        <v/>
      </c>
      <c r="J239" s="27"/>
      <c r="K239" s="28" t="str">
        <f t="shared" si="7"/>
        <v/>
      </c>
      <c r="L239" s="27"/>
      <c r="M239" s="27"/>
      <c r="N239" s="27"/>
      <c r="O239" s="27"/>
      <c r="P239" s="27" t="s">
        <v>1355</v>
      </c>
      <c r="Q239" s="27" t="s">
        <v>1356</v>
      </c>
    </row>
    <row r="240" spans="1:17" ht="15" customHeight="1" x14ac:dyDescent="0.3">
      <c r="A240" s="27" t="s">
        <v>1357</v>
      </c>
      <c r="B240" s="27" t="s">
        <v>1358</v>
      </c>
      <c r="C240" s="27" t="s">
        <v>1359</v>
      </c>
      <c r="D240" s="27">
        <v>2025</v>
      </c>
      <c r="E240" s="27" t="s">
        <v>48</v>
      </c>
      <c r="F240" s="27" t="s">
        <v>13</v>
      </c>
      <c r="G240" s="27"/>
      <c r="H240" s="27"/>
      <c r="I240" s="28" t="str">
        <f t="shared" si="6"/>
        <v/>
      </c>
      <c r="J240" s="27"/>
      <c r="K240" s="28" t="str">
        <f t="shared" si="7"/>
        <v/>
      </c>
      <c r="L240" s="27"/>
      <c r="M240" s="27"/>
      <c r="N240" s="27"/>
      <c r="O240" s="27"/>
      <c r="P240" s="27" t="s">
        <v>1360</v>
      </c>
      <c r="Q240" s="27" t="s">
        <v>1361</v>
      </c>
    </row>
    <row r="241" spans="1:17" ht="15" customHeight="1" x14ac:dyDescent="0.3">
      <c r="A241" s="27" t="s">
        <v>1362</v>
      </c>
      <c r="B241" s="27" t="s">
        <v>1363</v>
      </c>
      <c r="C241" s="27" t="s">
        <v>1364</v>
      </c>
      <c r="D241" s="27">
        <v>2026</v>
      </c>
      <c r="E241" s="27" t="s">
        <v>48</v>
      </c>
      <c r="F241" s="27" t="s">
        <v>15</v>
      </c>
      <c r="G241" s="27"/>
      <c r="H241" s="27"/>
      <c r="I241" s="28" t="str">
        <f t="shared" si="6"/>
        <v/>
      </c>
      <c r="J241" s="27"/>
      <c r="K241" s="28" t="str">
        <f t="shared" si="7"/>
        <v/>
      </c>
      <c r="L241" s="27"/>
      <c r="M241" s="27"/>
      <c r="N241" s="27"/>
      <c r="O241" s="27"/>
      <c r="P241" s="27" t="s">
        <v>1365</v>
      </c>
      <c r="Q241" s="27" t="s">
        <v>1366</v>
      </c>
    </row>
    <row r="242" spans="1:17" ht="15" customHeight="1" x14ac:dyDescent="0.3">
      <c r="A242" s="27" t="s">
        <v>1367</v>
      </c>
      <c r="B242" s="27" t="s">
        <v>1368</v>
      </c>
      <c r="C242" s="27" t="s">
        <v>1369</v>
      </c>
      <c r="D242" s="27">
        <v>2026</v>
      </c>
      <c r="E242" s="27" t="s">
        <v>48</v>
      </c>
      <c r="F242" s="27" t="s">
        <v>11</v>
      </c>
      <c r="G242" s="27"/>
      <c r="H242" s="27"/>
      <c r="I242" s="28" t="str">
        <f t="shared" si="6"/>
        <v/>
      </c>
      <c r="J242" s="27"/>
      <c r="K242" s="28" t="str">
        <f t="shared" si="7"/>
        <v/>
      </c>
      <c r="L242" s="27"/>
      <c r="M242" s="27"/>
      <c r="N242" s="27"/>
      <c r="O242" s="27"/>
      <c r="P242" s="27" t="s">
        <v>1370</v>
      </c>
      <c r="Q242" s="27" t="s">
        <v>1371</v>
      </c>
    </row>
    <row r="243" spans="1:17" ht="15" customHeight="1" x14ac:dyDescent="0.3">
      <c r="A243" s="27" t="s">
        <v>1372</v>
      </c>
      <c r="B243" s="27" t="s">
        <v>1373</v>
      </c>
      <c r="C243" s="27" t="s">
        <v>1374</v>
      </c>
      <c r="D243" s="27">
        <v>2022</v>
      </c>
      <c r="E243" s="27" t="s">
        <v>48</v>
      </c>
      <c r="F243" s="27" t="s">
        <v>13</v>
      </c>
      <c r="G243" s="27"/>
      <c r="H243" s="27"/>
      <c r="I243" s="28" t="str">
        <f t="shared" si="6"/>
        <v/>
      </c>
      <c r="J243" s="27"/>
      <c r="K243" s="28" t="str">
        <f t="shared" si="7"/>
        <v/>
      </c>
      <c r="L243" s="27"/>
      <c r="M243" s="27"/>
      <c r="N243" s="27"/>
      <c r="O243" s="27"/>
      <c r="P243" s="27" t="s">
        <v>1375</v>
      </c>
      <c r="Q243" s="27" t="s">
        <v>1376</v>
      </c>
    </row>
    <row r="244" spans="1:17" ht="15" customHeight="1" x14ac:dyDescent="0.3">
      <c r="A244" s="27" t="s">
        <v>1377</v>
      </c>
      <c r="B244" s="27" t="s">
        <v>1378</v>
      </c>
      <c r="C244" s="27" t="s">
        <v>441</v>
      </c>
      <c r="D244" s="27">
        <v>2025</v>
      </c>
      <c r="E244" s="27" t="s">
        <v>48</v>
      </c>
      <c r="F244" s="27" t="s">
        <v>15</v>
      </c>
      <c r="G244" s="27"/>
      <c r="H244" s="27"/>
      <c r="I244" s="28" t="str">
        <f t="shared" si="6"/>
        <v/>
      </c>
      <c r="J244" s="27"/>
      <c r="K244" s="28" t="str">
        <f t="shared" si="7"/>
        <v/>
      </c>
      <c r="L244" s="27"/>
      <c r="M244" s="27"/>
      <c r="N244" s="27"/>
      <c r="O244" s="27"/>
      <c r="P244" s="27" t="s">
        <v>1379</v>
      </c>
      <c r="Q244" s="27" t="s">
        <v>1380</v>
      </c>
    </row>
    <row r="245" spans="1:17" ht="15" customHeight="1" x14ac:dyDescent="0.3">
      <c r="A245" s="27" t="s">
        <v>1381</v>
      </c>
      <c r="B245" s="27" t="s">
        <v>1382</v>
      </c>
      <c r="C245" s="27" t="s">
        <v>1383</v>
      </c>
      <c r="D245" s="27">
        <v>2025</v>
      </c>
      <c r="E245" s="27" t="s">
        <v>48</v>
      </c>
      <c r="F245" s="27" t="s">
        <v>11</v>
      </c>
      <c r="G245" s="27"/>
      <c r="H245" s="27"/>
      <c r="I245" s="28" t="str">
        <f t="shared" si="6"/>
        <v/>
      </c>
      <c r="J245" s="27"/>
      <c r="K245" s="28" t="str">
        <f t="shared" si="7"/>
        <v/>
      </c>
      <c r="L245" s="27"/>
      <c r="M245" s="27"/>
      <c r="N245" s="27"/>
      <c r="O245" s="27"/>
      <c r="P245" s="27" t="s">
        <v>1384</v>
      </c>
      <c r="Q245" s="27" t="s">
        <v>1385</v>
      </c>
    </row>
    <row r="246" spans="1:17" ht="15" customHeight="1" x14ac:dyDescent="0.3">
      <c r="A246" s="27" t="s">
        <v>1386</v>
      </c>
      <c r="B246" s="27" t="s">
        <v>1387</v>
      </c>
      <c r="C246" s="27" t="s">
        <v>1388</v>
      </c>
      <c r="D246" s="27">
        <v>2024</v>
      </c>
      <c r="E246" s="27" t="s">
        <v>48</v>
      </c>
      <c r="F246" s="27" t="s">
        <v>13</v>
      </c>
      <c r="G246" s="27"/>
      <c r="H246" s="27"/>
      <c r="I246" s="28" t="str">
        <f t="shared" si="6"/>
        <v/>
      </c>
      <c r="J246" s="27"/>
      <c r="K246" s="28" t="str">
        <f t="shared" si="7"/>
        <v/>
      </c>
      <c r="L246" s="27"/>
      <c r="M246" s="27"/>
      <c r="N246" s="27"/>
      <c r="O246" s="27"/>
      <c r="P246" s="27" t="s">
        <v>1389</v>
      </c>
      <c r="Q246" s="27" t="s">
        <v>1390</v>
      </c>
    </row>
    <row r="247" spans="1:17" ht="15" customHeight="1" x14ac:dyDescent="0.3">
      <c r="A247" s="27" t="s">
        <v>1391</v>
      </c>
      <c r="B247" s="27" t="s">
        <v>1392</v>
      </c>
      <c r="C247" s="27" t="s">
        <v>1393</v>
      </c>
      <c r="D247" s="27">
        <v>2026</v>
      </c>
      <c r="E247" s="27" t="s">
        <v>48</v>
      </c>
      <c r="F247" s="27" t="s">
        <v>15</v>
      </c>
      <c r="G247" s="27"/>
      <c r="H247" s="27"/>
      <c r="I247" s="28" t="str">
        <f t="shared" si="6"/>
        <v/>
      </c>
      <c r="J247" s="27"/>
      <c r="K247" s="28" t="str">
        <f t="shared" si="7"/>
        <v/>
      </c>
      <c r="L247" s="27"/>
      <c r="M247" s="27"/>
      <c r="N247" s="27"/>
      <c r="O247" s="27"/>
      <c r="P247" s="27" t="s">
        <v>1394</v>
      </c>
      <c r="Q247" s="27" t="s">
        <v>1395</v>
      </c>
    </row>
    <row r="248" spans="1:17" ht="15" customHeight="1" x14ac:dyDescent="0.3">
      <c r="A248" s="27" t="s">
        <v>1396</v>
      </c>
      <c r="B248" s="27" t="s">
        <v>1397</v>
      </c>
      <c r="C248" s="27" t="s">
        <v>1398</v>
      </c>
      <c r="D248" s="27">
        <v>2019</v>
      </c>
      <c r="E248" s="27" t="s">
        <v>48</v>
      </c>
      <c r="F248" s="27" t="s">
        <v>11</v>
      </c>
      <c r="G248" s="27"/>
      <c r="H248" s="27"/>
      <c r="I248" s="28" t="str">
        <f t="shared" si="6"/>
        <v/>
      </c>
      <c r="J248" s="27"/>
      <c r="K248" s="28" t="str">
        <f t="shared" si="7"/>
        <v/>
      </c>
      <c r="L248" s="27"/>
      <c r="M248" s="27"/>
      <c r="N248" s="27"/>
      <c r="O248" s="27"/>
      <c r="P248" s="27" t="s">
        <v>1399</v>
      </c>
      <c r="Q248" s="27" t="s">
        <v>1400</v>
      </c>
    </row>
    <row r="249" spans="1:17" ht="15" customHeight="1" x14ac:dyDescent="0.3">
      <c r="A249" s="27" t="s">
        <v>1401</v>
      </c>
      <c r="B249" s="27" t="s">
        <v>1402</v>
      </c>
      <c r="C249" s="27" t="s">
        <v>1403</v>
      </c>
      <c r="D249" s="27">
        <v>2024</v>
      </c>
      <c r="E249" s="27" t="s">
        <v>48</v>
      </c>
      <c r="F249" s="27" t="s">
        <v>13</v>
      </c>
      <c r="G249" s="27"/>
      <c r="H249" s="27"/>
      <c r="I249" s="28" t="str">
        <f t="shared" si="6"/>
        <v/>
      </c>
      <c r="J249" s="27"/>
      <c r="K249" s="28" t="str">
        <f t="shared" si="7"/>
        <v/>
      </c>
      <c r="L249" s="27"/>
      <c r="M249" s="27"/>
      <c r="N249" s="27"/>
      <c r="O249" s="27"/>
      <c r="P249" s="27" t="s">
        <v>238</v>
      </c>
      <c r="Q249" s="27" t="s">
        <v>1404</v>
      </c>
    </row>
    <row r="250" spans="1:17" ht="15" customHeight="1" x14ac:dyDescent="0.3">
      <c r="A250" s="27" t="s">
        <v>1405</v>
      </c>
      <c r="B250" s="27" t="s">
        <v>1406</v>
      </c>
      <c r="C250" s="27" t="s">
        <v>1407</v>
      </c>
      <c r="D250" s="27">
        <v>2026</v>
      </c>
      <c r="E250" s="27" t="s">
        <v>48</v>
      </c>
      <c r="F250" s="27" t="s">
        <v>15</v>
      </c>
      <c r="G250" s="27"/>
      <c r="H250" s="27"/>
      <c r="I250" s="28" t="str">
        <f t="shared" si="6"/>
        <v/>
      </c>
      <c r="J250" s="27"/>
      <c r="K250" s="28" t="str">
        <f t="shared" si="7"/>
        <v/>
      </c>
      <c r="L250" s="27"/>
      <c r="M250" s="27"/>
      <c r="N250" s="27"/>
      <c r="O250" s="27"/>
      <c r="P250" s="27" t="s">
        <v>1408</v>
      </c>
      <c r="Q250" s="27" t="s">
        <v>1409</v>
      </c>
    </row>
    <row r="251" spans="1:17" ht="15" customHeight="1" x14ac:dyDescent="0.3">
      <c r="A251" s="27" t="s">
        <v>1410</v>
      </c>
      <c r="B251" s="27" t="s">
        <v>1411</v>
      </c>
      <c r="C251" s="27" t="s">
        <v>1412</v>
      </c>
      <c r="D251" s="27">
        <v>2025</v>
      </c>
      <c r="E251" s="27" t="s">
        <v>48</v>
      </c>
      <c r="F251" s="27" t="s">
        <v>11</v>
      </c>
      <c r="G251" s="27"/>
      <c r="H251" s="27"/>
      <c r="I251" s="28" t="str">
        <f t="shared" si="6"/>
        <v/>
      </c>
      <c r="J251" s="27"/>
      <c r="K251" s="28" t="str">
        <f t="shared" si="7"/>
        <v/>
      </c>
      <c r="L251" s="27"/>
      <c r="M251" s="27"/>
      <c r="N251" s="27"/>
      <c r="O251" s="27"/>
      <c r="P251" s="27" t="s">
        <v>1413</v>
      </c>
      <c r="Q251" s="27" t="s">
        <v>1414</v>
      </c>
    </row>
    <row r="252" spans="1:17" ht="15" customHeight="1" x14ac:dyDescent="0.3">
      <c r="A252" s="27" t="s">
        <v>1415</v>
      </c>
      <c r="B252" s="27" t="s">
        <v>1416</v>
      </c>
      <c r="C252" s="27" t="s">
        <v>1417</v>
      </c>
      <c r="D252" s="27">
        <v>2026</v>
      </c>
      <c r="E252" s="27" t="s">
        <v>48</v>
      </c>
      <c r="F252" s="27" t="s">
        <v>13</v>
      </c>
      <c r="G252" s="27"/>
      <c r="H252" s="27"/>
      <c r="I252" s="28" t="str">
        <f t="shared" si="6"/>
        <v/>
      </c>
      <c r="J252" s="27"/>
      <c r="K252" s="28" t="str">
        <f t="shared" si="7"/>
        <v/>
      </c>
      <c r="L252" s="27"/>
      <c r="M252" s="27"/>
      <c r="N252" s="27"/>
      <c r="O252" s="27"/>
      <c r="P252" s="27" t="s">
        <v>1418</v>
      </c>
      <c r="Q252" s="27" t="s">
        <v>1419</v>
      </c>
    </row>
    <row r="253" spans="1:17" ht="15" customHeight="1" x14ac:dyDescent="0.3">
      <c r="A253" s="27" t="s">
        <v>1420</v>
      </c>
      <c r="B253" s="27" t="s">
        <v>1421</v>
      </c>
      <c r="C253" s="27" t="s">
        <v>1289</v>
      </c>
      <c r="D253" s="27">
        <v>2022</v>
      </c>
      <c r="E253" s="27" t="s">
        <v>48</v>
      </c>
      <c r="F253" s="27" t="s">
        <v>15</v>
      </c>
      <c r="G253" s="27"/>
      <c r="H253" s="27"/>
      <c r="I253" s="28" t="str">
        <f t="shared" si="6"/>
        <v/>
      </c>
      <c r="J253" s="27"/>
      <c r="K253" s="28" t="str">
        <f t="shared" si="7"/>
        <v/>
      </c>
      <c r="L253" s="27"/>
      <c r="M253" s="27"/>
      <c r="N253" s="27"/>
      <c r="O253" s="27"/>
      <c r="P253" s="27" t="s">
        <v>1422</v>
      </c>
      <c r="Q253" s="27" t="s">
        <v>1423</v>
      </c>
    </row>
    <row r="254" spans="1:17" ht="15" customHeight="1" x14ac:dyDescent="0.3">
      <c r="A254" s="27" t="s">
        <v>1424</v>
      </c>
      <c r="B254" s="27" t="s">
        <v>1425</v>
      </c>
      <c r="C254" s="27" t="s">
        <v>1426</v>
      </c>
      <c r="D254" s="27">
        <v>2026</v>
      </c>
      <c r="E254" s="27" t="s">
        <v>48</v>
      </c>
      <c r="F254" s="27" t="s">
        <v>11</v>
      </c>
      <c r="G254" s="27"/>
      <c r="H254" s="27"/>
      <c r="I254" s="28" t="str">
        <f t="shared" si="6"/>
        <v/>
      </c>
      <c r="J254" s="27"/>
      <c r="K254" s="28" t="str">
        <f t="shared" si="7"/>
        <v/>
      </c>
      <c r="L254" s="27"/>
      <c r="M254" s="27"/>
      <c r="N254" s="27"/>
      <c r="O254" s="27"/>
      <c r="P254" s="27" t="s">
        <v>1427</v>
      </c>
      <c r="Q254" s="27" t="s">
        <v>1428</v>
      </c>
    </row>
    <row r="255" spans="1:17" ht="15" customHeight="1" x14ac:dyDescent="0.3">
      <c r="A255" s="27" t="s">
        <v>1429</v>
      </c>
      <c r="B255" s="27" t="s">
        <v>1430</v>
      </c>
      <c r="C255" s="27" t="s">
        <v>1431</v>
      </c>
      <c r="D255" s="27">
        <v>2025</v>
      </c>
      <c r="E255" s="27" t="s">
        <v>142</v>
      </c>
      <c r="F255" s="27" t="s">
        <v>13</v>
      </c>
      <c r="G255" s="27"/>
      <c r="H255" s="27"/>
      <c r="I255" s="28" t="str">
        <f t="shared" si="6"/>
        <v/>
      </c>
      <c r="J255" s="27"/>
      <c r="K255" s="28" t="str">
        <f t="shared" si="7"/>
        <v/>
      </c>
      <c r="L255" s="27"/>
      <c r="M255" s="27"/>
      <c r="N255" s="27"/>
      <c r="O255" s="27"/>
      <c r="P255" s="27" t="s">
        <v>1432</v>
      </c>
      <c r="Q255" s="27" t="s">
        <v>1433</v>
      </c>
    </row>
    <row r="256" spans="1:17" ht="15" customHeight="1" x14ac:dyDescent="0.3">
      <c r="A256" s="27" t="s">
        <v>1434</v>
      </c>
      <c r="B256" s="27" t="s">
        <v>1435</v>
      </c>
      <c r="C256" s="27" t="s">
        <v>1436</v>
      </c>
      <c r="D256" s="27">
        <v>2025</v>
      </c>
      <c r="E256" s="27" t="s">
        <v>48</v>
      </c>
      <c r="F256" s="27" t="s">
        <v>15</v>
      </c>
      <c r="G256" s="27"/>
      <c r="H256" s="27"/>
      <c r="I256" s="28" t="str">
        <f t="shared" si="6"/>
        <v/>
      </c>
      <c r="J256" s="27"/>
      <c r="K256" s="28" t="str">
        <f t="shared" si="7"/>
        <v/>
      </c>
      <c r="L256" s="27"/>
      <c r="M256" s="27"/>
      <c r="N256" s="27"/>
      <c r="O256" s="27"/>
      <c r="P256" s="27" t="s">
        <v>1437</v>
      </c>
      <c r="Q256" s="27" t="s">
        <v>1438</v>
      </c>
    </row>
    <row r="257" spans="1:17" ht="15" customHeight="1" x14ac:dyDescent="0.3">
      <c r="A257" s="27" t="s">
        <v>1439</v>
      </c>
      <c r="B257" s="27" t="s">
        <v>1440</v>
      </c>
      <c r="C257" s="27" t="s">
        <v>1441</v>
      </c>
      <c r="D257" s="27">
        <v>2025</v>
      </c>
      <c r="E257" s="27" t="s">
        <v>48</v>
      </c>
      <c r="F257" s="27" t="s">
        <v>11</v>
      </c>
      <c r="G257" s="27"/>
      <c r="H257" s="27"/>
      <c r="I257" s="28" t="str">
        <f t="shared" si="6"/>
        <v/>
      </c>
      <c r="J257" s="27"/>
      <c r="K257" s="28" t="str">
        <f t="shared" si="7"/>
        <v/>
      </c>
      <c r="L257" s="27"/>
      <c r="M257" s="27"/>
      <c r="N257" s="27"/>
      <c r="O257" s="27"/>
      <c r="P257" s="27" t="s">
        <v>1442</v>
      </c>
      <c r="Q257" s="27" t="s">
        <v>1443</v>
      </c>
    </row>
    <row r="258" spans="1:17" ht="15" customHeight="1" x14ac:dyDescent="0.3">
      <c r="A258" s="27" t="s">
        <v>1444</v>
      </c>
      <c r="B258" s="27" t="s">
        <v>1445</v>
      </c>
      <c r="C258" s="27" t="s">
        <v>1446</v>
      </c>
      <c r="D258" s="27">
        <v>2025</v>
      </c>
      <c r="E258" s="27" t="s">
        <v>48</v>
      </c>
      <c r="F258" s="27" t="s">
        <v>13</v>
      </c>
      <c r="G258" s="27"/>
      <c r="H258" s="27"/>
      <c r="I258" s="28" t="str">
        <f t="shared" ref="I258:I321" si="8">IF(OR(G258="",H258=""),"",IF(G258=H258,"Yes","No"))</f>
        <v/>
      </c>
      <c r="J258" s="27"/>
      <c r="K258" s="28" t="str">
        <f t="shared" ref="K258:K321" si="9">IF(OR(E258="Snowballing",E258="Other sources"),"n/a",IF(AND(G258="",H258=""),"",IF(OR(G258="",H258=""),"Waiting",IF(G258=H258,G258,IF(AND(G258&lt;&gt;"Exclude",H258&lt;&gt;"Exclude"),"Maybe",IF(J258&lt;&gt;"",J258,"Pending"))))))</f>
        <v/>
      </c>
      <c r="L258" s="27"/>
      <c r="M258" s="27"/>
      <c r="N258" s="27"/>
      <c r="O258" s="27"/>
      <c r="P258" s="27" t="s">
        <v>1447</v>
      </c>
      <c r="Q258" s="27" t="s">
        <v>1448</v>
      </c>
    </row>
    <row r="259" spans="1:17" ht="15" customHeight="1" x14ac:dyDescent="0.3">
      <c r="A259" s="27" t="s">
        <v>1449</v>
      </c>
      <c r="B259" s="27" t="s">
        <v>1450</v>
      </c>
      <c r="C259" s="27" t="s">
        <v>1451</v>
      </c>
      <c r="D259" s="27">
        <v>2025</v>
      </c>
      <c r="E259" s="27" t="s">
        <v>48</v>
      </c>
      <c r="F259" s="27" t="s">
        <v>15</v>
      </c>
      <c r="G259" s="27"/>
      <c r="H259" s="27"/>
      <c r="I259" s="28" t="str">
        <f t="shared" si="8"/>
        <v/>
      </c>
      <c r="J259" s="27"/>
      <c r="K259" s="28" t="str">
        <f t="shared" si="9"/>
        <v/>
      </c>
      <c r="L259" s="27"/>
      <c r="M259" s="27"/>
      <c r="N259" s="27"/>
      <c r="O259" s="27"/>
      <c r="P259" s="27" t="s">
        <v>1452</v>
      </c>
      <c r="Q259" s="27" t="s">
        <v>1453</v>
      </c>
    </row>
    <row r="260" spans="1:17" ht="15" customHeight="1" x14ac:dyDescent="0.3">
      <c r="A260" s="27" t="s">
        <v>1454</v>
      </c>
      <c r="B260" s="27" t="s">
        <v>1455</v>
      </c>
      <c r="C260" s="27" t="s">
        <v>1456</v>
      </c>
      <c r="D260" s="27">
        <v>2026</v>
      </c>
      <c r="E260" s="27" t="s">
        <v>48</v>
      </c>
      <c r="F260" s="27" t="s">
        <v>11</v>
      </c>
      <c r="G260" s="27"/>
      <c r="H260" s="27"/>
      <c r="I260" s="28" t="str">
        <f t="shared" si="8"/>
        <v/>
      </c>
      <c r="J260" s="27"/>
      <c r="K260" s="28" t="str">
        <f t="shared" si="9"/>
        <v/>
      </c>
      <c r="L260" s="27"/>
      <c r="M260" s="27"/>
      <c r="N260" s="27"/>
      <c r="O260" s="27"/>
      <c r="P260" s="27" t="s">
        <v>1457</v>
      </c>
      <c r="Q260" s="27" t="s">
        <v>1458</v>
      </c>
    </row>
    <row r="261" spans="1:17" ht="15" customHeight="1" x14ac:dyDescent="0.3">
      <c r="A261" s="27" t="s">
        <v>1459</v>
      </c>
      <c r="B261" s="27" t="s">
        <v>1460</v>
      </c>
      <c r="C261" s="27" t="s">
        <v>1461</v>
      </c>
      <c r="D261" s="27">
        <v>2022</v>
      </c>
      <c r="E261" s="27" t="s">
        <v>48</v>
      </c>
      <c r="F261" s="27" t="s">
        <v>13</v>
      </c>
      <c r="G261" s="27"/>
      <c r="H261" s="27"/>
      <c r="I261" s="28" t="str">
        <f t="shared" si="8"/>
        <v/>
      </c>
      <c r="J261" s="27"/>
      <c r="K261" s="28" t="str">
        <f t="shared" si="9"/>
        <v/>
      </c>
      <c r="L261" s="27"/>
      <c r="M261" s="27"/>
      <c r="N261" s="27"/>
      <c r="O261" s="27"/>
      <c r="P261" s="27" t="s">
        <v>1462</v>
      </c>
      <c r="Q261" s="27" t="s">
        <v>1463</v>
      </c>
    </row>
    <row r="262" spans="1:17" ht="15" customHeight="1" x14ac:dyDescent="0.3">
      <c r="A262" s="27" t="s">
        <v>1464</v>
      </c>
      <c r="B262" s="27" t="s">
        <v>1465</v>
      </c>
      <c r="C262" s="27" t="s">
        <v>1466</v>
      </c>
      <c r="D262" s="27">
        <v>2020</v>
      </c>
      <c r="E262" s="27" t="s">
        <v>48</v>
      </c>
      <c r="F262" s="27" t="s">
        <v>15</v>
      </c>
      <c r="G262" s="27"/>
      <c r="H262" s="27"/>
      <c r="I262" s="28" t="str">
        <f t="shared" si="8"/>
        <v/>
      </c>
      <c r="J262" s="27"/>
      <c r="K262" s="28" t="str">
        <f t="shared" si="9"/>
        <v/>
      </c>
      <c r="L262" s="27"/>
      <c r="M262" s="27"/>
      <c r="N262" s="27"/>
      <c r="O262" s="27"/>
      <c r="P262" s="27" t="s">
        <v>1467</v>
      </c>
      <c r="Q262" s="27" t="s">
        <v>1468</v>
      </c>
    </row>
    <row r="263" spans="1:17" ht="15" customHeight="1" x14ac:dyDescent="0.3">
      <c r="A263" s="27" t="s">
        <v>1469</v>
      </c>
      <c r="B263" s="27" t="s">
        <v>1470</v>
      </c>
      <c r="C263" s="27" t="s">
        <v>1471</v>
      </c>
      <c r="D263" s="27">
        <v>2023</v>
      </c>
      <c r="E263" s="27" t="s">
        <v>48</v>
      </c>
      <c r="F263" s="27" t="s">
        <v>11</v>
      </c>
      <c r="G263" s="27"/>
      <c r="H263" s="27"/>
      <c r="I263" s="28" t="str">
        <f t="shared" si="8"/>
        <v/>
      </c>
      <c r="J263" s="27"/>
      <c r="K263" s="28" t="str">
        <f t="shared" si="9"/>
        <v/>
      </c>
      <c r="L263" s="27"/>
      <c r="M263" s="27"/>
      <c r="N263" s="27"/>
      <c r="O263" s="27"/>
      <c r="P263" s="27" t="s">
        <v>1472</v>
      </c>
      <c r="Q263" s="27" t="s">
        <v>1473</v>
      </c>
    </row>
    <row r="264" spans="1:17" ht="15" customHeight="1" x14ac:dyDescent="0.3">
      <c r="A264" s="27" t="s">
        <v>1474</v>
      </c>
      <c r="B264" s="27" t="s">
        <v>1475</v>
      </c>
      <c r="C264" s="27" t="s">
        <v>1476</v>
      </c>
      <c r="D264" s="27">
        <v>2026</v>
      </c>
      <c r="E264" s="27" t="s">
        <v>48</v>
      </c>
      <c r="F264" s="27" t="s">
        <v>13</v>
      </c>
      <c r="G264" s="27"/>
      <c r="H264" s="27"/>
      <c r="I264" s="28" t="str">
        <f t="shared" si="8"/>
        <v/>
      </c>
      <c r="J264" s="27"/>
      <c r="K264" s="28" t="str">
        <f t="shared" si="9"/>
        <v/>
      </c>
      <c r="L264" s="27"/>
      <c r="M264" s="27"/>
      <c r="N264" s="27"/>
      <c r="O264" s="27"/>
      <c r="P264" s="27" t="s">
        <v>1477</v>
      </c>
      <c r="Q264" s="27" t="s">
        <v>1478</v>
      </c>
    </row>
    <row r="265" spans="1:17" ht="15" customHeight="1" x14ac:dyDescent="0.3">
      <c r="A265" s="27" t="s">
        <v>1479</v>
      </c>
      <c r="B265" s="27" t="s">
        <v>1480</v>
      </c>
      <c r="C265" s="27" t="s">
        <v>1481</v>
      </c>
      <c r="D265" s="27">
        <v>2024</v>
      </c>
      <c r="E265" s="27" t="s">
        <v>48</v>
      </c>
      <c r="F265" s="27" t="s">
        <v>15</v>
      </c>
      <c r="G265" s="27"/>
      <c r="H265" s="27"/>
      <c r="I265" s="28" t="str">
        <f t="shared" si="8"/>
        <v/>
      </c>
      <c r="J265" s="27"/>
      <c r="K265" s="28" t="str">
        <f t="shared" si="9"/>
        <v/>
      </c>
      <c r="L265" s="27"/>
      <c r="M265" s="27"/>
      <c r="N265" s="27"/>
      <c r="O265" s="27"/>
      <c r="P265" s="27" t="s">
        <v>1482</v>
      </c>
      <c r="Q265" s="27" t="s">
        <v>1483</v>
      </c>
    </row>
    <row r="266" spans="1:17" ht="15" customHeight="1" x14ac:dyDescent="0.3">
      <c r="A266" s="27" t="s">
        <v>1484</v>
      </c>
      <c r="B266" s="27" t="s">
        <v>1485</v>
      </c>
      <c r="C266" s="27" t="s">
        <v>1486</v>
      </c>
      <c r="D266" s="27">
        <v>2020</v>
      </c>
      <c r="E266" s="27" t="s">
        <v>48</v>
      </c>
      <c r="F266" s="27" t="s">
        <v>11</v>
      </c>
      <c r="G266" s="27"/>
      <c r="H266" s="27"/>
      <c r="I266" s="28" t="str">
        <f t="shared" si="8"/>
        <v/>
      </c>
      <c r="J266" s="27"/>
      <c r="K266" s="28" t="str">
        <f t="shared" si="9"/>
        <v/>
      </c>
      <c r="L266" s="27"/>
      <c r="M266" s="27"/>
      <c r="N266" s="27"/>
      <c r="O266" s="27"/>
      <c r="P266" s="27" t="s">
        <v>1487</v>
      </c>
      <c r="Q266" s="27" t="s">
        <v>1488</v>
      </c>
    </row>
    <row r="267" spans="1:17" ht="15" customHeight="1" x14ac:dyDescent="0.3">
      <c r="A267" s="27" t="s">
        <v>1489</v>
      </c>
      <c r="B267" s="27" t="s">
        <v>1490</v>
      </c>
      <c r="C267" s="27" t="s">
        <v>1491</v>
      </c>
      <c r="D267" s="27">
        <v>2025</v>
      </c>
      <c r="E267" s="27" t="s">
        <v>48</v>
      </c>
      <c r="F267" s="27" t="s">
        <v>13</v>
      </c>
      <c r="G267" s="27"/>
      <c r="H267" s="27"/>
      <c r="I267" s="28" t="str">
        <f t="shared" si="8"/>
        <v/>
      </c>
      <c r="J267" s="27"/>
      <c r="K267" s="28" t="str">
        <f t="shared" si="9"/>
        <v/>
      </c>
      <c r="L267" s="27"/>
      <c r="M267" s="27"/>
      <c r="N267" s="27"/>
      <c r="O267" s="27"/>
      <c r="P267" s="27" t="s">
        <v>1492</v>
      </c>
      <c r="Q267" s="27" t="s">
        <v>1493</v>
      </c>
    </row>
    <row r="268" spans="1:17" ht="15" customHeight="1" x14ac:dyDescent="0.3">
      <c r="A268" s="27" t="s">
        <v>1494</v>
      </c>
      <c r="B268" s="27" t="s">
        <v>1495</v>
      </c>
      <c r="C268" s="27" t="s">
        <v>1496</v>
      </c>
      <c r="D268" s="27">
        <v>2026</v>
      </c>
      <c r="E268" s="27" t="s">
        <v>48</v>
      </c>
      <c r="F268" s="27" t="s">
        <v>15</v>
      </c>
      <c r="G268" s="27"/>
      <c r="H268" s="27"/>
      <c r="I268" s="28" t="str">
        <f t="shared" si="8"/>
        <v/>
      </c>
      <c r="J268" s="27"/>
      <c r="K268" s="28" t="str">
        <f t="shared" si="9"/>
        <v/>
      </c>
      <c r="L268" s="27"/>
      <c r="M268" s="27"/>
      <c r="N268" s="27"/>
      <c r="O268" s="27"/>
      <c r="P268" s="27" t="s">
        <v>1497</v>
      </c>
      <c r="Q268" s="27" t="s">
        <v>1498</v>
      </c>
    </row>
    <row r="269" spans="1:17" ht="15" customHeight="1" x14ac:dyDescent="0.3">
      <c r="A269" s="27" t="s">
        <v>1499</v>
      </c>
      <c r="B269" s="27" t="s">
        <v>1500</v>
      </c>
      <c r="C269" s="27" t="s">
        <v>1501</v>
      </c>
      <c r="D269" s="27">
        <v>2025</v>
      </c>
      <c r="E269" s="27" t="s">
        <v>48</v>
      </c>
      <c r="F269" s="27" t="s">
        <v>11</v>
      </c>
      <c r="G269" s="27"/>
      <c r="H269" s="27"/>
      <c r="I269" s="28" t="str">
        <f t="shared" si="8"/>
        <v/>
      </c>
      <c r="J269" s="27"/>
      <c r="K269" s="28" t="str">
        <f t="shared" si="9"/>
        <v/>
      </c>
      <c r="L269" s="27"/>
      <c r="M269" s="27"/>
      <c r="N269" s="27"/>
      <c r="O269" s="27"/>
      <c r="P269" s="27" t="s">
        <v>1502</v>
      </c>
      <c r="Q269" s="27" t="s">
        <v>1503</v>
      </c>
    </row>
    <row r="270" spans="1:17" ht="15" customHeight="1" x14ac:dyDescent="0.3">
      <c r="A270" s="27" t="s">
        <v>1504</v>
      </c>
      <c r="B270" s="27" t="s">
        <v>1505</v>
      </c>
      <c r="C270" s="27" t="s">
        <v>1506</v>
      </c>
      <c r="D270" s="27">
        <v>2023</v>
      </c>
      <c r="E270" s="27" t="s">
        <v>48</v>
      </c>
      <c r="F270" s="27" t="s">
        <v>13</v>
      </c>
      <c r="G270" s="27"/>
      <c r="H270" s="27"/>
      <c r="I270" s="28" t="str">
        <f t="shared" si="8"/>
        <v/>
      </c>
      <c r="J270" s="27"/>
      <c r="K270" s="28" t="str">
        <f t="shared" si="9"/>
        <v/>
      </c>
      <c r="L270" s="27"/>
      <c r="M270" s="27"/>
      <c r="N270" s="27"/>
      <c r="O270" s="27"/>
      <c r="P270" s="27" t="s">
        <v>1507</v>
      </c>
      <c r="Q270" s="27" t="s">
        <v>1508</v>
      </c>
    </row>
    <row r="271" spans="1:17" ht="15" customHeight="1" x14ac:dyDescent="0.3">
      <c r="A271" s="27" t="s">
        <v>1509</v>
      </c>
      <c r="B271" s="27" t="s">
        <v>1510</v>
      </c>
      <c r="C271" s="27" t="s">
        <v>1511</v>
      </c>
      <c r="D271" s="27">
        <v>2024</v>
      </c>
      <c r="E271" s="27" t="s">
        <v>48</v>
      </c>
      <c r="F271" s="27" t="s">
        <v>15</v>
      </c>
      <c r="G271" s="27"/>
      <c r="H271" s="27"/>
      <c r="I271" s="28" t="str">
        <f t="shared" si="8"/>
        <v/>
      </c>
      <c r="J271" s="27"/>
      <c r="K271" s="28" t="str">
        <f t="shared" si="9"/>
        <v/>
      </c>
      <c r="L271" s="27"/>
      <c r="M271" s="27"/>
      <c r="N271" s="27"/>
      <c r="O271" s="27"/>
      <c r="P271" s="27" t="s">
        <v>1512</v>
      </c>
      <c r="Q271" s="27" t="s">
        <v>1513</v>
      </c>
    </row>
    <row r="272" spans="1:17" ht="15" customHeight="1" x14ac:dyDescent="0.3">
      <c r="A272" s="27" t="s">
        <v>1514</v>
      </c>
      <c r="B272" s="27" t="s">
        <v>1515</v>
      </c>
      <c r="C272" s="27" t="s">
        <v>1516</v>
      </c>
      <c r="D272" s="27">
        <v>2026</v>
      </c>
      <c r="E272" s="27" t="s">
        <v>48</v>
      </c>
      <c r="F272" s="27" t="s">
        <v>11</v>
      </c>
      <c r="G272" s="27"/>
      <c r="H272" s="27"/>
      <c r="I272" s="28" t="str">
        <f t="shared" si="8"/>
        <v/>
      </c>
      <c r="J272" s="27"/>
      <c r="K272" s="28" t="str">
        <f t="shared" si="9"/>
        <v/>
      </c>
      <c r="L272" s="27"/>
      <c r="M272" s="27"/>
      <c r="N272" s="27"/>
      <c r="O272" s="27"/>
      <c r="P272" s="27" t="s">
        <v>1517</v>
      </c>
      <c r="Q272" s="27" t="s">
        <v>1518</v>
      </c>
    </row>
    <row r="273" spans="1:17" ht="15" customHeight="1" x14ac:dyDescent="0.3">
      <c r="A273" s="27" t="s">
        <v>1519</v>
      </c>
      <c r="B273" s="27" t="s">
        <v>1520</v>
      </c>
      <c r="C273" s="27" t="s">
        <v>1521</v>
      </c>
      <c r="D273" s="27">
        <v>2023</v>
      </c>
      <c r="E273" s="27" t="s">
        <v>48</v>
      </c>
      <c r="F273" s="27" t="s">
        <v>13</v>
      </c>
      <c r="G273" s="27"/>
      <c r="H273" s="27"/>
      <c r="I273" s="28" t="str">
        <f t="shared" si="8"/>
        <v/>
      </c>
      <c r="J273" s="27"/>
      <c r="K273" s="28" t="str">
        <f t="shared" si="9"/>
        <v/>
      </c>
      <c r="L273" s="27"/>
      <c r="M273" s="27"/>
      <c r="N273" s="27"/>
      <c r="O273" s="27"/>
      <c r="P273" s="27" t="s">
        <v>1522</v>
      </c>
      <c r="Q273" s="27" t="s">
        <v>1523</v>
      </c>
    </row>
    <row r="274" spans="1:17" ht="15" customHeight="1" x14ac:dyDescent="0.3">
      <c r="A274" s="27" t="s">
        <v>1524</v>
      </c>
      <c r="B274" s="27" t="s">
        <v>1525</v>
      </c>
      <c r="C274" s="27" t="s">
        <v>1526</v>
      </c>
      <c r="D274" s="27">
        <v>2024</v>
      </c>
      <c r="E274" s="27" t="s">
        <v>48</v>
      </c>
      <c r="F274" s="27" t="s">
        <v>15</v>
      </c>
      <c r="G274" s="27"/>
      <c r="H274" s="27"/>
      <c r="I274" s="28" t="str">
        <f t="shared" si="8"/>
        <v/>
      </c>
      <c r="J274" s="27"/>
      <c r="K274" s="28" t="str">
        <f t="shared" si="9"/>
        <v/>
      </c>
      <c r="L274" s="27"/>
      <c r="M274" s="27"/>
      <c r="N274" s="27"/>
      <c r="O274" s="27"/>
      <c r="P274" s="27" t="s">
        <v>1527</v>
      </c>
      <c r="Q274" s="27" t="s">
        <v>1528</v>
      </c>
    </row>
    <row r="275" spans="1:17" ht="15" customHeight="1" x14ac:dyDescent="0.3">
      <c r="A275" s="27" t="s">
        <v>1529</v>
      </c>
      <c r="B275" s="27" t="s">
        <v>1530</v>
      </c>
      <c r="C275" s="27" t="s">
        <v>1531</v>
      </c>
      <c r="D275" s="27">
        <v>2018</v>
      </c>
      <c r="E275" s="27" t="s">
        <v>48</v>
      </c>
      <c r="F275" s="27" t="s">
        <v>11</v>
      </c>
      <c r="G275" s="27"/>
      <c r="H275" s="27"/>
      <c r="I275" s="28" t="str">
        <f t="shared" si="8"/>
        <v/>
      </c>
      <c r="J275" s="27"/>
      <c r="K275" s="28" t="str">
        <f t="shared" si="9"/>
        <v/>
      </c>
      <c r="L275" s="27"/>
      <c r="M275" s="27"/>
      <c r="N275" s="27"/>
      <c r="O275" s="27"/>
      <c r="P275" s="27" t="s">
        <v>1532</v>
      </c>
      <c r="Q275" s="27" t="s">
        <v>1533</v>
      </c>
    </row>
    <row r="276" spans="1:17" ht="15" customHeight="1" x14ac:dyDescent="0.3">
      <c r="A276" s="27" t="s">
        <v>1534</v>
      </c>
      <c r="B276" s="27" t="s">
        <v>1535</v>
      </c>
      <c r="C276" s="27" t="s">
        <v>1536</v>
      </c>
      <c r="D276" s="27">
        <v>2026</v>
      </c>
      <c r="E276" s="27" t="s">
        <v>48</v>
      </c>
      <c r="F276" s="27" t="s">
        <v>13</v>
      </c>
      <c r="G276" s="27"/>
      <c r="H276" s="27"/>
      <c r="I276" s="28" t="str">
        <f t="shared" si="8"/>
        <v/>
      </c>
      <c r="J276" s="27"/>
      <c r="K276" s="28" t="str">
        <f t="shared" si="9"/>
        <v/>
      </c>
      <c r="L276" s="27"/>
      <c r="M276" s="27"/>
      <c r="N276" s="27"/>
      <c r="O276" s="27"/>
      <c r="P276" s="27" t="s">
        <v>1537</v>
      </c>
      <c r="Q276" s="27" t="s">
        <v>1538</v>
      </c>
    </row>
    <row r="277" spans="1:17" ht="15" customHeight="1" x14ac:dyDescent="0.3">
      <c r="A277" s="27" t="s">
        <v>1539</v>
      </c>
      <c r="B277" s="27" t="s">
        <v>1540</v>
      </c>
      <c r="C277" s="27" t="s">
        <v>1541</v>
      </c>
      <c r="D277" s="27">
        <v>2024</v>
      </c>
      <c r="E277" s="27" t="s">
        <v>48</v>
      </c>
      <c r="F277" s="27" t="s">
        <v>15</v>
      </c>
      <c r="G277" s="27"/>
      <c r="H277" s="27"/>
      <c r="I277" s="28" t="str">
        <f t="shared" si="8"/>
        <v/>
      </c>
      <c r="J277" s="27"/>
      <c r="K277" s="28" t="str">
        <f t="shared" si="9"/>
        <v/>
      </c>
      <c r="L277" s="27"/>
      <c r="M277" s="27"/>
      <c r="N277" s="27"/>
      <c r="O277" s="27"/>
      <c r="P277" s="27" t="s">
        <v>1542</v>
      </c>
      <c r="Q277" s="27" t="s">
        <v>1543</v>
      </c>
    </row>
    <row r="278" spans="1:17" ht="15" customHeight="1" x14ac:dyDescent="0.3">
      <c r="A278" s="27" t="s">
        <v>1544</v>
      </c>
      <c r="B278" s="27" t="s">
        <v>1545</v>
      </c>
      <c r="C278" s="27" t="s">
        <v>1546</v>
      </c>
      <c r="D278" s="27">
        <v>2026</v>
      </c>
      <c r="E278" s="27" t="s">
        <v>48</v>
      </c>
      <c r="F278" s="27" t="s">
        <v>11</v>
      </c>
      <c r="G278" s="27"/>
      <c r="H278" s="27"/>
      <c r="I278" s="28" t="str">
        <f t="shared" si="8"/>
        <v/>
      </c>
      <c r="J278" s="27"/>
      <c r="K278" s="28" t="str">
        <f t="shared" si="9"/>
        <v/>
      </c>
      <c r="L278" s="27"/>
      <c r="M278" s="27"/>
      <c r="N278" s="27"/>
      <c r="O278" s="27"/>
      <c r="P278" s="27" t="s">
        <v>1547</v>
      </c>
      <c r="Q278" s="27" t="s">
        <v>1548</v>
      </c>
    </row>
    <row r="279" spans="1:17" ht="15" customHeight="1" x14ac:dyDescent="0.3">
      <c r="A279" s="27" t="s">
        <v>1549</v>
      </c>
      <c r="B279" s="27" t="s">
        <v>1550</v>
      </c>
      <c r="C279" s="27" t="s">
        <v>1551</v>
      </c>
      <c r="D279" s="27">
        <v>2024</v>
      </c>
      <c r="E279" s="27" t="s">
        <v>48</v>
      </c>
      <c r="F279" s="27" t="s">
        <v>13</v>
      </c>
      <c r="G279" s="27"/>
      <c r="H279" s="27"/>
      <c r="I279" s="28" t="str">
        <f t="shared" si="8"/>
        <v/>
      </c>
      <c r="J279" s="27"/>
      <c r="K279" s="28" t="str">
        <f t="shared" si="9"/>
        <v/>
      </c>
      <c r="L279" s="27"/>
      <c r="M279" s="27"/>
      <c r="N279" s="27"/>
      <c r="O279" s="27"/>
      <c r="P279" s="27" t="s">
        <v>1552</v>
      </c>
      <c r="Q279" s="27" t="s">
        <v>1553</v>
      </c>
    </row>
    <row r="280" spans="1:17" ht="15" customHeight="1" x14ac:dyDescent="0.3">
      <c r="A280" s="27" t="s">
        <v>1554</v>
      </c>
      <c r="B280" s="27" t="s">
        <v>1555</v>
      </c>
      <c r="C280" s="27" t="s">
        <v>1556</v>
      </c>
      <c r="D280" s="27">
        <v>2025</v>
      </c>
      <c r="E280" s="27" t="s">
        <v>48</v>
      </c>
      <c r="F280" s="27" t="s">
        <v>15</v>
      </c>
      <c r="G280" s="27"/>
      <c r="H280" s="27"/>
      <c r="I280" s="28" t="str">
        <f t="shared" si="8"/>
        <v/>
      </c>
      <c r="J280" s="27"/>
      <c r="K280" s="28" t="str">
        <f t="shared" si="9"/>
        <v/>
      </c>
      <c r="L280" s="27"/>
      <c r="M280" s="27"/>
      <c r="N280" s="27"/>
      <c r="O280" s="27"/>
      <c r="P280" s="27" t="s">
        <v>1557</v>
      </c>
      <c r="Q280" s="27" t="s">
        <v>1558</v>
      </c>
    </row>
    <row r="281" spans="1:17" ht="15" customHeight="1" x14ac:dyDescent="0.3">
      <c r="A281" s="27" t="s">
        <v>1559</v>
      </c>
      <c r="B281" s="27" t="s">
        <v>1560</v>
      </c>
      <c r="C281" s="27" t="s">
        <v>1561</v>
      </c>
      <c r="D281" s="27">
        <v>2018</v>
      </c>
      <c r="E281" s="27" t="s">
        <v>48</v>
      </c>
      <c r="F281" s="27" t="s">
        <v>11</v>
      </c>
      <c r="G281" s="27"/>
      <c r="H281" s="27"/>
      <c r="I281" s="28" t="str">
        <f t="shared" si="8"/>
        <v/>
      </c>
      <c r="J281" s="27"/>
      <c r="K281" s="28" t="str">
        <f t="shared" si="9"/>
        <v/>
      </c>
      <c r="L281" s="27"/>
      <c r="M281" s="27"/>
      <c r="N281" s="27"/>
      <c r="O281" s="27"/>
      <c r="P281" s="27" t="s">
        <v>1562</v>
      </c>
      <c r="Q281" s="27" t="s">
        <v>1563</v>
      </c>
    </row>
    <row r="282" spans="1:17" ht="15" customHeight="1" x14ac:dyDescent="0.3">
      <c r="A282" s="27" t="s">
        <v>1564</v>
      </c>
      <c r="B282" s="27" t="s">
        <v>1565</v>
      </c>
      <c r="C282" s="27" t="s">
        <v>1566</v>
      </c>
      <c r="D282" s="27">
        <v>2025</v>
      </c>
      <c r="E282" s="27" t="s">
        <v>48</v>
      </c>
      <c r="F282" s="27" t="s">
        <v>13</v>
      </c>
      <c r="G282" s="27"/>
      <c r="H282" s="27"/>
      <c r="I282" s="28" t="str">
        <f t="shared" si="8"/>
        <v/>
      </c>
      <c r="J282" s="27"/>
      <c r="K282" s="28" t="str">
        <f t="shared" si="9"/>
        <v/>
      </c>
      <c r="L282" s="27"/>
      <c r="M282" s="27"/>
      <c r="N282" s="27"/>
      <c r="O282" s="27"/>
      <c r="P282" s="27" t="s">
        <v>1567</v>
      </c>
      <c r="Q282" s="27" t="s">
        <v>1568</v>
      </c>
    </row>
    <row r="283" spans="1:17" ht="15" customHeight="1" x14ac:dyDescent="0.3">
      <c r="A283" s="27" t="s">
        <v>1569</v>
      </c>
      <c r="B283" s="27" t="s">
        <v>1570</v>
      </c>
      <c r="C283" s="27" t="s">
        <v>1571</v>
      </c>
      <c r="D283" s="27">
        <v>2024</v>
      </c>
      <c r="E283" s="27" t="s">
        <v>48</v>
      </c>
      <c r="F283" s="27" t="s">
        <v>15</v>
      </c>
      <c r="G283" s="27"/>
      <c r="H283" s="27"/>
      <c r="I283" s="28" t="str">
        <f t="shared" si="8"/>
        <v/>
      </c>
      <c r="J283" s="27"/>
      <c r="K283" s="28" t="str">
        <f t="shared" si="9"/>
        <v/>
      </c>
      <c r="L283" s="27"/>
      <c r="M283" s="27"/>
      <c r="N283" s="27"/>
      <c r="O283" s="27"/>
      <c r="P283" s="27" t="s">
        <v>1572</v>
      </c>
      <c r="Q283" s="27" t="s">
        <v>1573</v>
      </c>
    </row>
    <row r="284" spans="1:17" ht="15" customHeight="1" x14ac:dyDescent="0.3">
      <c r="A284" s="27" t="s">
        <v>1574</v>
      </c>
      <c r="B284" s="27" t="s">
        <v>1575</v>
      </c>
      <c r="C284" s="27" t="s">
        <v>1576</v>
      </c>
      <c r="D284" s="27">
        <v>2019</v>
      </c>
      <c r="E284" s="27" t="s">
        <v>48</v>
      </c>
      <c r="F284" s="27" t="s">
        <v>11</v>
      </c>
      <c r="G284" s="27"/>
      <c r="H284" s="27"/>
      <c r="I284" s="28" t="str">
        <f t="shared" si="8"/>
        <v/>
      </c>
      <c r="J284" s="27"/>
      <c r="K284" s="28" t="str">
        <f t="shared" si="9"/>
        <v/>
      </c>
      <c r="L284" s="27"/>
      <c r="M284" s="27"/>
      <c r="N284" s="27"/>
      <c r="O284" s="27"/>
      <c r="P284" s="27" t="s">
        <v>1577</v>
      </c>
      <c r="Q284" s="27" t="s">
        <v>1578</v>
      </c>
    </row>
    <row r="285" spans="1:17" ht="15" customHeight="1" x14ac:dyDescent="0.3">
      <c r="A285" s="27" t="s">
        <v>1579</v>
      </c>
      <c r="B285" s="27" t="s">
        <v>1580</v>
      </c>
      <c r="C285" s="27" t="s">
        <v>1581</v>
      </c>
      <c r="D285" s="27">
        <v>2025</v>
      </c>
      <c r="E285" s="27" t="s">
        <v>48</v>
      </c>
      <c r="F285" s="27" t="s">
        <v>13</v>
      </c>
      <c r="G285" s="27"/>
      <c r="H285" s="27"/>
      <c r="I285" s="28" t="str">
        <f t="shared" si="8"/>
        <v/>
      </c>
      <c r="J285" s="27"/>
      <c r="K285" s="28" t="str">
        <f t="shared" si="9"/>
        <v/>
      </c>
      <c r="L285" s="27"/>
      <c r="M285" s="27"/>
      <c r="N285" s="27"/>
      <c r="O285" s="27"/>
      <c r="P285" s="27" t="s">
        <v>1582</v>
      </c>
      <c r="Q285" s="27" t="s">
        <v>1583</v>
      </c>
    </row>
    <row r="286" spans="1:17" ht="15" customHeight="1" x14ac:dyDescent="0.3">
      <c r="A286" s="27" t="s">
        <v>1584</v>
      </c>
      <c r="B286" s="27" t="s">
        <v>1585</v>
      </c>
      <c r="C286" s="27" t="s">
        <v>1586</v>
      </c>
      <c r="D286" s="27">
        <v>2025</v>
      </c>
      <c r="E286" s="27" t="s">
        <v>48</v>
      </c>
      <c r="F286" s="27" t="s">
        <v>15</v>
      </c>
      <c r="G286" s="27"/>
      <c r="H286" s="27"/>
      <c r="I286" s="28" t="str">
        <f t="shared" si="8"/>
        <v/>
      </c>
      <c r="J286" s="27"/>
      <c r="K286" s="28" t="str">
        <f t="shared" si="9"/>
        <v/>
      </c>
      <c r="L286" s="27"/>
      <c r="M286" s="27"/>
      <c r="N286" s="27"/>
      <c r="O286" s="27"/>
      <c r="P286" s="27" t="s">
        <v>1587</v>
      </c>
      <c r="Q286" s="27" t="s">
        <v>1588</v>
      </c>
    </row>
    <row r="287" spans="1:17" ht="15" customHeight="1" x14ac:dyDescent="0.3">
      <c r="A287" s="27" t="s">
        <v>1589</v>
      </c>
      <c r="B287" s="27" t="s">
        <v>1590</v>
      </c>
      <c r="C287" s="27" t="s">
        <v>1591</v>
      </c>
      <c r="D287" s="27">
        <v>2023</v>
      </c>
      <c r="E287" s="27" t="s">
        <v>48</v>
      </c>
      <c r="F287" s="27" t="s">
        <v>11</v>
      </c>
      <c r="G287" s="27"/>
      <c r="H287" s="27"/>
      <c r="I287" s="28" t="str">
        <f t="shared" si="8"/>
        <v/>
      </c>
      <c r="J287" s="27"/>
      <c r="K287" s="28" t="str">
        <f t="shared" si="9"/>
        <v/>
      </c>
      <c r="L287" s="27"/>
      <c r="M287" s="27"/>
      <c r="N287" s="27"/>
      <c r="O287" s="27"/>
      <c r="P287" s="27" t="s">
        <v>1592</v>
      </c>
      <c r="Q287" s="27" t="s">
        <v>1593</v>
      </c>
    </row>
    <row r="288" spans="1:17" ht="15" customHeight="1" x14ac:dyDescent="0.3">
      <c r="A288" s="27" t="s">
        <v>1594</v>
      </c>
      <c r="B288" s="27" t="s">
        <v>1595</v>
      </c>
      <c r="C288" s="27" t="s">
        <v>1596</v>
      </c>
      <c r="D288" s="27">
        <v>2023</v>
      </c>
      <c r="E288" s="27" t="s">
        <v>48</v>
      </c>
      <c r="F288" s="27" t="s">
        <v>13</v>
      </c>
      <c r="G288" s="27"/>
      <c r="H288" s="27"/>
      <c r="I288" s="28" t="str">
        <f t="shared" si="8"/>
        <v/>
      </c>
      <c r="J288" s="27"/>
      <c r="K288" s="28" t="str">
        <f t="shared" si="9"/>
        <v/>
      </c>
      <c r="L288" s="27"/>
      <c r="M288" s="27"/>
      <c r="N288" s="27"/>
      <c r="O288" s="27"/>
      <c r="P288" s="27" t="s">
        <v>1597</v>
      </c>
      <c r="Q288" s="27" t="s">
        <v>1598</v>
      </c>
    </row>
    <row r="289" spans="1:17" ht="15" customHeight="1" x14ac:dyDescent="0.3">
      <c r="A289" s="27" t="s">
        <v>1599</v>
      </c>
      <c r="B289" s="27" t="s">
        <v>1600</v>
      </c>
      <c r="C289" s="27" t="s">
        <v>1601</v>
      </c>
      <c r="D289" s="27">
        <v>2017</v>
      </c>
      <c r="E289" s="27" t="s">
        <v>48</v>
      </c>
      <c r="F289" s="27" t="s">
        <v>15</v>
      </c>
      <c r="G289" s="27"/>
      <c r="H289" s="27"/>
      <c r="I289" s="28" t="str">
        <f t="shared" si="8"/>
        <v/>
      </c>
      <c r="J289" s="27"/>
      <c r="K289" s="28" t="str">
        <f t="shared" si="9"/>
        <v/>
      </c>
      <c r="L289" s="27"/>
      <c r="M289" s="27"/>
      <c r="N289" s="27"/>
      <c r="O289" s="27"/>
      <c r="P289" s="27" t="s">
        <v>1602</v>
      </c>
      <c r="Q289" s="27" t="s">
        <v>1603</v>
      </c>
    </row>
    <row r="290" spans="1:17" ht="15" customHeight="1" x14ac:dyDescent="0.3">
      <c r="A290" s="27" t="s">
        <v>1604</v>
      </c>
      <c r="B290" s="27" t="s">
        <v>1605</v>
      </c>
      <c r="C290" s="27" t="s">
        <v>1606</v>
      </c>
      <c r="D290" s="27">
        <v>2026</v>
      </c>
      <c r="E290" s="27" t="s">
        <v>48</v>
      </c>
      <c r="F290" s="27" t="s">
        <v>11</v>
      </c>
      <c r="G290" s="27"/>
      <c r="H290" s="27"/>
      <c r="I290" s="28" t="str">
        <f t="shared" si="8"/>
        <v/>
      </c>
      <c r="J290" s="27"/>
      <c r="K290" s="28" t="str">
        <f t="shared" si="9"/>
        <v/>
      </c>
      <c r="L290" s="27"/>
      <c r="M290" s="27"/>
      <c r="N290" s="27"/>
      <c r="O290" s="27"/>
      <c r="P290" s="27" t="s">
        <v>1607</v>
      </c>
      <c r="Q290" s="27" t="s">
        <v>1608</v>
      </c>
    </row>
    <row r="291" spans="1:17" ht="15" customHeight="1" x14ac:dyDescent="0.3">
      <c r="A291" s="27" t="s">
        <v>1609</v>
      </c>
      <c r="B291" s="27" t="s">
        <v>1610</v>
      </c>
      <c r="C291" s="27" t="s">
        <v>1611</v>
      </c>
      <c r="D291" s="27">
        <v>2021</v>
      </c>
      <c r="E291" s="27" t="s">
        <v>48</v>
      </c>
      <c r="F291" s="27" t="s">
        <v>13</v>
      </c>
      <c r="G291" s="27"/>
      <c r="H291" s="27"/>
      <c r="I291" s="28" t="str">
        <f t="shared" si="8"/>
        <v/>
      </c>
      <c r="J291" s="27"/>
      <c r="K291" s="28" t="str">
        <f t="shared" si="9"/>
        <v/>
      </c>
      <c r="L291" s="27"/>
      <c r="M291" s="27"/>
      <c r="N291" s="27"/>
      <c r="O291" s="27"/>
      <c r="P291" s="27" t="s">
        <v>238</v>
      </c>
      <c r="Q291" s="27" t="s">
        <v>1612</v>
      </c>
    </row>
    <row r="292" spans="1:17" ht="15" customHeight="1" x14ac:dyDescent="0.3">
      <c r="A292" s="27" t="s">
        <v>1613</v>
      </c>
      <c r="B292" s="27" t="s">
        <v>1614</v>
      </c>
      <c r="C292" s="27" t="s">
        <v>1615</v>
      </c>
      <c r="D292" s="27">
        <v>2023</v>
      </c>
      <c r="E292" s="27" t="s">
        <v>48</v>
      </c>
      <c r="F292" s="27" t="s">
        <v>15</v>
      </c>
      <c r="G292" s="27"/>
      <c r="H292" s="27"/>
      <c r="I292" s="28" t="str">
        <f t="shared" si="8"/>
        <v/>
      </c>
      <c r="J292" s="27"/>
      <c r="K292" s="28" t="str">
        <f t="shared" si="9"/>
        <v/>
      </c>
      <c r="L292" s="27"/>
      <c r="M292" s="27"/>
      <c r="N292" s="27"/>
      <c r="O292" s="27"/>
      <c r="P292" s="27" t="s">
        <v>1616</v>
      </c>
      <c r="Q292" s="27" t="s">
        <v>1617</v>
      </c>
    </row>
    <row r="293" spans="1:17" ht="15" customHeight="1" x14ac:dyDescent="0.3">
      <c r="A293" s="27" t="s">
        <v>1618</v>
      </c>
      <c r="B293" s="27" t="s">
        <v>1619</v>
      </c>
      <c r="C293" s="27" t="s">
        <v>1620</v>
      </c>
      <c r="D293" s="27">
        <v>2020</v>
      </c>
      <c r="E293" s="27" t="s">
        <v>48</v>
      </c>
      <c r="F293" s="27" t="s">
        <v>11</v>
      </c>
      <c r="G293" s="27"/>
      <c r="H293" s="27"/>
      <c r="I293" s="28" t="str">
        <f t="shared" si="8"/>
        <v/>
      </c>
      <c r="J293" s="27"/>
      <c r="K293" s="28" t="str">
        <f t="shared" si="9"/>
        <v/>
      </c>
      <c r="L293" s="27"/>
      <c r="M293" s="27"/>
      <c r="N293" s="27"/>
      <c r="O293" s="27"/>
      <c r="P293" s="27" t="s">
        <v>1621</v>
      </c>
      <c r="Q293" s="27" t="s">
        <v>1622</v>
      </c>
    </row>
    <row r="294" spans="1:17" ht="15" customHeight="1" x14ac:dyDescent="0.3">
      <c r="A294" s="27" t="s">
        <v>1623</v>
      </c>
      <c r="B294" s="27" t="s">
        <v>1624</v>
      </c>
      <c r="C294" s="27" t="s">
        <v>1625</v>
      </c>
      <c r="D294" s="27">
        <v>2022</v>
      </c>
      <c r="E294" s="27" t="s">
        <v>48</v>
      </c>
      <c r="F294" s="27" t="s">
        <v>13</v>
      </c>
      <c r="G294" s="27"/>
      <c r="H294" s="27"/>
      <c r="I294" s="28" t="str">
        <f t="shared" si="8"/>
        <v/>
      </c>
      <c r="J294" s="27"/>
      <c r="K294" s="28" t="str">
        <f t="shared" si="9"/>
        <v/>
      </c>
      <c r="L294" s="27"/>
      <c r="M294" s="27"/>
      <c r="N294" s="27"/>
      <c r="O294" s="27"/>
      <c r="P294" s="27" t="s">
        <v>1626</v>
      </c>
      <c r="Q294" s="27" t="s">
        <v>1627</v>
      </c>
    </row>
    <row r="295" spans="1:17" ht="15" customHeight="1" x14ac:dyDescent="0.3">
      <c r="A295" s="27" t="s">
        <v>1628</v>
      </c>
      <c r="B295" s="27" t="s">
        <v>1629</v>
      </c>
      <c r="C295" s="27" t="s">
        <v>1630</v>
      </c>
      <c r="D295" s="27">
        <v>2022</v>
      </c>
      <c r="E295" s="27" t="s">
        <v>48</v>
      </c>
      <c r="F295" s="27" t="s">
        <v>15</v>
      </c>
      <c r="G295" s="27"/>
      <c r="H295" s="27"/>
      <c r="I295" s="28" t="str">
        <f t="shared" si="8"/>
        <v/>
      </c>
      <c r="J295" s="27"/>
      <c r="K295" s="28" t="str">
        <f t="shared" si="9"/>
        <v/>
      </c>
      <c r="L295" s="27"/>
      <c r="M295" s="27"/>
      <c r="N295" s="27"/>
      <c r="O295" s="27"/>
      <c r="P295" s="27" t="s">
        <v>1631</v>
      </c>
      <c r="Q295" s="27" t="s">
        <v>1632</v>
      </c>
    </row>
    <row r="296" spans="1:17" ht="15" customHeight="1" x14ac:dyDescent="0.3">
      <c r="A296" s="27" t="s">
        <v>1633</v>
      </c>
      <c r="B296" s="27" t="s">
        <v>1634</v>
      </c>
      <c r="C296" s="27" t="s">
        <v>1635</v>
      </c>
      <c r="D296" s="27">
        <v>2026</v>
      </c>
      <c r="E296" s="27" t="s">
        <v>48</v>
      </c>
      <c r="F296" s="27" t="s">
        <v>11</v>
      </c>
      <c r="G296" s="27"/>
      <c r="H296" s="27"/>
      <c r="I296" s="28" t="str">
        <f t="shared" si="8"/>
        <v/>
      </c>
      <c r="J296" s="27"/>
      <c r="K296" s="28" t="str">
        <f t="shared" si="9"/>
        <v/>
      </c>
      <c r="L296" s="27"/>
      <c r="M296" s="27"/>
      <c r="N296" s="27"/>
      <c r="O296" s="27"/>
      <c r="P296" s="27" t="s">
        <v>1636</v>
      </c>
      <c r="Q296" s="27" t="s">
        <v>1637</v>
      </c>
    </row>
    <row r="297" spans="1:17" ht="15" customHeight="1" x14ac:dyDescent="0.3">
      <c r="A297" s="27" t="s">
        <v>1638</v>
      </c>
      <c r="B297" s="27" t="s">
        <v>1639</v>
      </c>
      <c r="C297" s="27" t="s">
        <v>1640</v>
      </c>
      <c r="D297" s="27">
        <v>2024</v>
      </c>
      <c r="E297" s="27" t="s">
        <v>48</v>
      </c>
      <c r="F297" s="27" t="s">
        <v>13</v>
      </c>
      <c r="G297" s="27"/>
      <c r="H297" s="27"/>
      <c r="I297" s="28" t="str">
        <f t="shared" si="8"/>
        <v/>
      </c>
      <c r="J297" s="27"/>
      <c r="K297" s="28" t="str">
        <f t="shared" si="9"/>
        <v/>
      </c>
      <c r="L297" s="27"/>
      <c r="M297" s="27"/>
      <c r="N297" s="27"/>
      <c r="O297" s="27"/>
      <c r="P297" s="27" t="s">
        <v>1641</v>
      </c>
      <c r="Q297" s="27" t="s">
        <v>1642</v>
      </c>
    </row>
    <row r="298" spans="1:17" ht="15" customHeight="1" x14ac:dyDescent="0.3">
      <c r="A298" s="27" t="s">
        <v>1643</v>
      </c>
      <c r="B298" s="27" t="s">
        <v>1644</v>
      </c>
      <c r="C298" s="27" t="s">
        <v>1645</v>
      </c>
      <c r="D298" s="27">
        <v>2024</v>
      </c>
      <c r="E298" s="27" t="s">
        <v>142</v>
      </c>
      <c r="F298" s="27" t="s">
        <v>15</v>
      </c>
      <c r="G298" s="27"/>
      <c r="H298" s="27"/>
      <c r="I298" s="28" t="str">
        <f t="shared" si="8"/>
        <v/>
      </c>
      <c r="J298" s="27"/>
      <c r="K298" s="28" t="str">
        <f t="shared" si="9"/>
        <v/>
      </c>
      <c r="L298" s="27"/>
      <c r="M298" s="27"/>
      <c r="N298" s="27"/>
      <c r="O298" s="27"/>
      <c r="P298" s="27" t="s">
        <v>1646</v>
      </c>
      <c r="Q298" s="27" t="s">
        <v>1647</v>
      </c>
    </row>
    <row r="299" spans="1:17" ht="15" customHeight="1" x14ac:dyDescent="0.3">
      <c r="A299" s="27" t="s">
        <v>1648</v>
      </c>
      <c r="B299" s="27" t="s">
        <v>1649</v>
      </c>
      <c r="C299" s="27" t="s">
        <v>1650</v>
      </c>
      <c r="D299" s="27">
        <v>2025</v>
      </c>
      <c r="E299" s="27" t="s">
        <v>48</v>
      </c>
      <c r="F299" s="27" t="s">
        <v>11</v>
      </c>
      <c r="G299" s="27"/>
      <c r="H299" s="27"/>
      <c r="I299" s="28" t="str">
        <f t="shared" si="8"/>
        <v/>
      </c>
      <c r="J299" s="27"/>
      <c r="K299" s="28" t="str">
        <f t="shared" si="9"/>
        <v/>
      </c>
      <c r="L299" s="27"/>
      <c r="M299" s="27"/>
      <c r="N299" s="27"/>
      <c r="O299" s="27"/>
      <c r="P299" s="27" t="s">
        <v>1651</v>
      </c>
      <c r="Q299" s="27" t="s">
        <v>1652</v>
      </c>
    </row>
    <row r="300" spans="1:17" ht="15" customHeight="1" x14ac:dyDescent="0.3">
      <c r="A300" s="27" t="s">
        <v>1653</v>
      </c>
      <c r="B300" s="27" t="s">
        <v>1654</v>
      </c>
      <c r="C300" s="27" t="s">
        <v>1655</v>
      </c>
      <c r="D300" s="27">
        <v>2023</v>
      </c>
      <c r="E300" s="27" t="s">
        <v>48</v>
      </c>
      <c r="F300" s="27" t="s">
        <v>13</v>
      </c>
      <c r="G300" s="27"/>
      <c r="H300" s="27"/>
      <c r="I300" s="28" t="str">
        <f t="shared" si="8"/>
        <v/>
      </c>
      <c r="J300" s="27"/>
      <c r="K300" s="28" t="str">
        <f t="shared" si="9"/>
        <v/>
      </c>
      <c r="L300" s="27"/>
      <c r="M300" s="27"/>
      <c r="N300" s="27"/>
      <c r="O300" s="27"/>
      <c r="P300" s="27" t="s">
        <v>1656</v>
      </c>
      <c r="Q300" s="27" t="s">
        <v>1657</v>
      </c>
    </row>
    <row r="301" spans="1:17" ht="15" customHeight="1" x14ac:dyDescent="0.3">
      <c r="A301" s="27" t="s">
        <v>1658</v>
      </c>
      <c r="B301" s="27" t="s">
        <v>1659</v>
      </c>
      <c r="C301" s="27" t="s">
        <v>1660</v>
      </c>
      <c r="D301" s="27">
        <v>2018</v>
      </c>
      <c r="E301" s="27" t="s">
        <v>48</v>
      </c>
      <c r="F301" s="27" t="s">
        <v>15</v>
      </c>
      <c r="G301" s="27"/>
      <c r="H301" s="27"/>
      <c r="I301" s="28" t="str">
        <f t="shared" si="8"/>
        <v/>
      </c>
      <c r="J301" s="27"/>
      <c r="K301" s="28" t="str">
        <f t="shared" si="9"/>
        <v/>
      </c>
      <c r="L301" s="27"/>
      <c r="M301" s="27"/>
      <c r="N301" s="27"/>
      <c r="O301" s="27"/>
      <c r="P301" s="27" t="s">
        <v>1661</v>
      </c>
      <c r="Q301" s="27" t="s">
        <v>1662</v>
      </c>
    </row>
    <row r="302" spans="1:17" ht="15" customHeight="1" x14ac:dyDescent="0.3">
      <c r="A302" s="27" t="s">
        <v>1663</v>
      </c>
      <c r="B302" s="27" t="s">
        <v>1664</v>
      </c>
      <c r="C302" s="27" t="s">
        <v>1665</v>
      </c>
      <c r="D302" s="27">
        <v>2024</v>
      </c>
      <c r="E302" s="27" t="s">
        <v>48</v>
      </c>
      <c r="F302" s="27" t="s">
        <v>11</v>
      </c>
      <c r="G302" s="27"/>
      <c r="H302" s="27"/>
      <c r="I302" s="28" t="str">
        <f t="shared" si="8"/>
        <v/>
      </c>
      <c r="J302" s="27"/>
      <c r="K302" s="28" t="str">
        <f t="shared" si="9"/>
        <v/>
      </c>
      <c r="L302" s="27"/>
      <c r="M302" s="27"/>
      <c r="N302" s="27"/>
      <c r="O302" s="27"/>
      <c r="P302" s="27" t="s">
        <v>238</v>
      </c>
      <c r="Q302" s="27" t="s">
        <v>1666</v>
      </c>
    </row>
    <row r="303" spans="1:17" ht="15" customHeight="1" x14ac:dyDescent="0.3">
      <c r="A303" s="27" t="s">
        <v>1667</v>
      </c>
      <c r="B303" s="27" t="s">
        <v>1668</v>
      </c>
      <c r="C303" s="27" t="s">
        <v>1669</v>
      </c>
      <c r="D303" s="27">
        <v>2023</v>
      </c>
      <c r="E303" s="27" t="s">
        <v>48</v>
      </c>
      <c r="F303" s="27" t="s">
        <v>13</v>
      </c>
      <c r="G303" s="27"/>
      <c r="H303" s="27"/>
      <c r="I303" s="28" t="str">
        <f t="shared" si="8"/>
        <v/>
      </c>
      <c r="J303" s="27"/>
      <c r="K303" s="28" t="str">
        <f t="shared" si="9"/>
        <v/>
      </c>
      <c r="L303" s="27"/>
      <c r="M303" s="27"/>
      <c r="N303" s="27"/>
      <c r="O303" s="27"/>
      <c r="P303" s="27" t="s">
        <v>1670</v>
      </c>
      <c r="Q303" s="27" t="s">
        <v>1671</v>
      </c>
    </row>
    <row r="304" spans="1:17" ht="15" customHeight="1" x14ac:dyDescent="0.3">
      <c r="A304" s="27" t="s">
        <v>1672</v>
      </c>
      <c r="B304" s="27" t="s">
        <v>1673</v>
      </c>
      <c r="C304" s="27" t="s">
        <v>1674</v>
      </c>
      <c r="D304" s="27">
        <v>2026</v>
      </c>
      <c r="E304" s="27" t="s">
        <v>48</v>
      </c>
      <c r="F304" s="27" t="s">
        <v>15</v>
      </c>
      <c r="G304" s="27"/>
      <c r="H304" s="27"/>
      <c r="I304" s="28" t="str">
        <f t="shared" si="8"/>
        <v/>
      </c>
      <c r="J304" s="27"/>
      <c r="K304" s="28" t="str">
        <f t="shared" si="9"/>
        <v/>
      </c>
      <c r="L304" s="27"/>
      <c r="M304" s="27"/>
      <c r="N304" s="27"/>
      <c r="O304" s="27"/>
      <c r="P304" s="27" t="s">
        <v>1675</v>
      </c>
      <c r="Q304" s="27" t="s">
        <v>1676</v>
      </c>
    </row>
    <row r="305" spans="1:17" ht="15" customHeight="1" x14ac:dyDescent="0.3">
      <c r="A305" s="27" t="s">
        <v>1677</v>
      </c>
      <c r="B305" s="27" t="s">
        <v>1678</v>
      </c>
      <c r="C305" s="27" t="s">
        <v>1679</v>
      </c>
      <c r="D305" s="27">
        <v>2026</v>
      </c>
      <c r="E305" s="27" t="s">
        <v>48</v>
      </c>
      <c r="F305" s="27" t="s">
        <v>11</v>
      </c>
      <c r="G305" s="27"/>
      <c r="H305" s="27"/>
      <c r="I305" s="28" t="str">
        <f t="shared" si="8"/>
        <v/>
      </c>
      <c r="J305" s="27"/>
      <c r="K305" s="28" t="str">
        <f t="shared" si="9"/>
        <v/>
      </c>
      <c r="L305" s="27"/>
      <c r="M305" s="27"/>
      <c r="N305" s="27"/>
      <c r="O305" s="27"/>
      <c r="P305" s="27" t="s">
        <v>1680</v>
      </c>
      <c r="Q305" s="27" t="s">
        <v>1681</v>
      </c>
    </row>
    <row r="306" spans="1:17" ht="15" customHeight="1" x14ac:dyDescent="0.3">
      <c r="A306" s="27" t="s">
        <v>1682</v>
      </c>
      <c r="B306" s="27" t="s">
        <v>1683</v>
      </c>
      <c r="C306" s="27" t="s">
        <v>1684</v>
      </c>
      <c r="D306" s="27">
        <v>2019</v>
      </c>
      <c r="E306" s="27" t="s">
        <v>48</v>
      </c>
      <c r="F306" s="27" t="s">
        <v>13</v>
      </c>
      <c r="G306" s="27"/>
      <c r="H306" s="27"/>
      <c r="I306" s="28" t="str">
        <f t="shared" si="8"/>
        <v/>
      </c>
      <c r="J306" s="27"/>
      <c r="K306" s="28" t="str">
        <f t="shared" si="9"/>
        <v/>
      </c>
      <c r="L306" s="27"/>
      <c r="M306" s="27"/>
      <c r="N306" s="27"/>
      <c r="O306" s="27"/>
      <c r="P306" s="27" t="s">
        <v>1685</v>
      </c>
      <c r="Q306" s="27" t="s">
        <v>1686</v>
      </c>
    </row>
    <row r="307" spans="1:17" ht="15" customHeight="1" x14ac:dyDescent="0.3">
      <c r="A307" s="27" t="s">
        <v>1687</v>
      </c>
      <c r="B307" s="27" t="s">
        <v>1688</v>
      </c>
      <c r="C307" s="27" t="s">
        <v>1689</v>
      </c>
      <c r="D307" s="27">
        <v>2016</v>
      </c>
      <c r="E307" s="27" t="s">
        <v>48</v>
      </c>
      <c r="F307" s="27" t="s">
        <v>15</v>
      </c>
      <c r="G307" s="27"/>
      <c r="H307" s="27"/>
      <c r="I307" s="28" t="str">
        <f t="shared" si="8"/>
        <v/>
      </c>
      <c r="J307" s="27"/>
      <c r="K307" s="28" t="str">
        <f t="shared" si="9"/>
        <v/>
      </c>
      <c r="L307" s="27"/>
      <c r="M307" s="27"/>
      <c r="N307" s="27"/>
      <c r="O307" s="27"/>
      <c r="P307" s="27" t="s">
        <v>1690</v>
      </c>
      <c r="Q307" s="27" t="s">
        <v>1691</v>
      </c>
    </row>
    <row r="308" spans="1:17" ht="15" customHeight="1" x14ac:dyDescent="0.3">
      <c r="A308" s="27" t="s">
        <v>1692</v>
      </c>
      <c r="B308" s="27" t="s">
        <v>1693</v>
      </c>
      <c r="C308" s="27" t="s">
        <v>1694</v>
      </c>
      <c r="D308" s="27">
        <v>2021</v>
      </c>
      <c r="E308" s="27" t="s">
        <v>48</v>
      </c>
      <c r="F308" s="27" t="s">
        <v>11</v>
      </c>
      <c r="G308" s="27"/>
      <c r="H308" s="27"/>
      <c r="I308" s="28" t="str">
        <f t="shared" si="8"/>
        <v/>
      </c>
      <c r="J308" s="27"/>
      <c r="K308" s="28" t="str">
        <f t="shared" si="9"/>
        <v/>
      </c>
      <c r="L308" s="27"/>
      <c r="M308" s="27"/>
      <c r="N308" s="27"/>
      <c r="O308" s="27"/>
      <c r="P308" s="27" t="s">
        <v>1695</v>
      </c>
      <c r="Q308" s="27" t="s">
        <v>1696</v>
      </c>
    </row>
    <row r="309" spans="1:17" ht="15" customHeight="1" x14ac:dyDescent="0.3">
      <c r="A309" s="27" t="s">
        <v>1697</v>
      </c>
      <c r="B309" s="27" t="s">
        <v>1698</v>
      </c>
      <c r="C309" s="27" t="s">
        <v>1699</v>
      </c>
      <c r="D309" s="27">
        <v>2022</v>
      </c>
      <c r="E309" s="27" t="s">
        <v>48</v>
      </c>
      <c r="F309" s="27" t="s">
        <v>13</v>
      </c>
      <c r="G309" s="27"/>
      <c r="H309" s="27"/>
      <c r="I309" s="28" t="str">
        <f t="shared" si="8"/>
        <v/>
      </c>
      <c r="J309" s="27"/>
      <c r="K309" s="28" t="str">
        <f t="shared" si="9"/>
        <v/>
      </c>
      <c r="L309" s="27"/>
      <c r="M309" s="27"/>
      <c r="N309" s="27"/>
      <c r="O309" s="27"/>
      <c r="P309" s="27" t="s">
        <v>1700</v>
      </c>
      <c r="Q309" s="27" t="s">
        <v>1701</v>
      </c>
    </row>
    <row r="310" spans="1:17" ht="15" customHeight="1" x14ac:dyDescent="0.3">
      <c r="A310" s="27" t="s">
        <v>1702</v>
      </c>
      <c r="B310" s="27" t="s">
        <v>1703</v>
      </c>
      <c r="C310" s="27" t="s">
        <v>1704</v>
      </c>
      <c r="D310" s="27">
        <v>2025</v>
      </c>
      <c r="E310" s="27" t="s">
        <v>48</v>
      </c>
      <c r="F310" s="27" t="s">
        <v>15</v>
      </c>
      <c r="G310" s="27"/>
      <c r="H310" s="27"/>
      <c r="I310" s="28" t="str">
        <f t="shared" si="8"/>
        <v/>
      </c>
      <c r="J310" s="27"/>
      <c r="K310" s="28" t="str">
        <f t="shared" si="9"/>
        <v/>
      </c>
      <c r="L310" s="27"/>
      <c r="M310" s="27"/>
      <c r="N310" s="27"/>
      <c r="O310" s="27"/>
      <c r="P310" s="27" t="s">
        <v>1705</v>
      </c>
      <c r="Q310" s="27" t="s">
        <v>1706</v>
      </c>
    </row>
    <row r="311" spans="1:17" ht="15" customHeight="1" x14ac:dyDescent="0.3">
      <c r="A311" s="27" t="s">
        <v>1707</v>
      </c>
      <c r="B311" s="27" t="s">
        <v>1708</v>
      </c>
      <c r="C311" s="27" t="s">
        <v>1709</v>
      </c>
      <c r="D311" s="27">
        <v>2026</v>
      </c>
      <c r="E311" s="27" t="s">
        <v>142</v>
      </c>
      <c r="F311" s="27" t="s">
        <v>11</v>
      </c>
      <c r="G311" s="27"/>
      <c r="H311" s="27"/>
      <c r="I311" s="28" t="str">
        <f t="shared" si="8"/>
        <v/>
      </c>
      <c r="J311" s="27"/>
      <c r="K311" s="28" t="str">
        <f t="shared" si="9"/>
        <v/>
      </c>
      <c r="L311" s="27"/>
      <c r="M311" s="27"/>
      <c r="N311" s="27"/>
      <c r="O311" s="27"/>
      <c r="P311" s="27" t="s">
        <v>1710</v>
      </c>
      <c r="Q311" s="27" t="s">
        <v>1711</v>
      </c>
    </row>
    <row r="312" spans="1:17" ht="15" customHeight="1" x14ac:dyDescent="0.3">
      <c r="A312" s="27" t="s">
        <v>1712</v>
      </c>
      <c r="B312" s="27" t="s">
        <v>1713</v>
      </c>
      <c r="C312" s="27" t="s">
        <v>1714</v>
      </c>
      <c r="D312" s="27">
        <v>2022</v>
      </c>
      <c r="E312" s="27" t="s">
        <v>48</v>
      </c>
      <c r="F312" s="27" t="s">
        <v>13</v>
      </c>
      <c r="G312" s="27"/>
      <c r="H312" s="27"/>
      <c r="I312" s="28" t="str">
        <f t="shared" si="8"/>
        <v/>
      </c>
      <c r="J312" s="27"/>
      <c r="K312" s="28" t="str">
        <f t="shared" si="9"/>
        <v/>
      </c>
      <c r="L312" s="27"/>
      <c r="M312" s="27"/>
      <c r="N312" s="27"/>
      <c r="O312" s="27"/>
      <c r="P312" s="27" t="s">
        <v>238</v>
      </c>
      <c r="Q312" s="27" t="s">
        <v>1715</v>
      </c>
    </row>
    <row r="313" spans="1:17" ht="15" customHeight="1" x14ac:dyDescent="0.3">
      <c r="A313" s="27" t="s">
        <v>1716</v>
      </c>
      <c r="B313" s="27" t="s">
        <v>1717</v>
      </c>
      <c r="C313" s="27" t="s">
        <v>1718</v>
      </c>
      <c r="D313" s="27">
        <v>2025</v>
      </c>
      <c r="E313" s="27" t="s">
        <v>48</v>
      </c>
      <c r="F313" s="27" t="s">
        <v>15</v>
      </c>
      <c r="G313" s="27"/>
      <c r="H313" s="27"/>
      <c r="I313" s="28" t="str">
        <f t="shared" si="8"/>
        <v/>
      </c>
      <c r="J313" s="27"/>
      <c r="K313" s="28" t="str">
        <f t="shared" si="9"/>
        <v/>
      </c>
      <c r="L313" s="27"/>
      <c r="M313" s="27"/>
      <c r="N313" s="27"/>
      <c r="O313" s="27"/>
      <c r="P313" s="27" t="s">
        <v>1719</v>
      </c>
      <c r="Q313" s="27" t="s">
        <v>1720</v>
      </c>
    </row>
    <row r="314" spans="1:17" ht="15" customHeight="1" x14ac:dyDescent="0.3">
      <c r="A314" s="27" t="s">
        <v>1721</v>
      </c>
      <c r="B314" s="27" t="s">
        <v>1722</v>
      </c>
      <c r="C314" s="27" t="s">
        <v>1723</v>
      </c>
      <c r="D314" s="27">
        <v>2022</v>
      </c>
      <c r="E314" s="27" t="s">
        <v>48</v>
      </c>
      <c r="F314" s="27" t="s">
        <v>11</v>
      </c>
      <c r="G314" s="27"/>
      <c r="H314" s="27"/>
      <c r="I314" s="28" t="str">
        <f t="shared" si="8"/>
        <v/>
      </c>
      <c r="J314" s="27"/>
      <c r="K314" s="28" t="str">
        <f t="shared" si="9"/>
        <v/>
      </c>
      <c r="L314" s="27"/>
      <c r="M314" s="27"/>
      <c r="N314" s="27"/>
      <c r="O314" s="27"/>
      <c r="P314" s="27" t="s">
        <v>1724</v>
      </c>
      <c r="Q314" s="27" t="s">
        <v>1725</v>
      </c>
    </row>
    <row r="315" spans="1:17" ht="15" customHeight="1" x14ac:dyDescent="0.3">
      <c r="A315" s="27" t="s">
        <v>1726</v>
      </c>
      <c r="B315" s="27" t="s">
        <v>1727</v>
      </c>
      <c r="C315" s="27" t="s">
        <v>1728</v>
      </c>
      <c r="D315" s="27">
        <v>2025</v>
      </c>
      <c r="E315" s="27" t="s">
        <v>48</v>
      </c>
      <c r="F315" s="27" t="s">
        <v>13</v>
      </c>
      <c r="G315" s="27"/>
      <c r="H315" s="27"/>
      <c r="I315" s="28" t="str">
        <f t="shared" si="8"/>
        <v/>
      </c>
      <c r="J315" s="27"/>
      <c r="K315" s="28" t="str">
        <f t="shared" si="9"/>
        <v/>
      </c>
      <c r="L315" s="27"/>
      <c r="M315" s="27"/>
      <c r="N315" s="27"/>
      <c r="O315" s="27"/>
      <c r="P315" s="27" t="s">
        <v>1729</v>
      </c>
      <c r="Q315" s="27" t="s">
        <v>1730</v>
      </c>
    </row>
    <row r="316" spans="1:17" ht="15" customHeight="1" x14ac:dyDescent="0.3">
      <c r="A316" s="27" t="s">
        <v>1731</v>
      </c>
      <c r="B316" s="27" t="s">
        <v>1732</v>
      </c>
      <c r="C316" s="27" t="s">
        <v>1733</v>
      </c>
      <c r="D316" s="27">
        <v>2026</v>
      </c>
      <c r="E316" s="27" t="s">
        <v>48</v>
      </c>
      <c r="F316" s="27" t="s">
        <v>15</v>
      </c>
      <c r="G316" s="27"/>
      <c r="H316" s="27"/>
      <c r="I316" s="28" t="str">
        <f t="shared" si="8"/>
        <v/>
      </c>
      <c r="J316" s="27"/>
      <c r="K316" s="28" t="str">
        <f t="shared" si="9"/>
        <v/>
      </c>
      <c r="L316" s="27"/>
      <c r="M316" s="27"/>
      <c r="N316" s="27"/>
      <c r="O316" s="27"/>
      <c r="P316" s="27" t="s">
        <v>1734</v>
      </c>
      <c r="Q316" s="27" t="s">
        <v>1735</v>
      </c>
    </row>
    <row r="317" spans="1:17" ht="15" customHeight="1" x14ac:dyDescent="0.3">
      <c r="A317" s="27" t="s">
        <v>1736</v>
      </c>
      <c r="B317" s="27" t="s">
        <v>1737</v>
      </c>
      <c r="C317" s="27" t="s">
        <v>1738</v>
      </c>
      <c r="D317" s="27">
        <v>2026</v>
      </c>
      <c r="E317" s="27" t="s">
        <v>48</v>
      </c>
      <c r="F317" s="27" t="s">
        <v>11</v>
      </c>
      <c r="G317" s="27"/>
      <c r="H317" s="27"/>
      <c r="I317" s="28" t="str">
        <f t="shared" si="8"/>
        <v/>
      </c>
      <c r="J317" s="27"/>
      <c r="K317" s="28" t="str">
        <f t="shared" si="9"/>
        <v/>
      </c>
      <c r="L317" s="27"/>
      <c r="M317" s="27"/>
      <c r="N317" s="27"/>
      <c r="O317" s="27"/>
      <c r="P317" s="27" t="s">
        <v>1739</v>
      </c>
      <c r="Q317" s="27" t="s">
        <v>1740</v>
      </c>
    </row>
    <row r="318" spans="1:17" ht="15" customHeight="1" x14ac:dyDescent="0.3">
      <c r="A318" s="27" t="s">
        <v>1741</v>
      </c>
      <c r="B318" s="27" t="s">
        <v>1742</v>
      </c>
      <c r="C318" s="27" t="s">
        <v>1743</v>
      </c>
      <c r="D318" s="27">
        <v>2026</v>
      </c>
      <c r="E318" s="27" t="s">
        <v>48</v>
      </c>
      <c r="F318" s="27" t="s">
        <v>13</v>
      </c>
      <c r="G318" s="27"/>
      <c r="H318" s="27"/>
      <c r="I318" s="28" t="str">
        <f t="shared" si="8"/>
        <v/>
      </c>
      <c r="J318" s="27"/>
      <c r="K318" s="28" t="str">
        <f t="shared" si="9"/>
        <v/>
      </c>
      <c r="L318" s="27"/>
      <c r="M318" s="27"/>
      <c r="N318" s="27"/>
      <c r="O318" s="27"/>
      <c r="P318" s="27" t="s">
        <v>1744</v>
      </c>
      <c r="Q318" s="27" t="s">
        <v>1745</v>
      </c>
    </row>
    <row r="319" spans="1:17" ht="15" customHeight="1" x14ac:dyDescent="0.3">
      <c r="A319" s="27" t="s">
        <v>1746</v>
      </c>
      <c r="B319" s="27" t="s">
        <v>1747</v>
      </c>
      <c r="C319" s="27" t="s">
        <v>1748</v>
      </c>
      <c r="D319" s="27">
        <v>2026</v>
      </c>
      <c r="E319" s="27" t="s">
        <v>48</v>
      </c>
      <c r="F319" s="27" t="s">
        <v>15</v>
      </c>
      <c r="G319" s="27"/>
      <c r="H319" s="27"/>
      <c r="I319" s="28" t="str">
        <f t="shared" si="8"/>
        <v/>
      </c>
      <c r="J319" s="27"/>
      <c r="K319" s="28" t="str">
        <f t="shared" si="9"/>
        <v/>
      </c>
      <c r="L319" s="27"/>
      <c r="M319" s="27"/>
      <c r="N319" s="27"/>
      <c r="O319" s="27"/>
      <c r="P319" s="27" t="s">
        <v>1749</v>
      </c>
      <c r="Q319" s="27" t="s">
        <v>1750</v>
      </c>
    </row>
    <row r="320" spans="1:17" ht="15" customHeight="1" x14ac:dyDescent="0.3">
      <c r="A320" s="27" t="s">
        <v>1751</v>
      </c>
      <c r="B320" s="27" t="s">
        <v>1752</v>
      </c>
      <c r="C320" s="27" t="s">
        <v>1753</v>
      </c>
      <c r="D320" s="27">
        <v>2022</v>
      </c>
      <c r="E320" s="27" t="s">
        <v>48</v>
      </c>
      <c r="F320" s="27" t="s">
        <v>11</v>
      </c>
      <c r="G320" s="27"/>
      <c r="H320" s="27"/>
      <c r="I320" s="28" t="str">
        <f t="shared" si="8"/>
        <v/>
      </c>
      <c r="J320" s="27"/>
      <c r="K320" s="28" t="str">
        <f t="shared" si="9"/>
        <v/>
      </c>
      <c r="L320" s="27"/>
      <c r="M320" s="27"/>
      <c r="N320" s="27"/>
      <c r="O320" s="27"/>
      <c r="P320" s="27" t="s">
        <v>1754</v>
      </c>
      <c r="Q320" s="27" t="s">
        <v>1755</v>
      </c>
    </row>
    <row r="321" spans="1:17" ht="15" customHeight="1" x14ac:dyDescent="0.3">
      <c r="A321" s="27" t="s">
        <v>1756</v>
      </c>
      <c r="B321" s="27" t="s">
        <v>1757</v>
      </c>
      <c r="C321" s="27" t="s">
        <v>1758</v>
      </c>
      <c r="D321" s="27">
        <v>2018</v>
      </c>
      <c r="E321" s="27" t="s">
        <v>48</v>
      </c>
      <c r="F321" s="27" t="s">
        <v>13</v>
      </c>
      <c r="G321" s="27"/>
      <c r="H321" s="27"/>
      <c r="I321" s="28" t="str">
        <f t="shared" si="8"/>
        <v/>
      </c>
      <c r="J321" s="27"/>
      <c r="K321" s="28" t="str">
        <f t="shared" si="9"/>
        <v/>
      </c>
      <c r="L321" s="27"/>
      <c r="M321" s="27"/>
      <c r="N321" s="27"/>
      <c r="O321" s="27"/>
      <c r="P321" s="27" t="s">
        <v>1759</v>
      </c>
      <c r="Q321" s="27" t="s">
        <v>1760</v>
      </c>
    </row>
    <row r="322" spans="1:17" ht="15" customHeight="1" x14ac:dyDescent="0.3">
      <c r="A322" s="27" t="s">
        <v>1761</v>
      </c>
      <c r="B322" s="27" t="s">
        <v>1762</v>
      </c>
      <c r="C322" s="27" t="s">
        <v>1763</v>
      </c>
      <c r="D322" s="27">
        <v>2024</v>
      </c>
      <c r="E322" s="27" t="s">
        <v>48</v>
      </c>
      <c r="F322" s="27" t="s">
        <v>15</v>
      </c>
      <c r="G322" s="27"/>
      <c r="H322" s="27"/>
      <c r="I322" s="28" t="str">
        <f t="shared" ref="I322:I385" si="10">IF(OR(G322="",H322=""),"",IF(G322=H322,"Yes","No"))</f>
        <v/>
      </c>
      <c r="J322" s="27"/>
      <c r="K322" s="28" t="str">
        <f t="shared" ref="K322:K385" si="11">IF(OR(E322="Snowballing",E322="Other sources"),"n/a",IF(AND(G322="",H322=""),"",IF(OR(G322="",H322=""),"Waiting",IF(G322=H322,G322,IF(AND(G322&lt;&gt;"Exclude",H322&lt;&gt;"Exclude"),"Maybe",IF(J322&lt;&gt;"",J322,"Pending"))))))</f>
        <v/>
      </c>
      <c r="L322" s="27"/>
      <c r="M322" s="27"/>
      <c r="N322" s="27"/>
      <c r="O322" s="27"/>
      <c r="P322" s="27" t="s">
        <v>1764</v>
      </c>
      <c r="Q322" s="27" t="s">
        <v>1765</v>
      </c>
    </row>
    <row r="323" spans="1:17" ht="15" customHeight="1" x14ac:dyDescent="0.3">
      <c r="A323" s="27" t="s">
        <v>1766</v>
      </c>
      <c r="B323" s="27" t="s">
        <v>1767</v>
      </c>
      <c r="C323" s="27" t="s">
        <v>1768</v>
      </c>
      <c r="D323" s="27">
        <v>2026</v>
      </c>
      <c r="E323" s="27" t="s">
        <v>48</v>
      </c>
      <c r="F323" s="27" t="s">
        <v>11</v>
      </c>
      <c r="G323" s="27"/>
      <c r="H323" s="27"/>
      <c r="I323" s="28" t="str">
        <f t="shared" si="10"/>
        <v/>
      </c>
      <c r="J323" s="27"/>
      <c r="K323" s="28" t="str">
        <f t="shared" si="11"/>
        <v/>
      </c>
      <c r="L323" s="27"/>
      <c r="M323" s="27"/>
      <c r="N323" s="27"/>
      <c r="O323" s="27"/>
      <c r="P323" s="27" t="s">
        <v>1769</v>
      </c>
      <c r="Q323" s="27" t="s">
        <v>1770</v>
      </c>
    </row>
    <row r="324" spans="1:17" ht="15" customHeight="1" x14ac:dyDescent="0.3">
      <c r="A324" s="27" t="s">
        <v>1771</v>
      </c>
      <c r="B324" s="27" t="s">
        <v>1772</v>
      </c>
      <c r="C324" s="27" t="s">
        <v>1773</v>
      </c>
      <c r="D324" s="27">
        <v>2024</v>
      </c>
      <c r="E324" s="27" t="s">
        <v>48</v>
      </c>
      <c r="F324" s="27" t="s">
        <v>13</v>
      </c>
      <c r="G324" s="27"/>
      <c r="H324" s="27"/>
      <c r="I324" s="28" t="str">
        <f t="shared" si="10"/>
        <v/>
      </c>
      <c r="J324" s="27"/>
      <c r="K324" s="28" t="str">
        <f t="shared" si="11"/>
        <v/>
      </c>
      <c r="L324" s="27"/>
      <c r="M324" s="27"/>
      <c r="N324" s="27"/>
      <c r="O324" s="27"/>
      <c r="P324" s="27" t="s">
        <v>1774</v>
      </c>
      <c r="Q324" s="27" t="s">
        <v>1775</v>
      </c>
    </row>
    <row r="325" spans="1:17" ht="15" customHeight="1" x14ac:dyDescent="0.3">
      <c r="A325" s="27" t="s">
        <v>1776</v>
      </c>
      <c r="B325" s="27" t="s">
        <v>1777</v>
      </c>
      <c r="C325" s="27" t="s">
        <v>1778</v>
      </c>
      <c r="D325" s="27">
        <v>2026</v>
      </c>
      <c r="E325" s="27" t="s">
        <v>48</v>
      </c>
      <c r="F325" s="27" t="s">
        <v>15</v>
      </c>
      <c r="G325" s="27"/>
      <c r="H325" s="27"/>
      <c r="I325" s="28" t="str">
        <f t="shared" si="10"/>
        <v/>
      </c>
      <c r="J325" s="27"/>
      <c r="K325" s="28" t="str">
        <f t="shared" si="11"/>
        <v/>
      </c>
      <c r="L325" s="27"/>
      <c r="M325" s="27"/>
      <c r="N325" s="27"/>
      <c r="O325" s="27"/>
      <c r="P325" s="27" t="s">
        <v>1779</v>
      </c>
      <c r="Q325" s="27" t="s">
        <v>1780</v>
      </c>
    </row>
    <row r="326" spans="1:17" ht="15" customHeight="1" x14ac:dyDescent="0.3">
      <c r="A326" s="27" t="s">
        <v>1781</v>
      </c>
      <c r="B326" s="27" t="s">
        <v>1782</v>
      </c>
      <c r="C326" s="27" t="s">
        <v>1783</v>
      </c>
      <c r="D326" s="27">
        <v>2023</v>
      </c>
      <c r="E326" s="27" t="s">
        <v>48</v>
      </c>
      <c r="F326" s="27" t="s">
        <v>11</v>
      </c>
      <c r="G326" s="27"/>
      <c r="H326" s="27"/>
      <c r="I326" s="28" t="str">
        <f t="shared" si="10"/>
        <v/>
      </c>
      <c r="J326" s="27"/>
      <c r="K326" s="28" t="str">
        <f t="shared" si="11"/>
        <v/>
      </c>
      <c r="L326" s="27"/>
      <c r="M326" s="27"/>
      <c r="N326" s="27"/>
      <c r="O326" s="27"/>
      <c r="P326" s="27" t="s">
        <v>1784</v>
      </c>
      <c r="Q326" s="27" t="s">
        <v>1785</v>
      </c>
    </row>
    <row r="327" spans="1:17" ht="15" customHeight="1" x14ac:dyDescent="0.3">
      <c r="A327" s="27" t="s">
        <v>1786</v>
      </c>
      <c r="B327" s="27" t="s">
        <v>1787</v>
      </c>
      <c r="C327" s="27" t="s">
        <v>1788</v>
      </c>
      <c r="D327" s="27">
        <v>2021</v>
      </c>
      <c r="E327" s="27" t="s">
        <v>48</v>
      </c>
      <c r="F327" s="27" t="s">
        <v>13</v>
      </c>
      <c r="G327" s="27"/>
      <c r="H327" s="27"/>
      <c r="I327" s="28" t="str">
        <f t="shared" si="10"/>
        <v/>
      </c>
      <c r="J327" s="27"/>
      <c r="K327" s="28" t="str">
        <f t="shared" si="11"/>
        <v/>
      </c>
      <c r="L327" s="27"/>
      <c r="M327" s="27"/>
      <c r="N327" s="27"/>
      <c r="O327" s="27"/>
      <c r="P327" s="27" t="s">
        <v>1789</v>
      </c>
      <c r="Q327" s="27" t="s">
        <v>1790</v>
      </c>
    </row>
    <row r="328" spans="1:17" ht="15" customHeight="1" x14ac:dyDescent="0.3">
      <c r="A328" s="27" t="s">
        <v>1791</v>
      </c>
      <c r="B328" s="27" t="s">
        <v>1792</v>
      </c>
      <c r="C328" s="27" t="s">
        <v>1793</v>
      </c>
      <c r="D328" s="27">
        <v>2026</v>
      </c>
      <c r="E328" s="27" t="s">
        <v>48</v>
      </c>
      <c r="F328" s="27" t="s">
        <v>15</v>
      </c>
      <c r="G328" s="27"/>
      <c r="H328" s="27"/>
      <c r="I328" s="28" t="str">
        <f t="shared" si="10"/>
        <v/>
      </c>
      <c r="J328" s="27"/>
      <c r="K328" s="28" t="str">
        <f t="shared" si="11"/>
        <v/>
      </c>
      <c r="L328" s="27"/>
      <c r="M328" s="27"/>
      <c r="N328" s="27"/>
      <c r="O328" s="27"/>
      <c r="P328" s="27" t="s">
        <v>1794</v>
      </c>
      <c r="Q328" s="27" t="s">
        <v>1795</v>
      </c>
    </row>
    <row r="329" spans="1:17" ht="15" customHeight="1" x14ac:dyDescent="0.3">
      <c r="A329" s="27" t="s">
        <v>1796</v>
      </c>
      <c r="B329" s="27" t="s">
        <v>1797</v>
      </c>
      <c r="C329" s="27" t="s">
        <v>1798</v>
      </c>
      <c r="D329" s="27">
        <v>2024</v>
      </c>
      <c r="E329" s="27" t="s">
        <v>48</v>
      </c>
      <c r="F329" s="27" t="s">
        <v>11</v>
      </c>
      <c r="G329" s="27"/>
      <c r="H329" s="27"/>
      <c r="I329" s="28" t="str">
        <f t="shared" si="10"/>
        <v/>
      </c>
      <c r="J329" s="27"/>
      <c r="K329" s="28" t="str">
        <f t="shared" si="11"/>
        <v/>
      </c>
      <c r="L329" s="27"/>
      <c r="M329" s="27"/>
      <c r="N329" s="27"/>
      <c r="O329" s="27"/>
      <c r="P329" s="27" t="s">
        <v>1799</v>
      </c>
      <c r="Q329" s="27" t="s">
        <v>1800</v>
      </c>
    </row>
    <row r="330" spans="1:17" ht="15" customHeight="1" x14ac:dyDescent="0.3">
      <c r="A330" s="27" t="s">
        <v>1801</v>
      </c>
      <c r="B330" s="27" t="s">
        <v>1802</v>
      </c>
      <c r="C330" s="27" t="s">
        <v>1803</v>
      </c>
      <c r="D330" s="27">
        <v>2026</v>
      </c>
      <c r="E330" s="27" t="s">
        <v>48</v>
      </c>
      <c r="F330" s="27" t="s">
        <v>13</v>
      </c>
      <c r="G330" s="27"/>
      <c r="H330" s="27"/>
      <c r="I330" s="28" t="str">
        <f t="shared" si="10"/>
        <v/>
      </c>
      <c r="J330" s="27"/>
      <c r="K330" s="28" t="str">
        <f t="shared" si="11"/>
        <v/>
      </c>
      <c r="L330" s="27"/>
      <c r="M330" s="27"/>
      <c r="N330" s="27"/>
      <c r="O330" s="27"/>
      <c r="P330" s="27" t="s">
        <v>1804</v>
      </c>
      <c r="Q330" s="27" t="s">
        <v>1805</v>
      </c>
    </row>
    <row r="331" spans="1:17" ht="15" customHeight="1" x14ac:dyDescent="0.3">
      <c r="A331" s="27" t="s">
        <v>1806</v>
      </c>
      <c r="B331" s="27" t="s">
        <v>1807</v>
      </c>
      <c r="C331" s="27" t="s">
        <v>1808</v>
      </c>
      <c r="D331" s="27">
        <v>2025</v>
      </c>
      <c r="E331" s="27" t="s">
        <v>48</v>
      </c>
      <c r="F331" s="27" t="s">
        <v>15</v>
      </c>
      <c r="G331" s="27"/>
      <c r="H331" s="27"/>
      <c r="I331" s="28" t="str">
        <f t="shared" si="10"/>
        <v/>
      </c>
      <c r="J331" s="27"/>
      <c r="K331" s="28" t="str">
        <f t="shared" si="11"/>
        <v/>
      </c>
      <c r="L331" s="27"/>
      <c r="M331" s="27"/>
      <c r="N331" s="27"/>
      <c r="O331" s="27"/>
      <c r="P331" s="27" t="s">
        <v>1809</v>
      </c>
      <c r="Q331" s="27" t="s">
        <v>1810</v>
      </c>
    </row>
    <row r="332" spans="1:17" ht="15" customHeight="1" x14ac:dyDescent="0.3">
      <c r="A332" s="27" t="s">
        <v>1811</v>
      </c>
      <c r="B332" s="27" t="s">
        <v>1812</v>
      </c>
      <c r="C332" s="27" t="s">
        <v>1813</v>
      </c>
      <c r="D332" s="27">
        <v>2026</v>
      </c>
      <c r="E332" s="27" t="s">
        <v>48</v>
      </c>
      <c r="F332" s="27" t="s">
        <v>11</v>
      </c>
      <c r="G332" s="27"/>
      <c r="H332" s="27"/>
      <c r="I332" s="28" t="str">
        <f t="shared" si="10"/>
        <v/>
      </c>
      <c r="J332" s="27"/>
      <c r="K332" s="28" t="str">
        <f t="shared" si="11"/>
        <v/>
      </c>
      <c r="L332" s="27"/>
      <c r="M332" s="27"/>
      <c r="N332" s="27"/>
      <c r="O332" s="27"/>
      <c r="P332" s="27" t="s">
        <v>1814</v>
      </c>
      <c r="Q332" s="27" t="s">
        <v>1815</v>
      </c>
    </row>
    <row r="333" spans="1:17" ht="15" customHeight="1" x14ac:dyDescent="0.3">
      <c r="A333" s="27" t="s">
        <v>1816</v>
      </c>
      <c r="B333" s="27" t="s">
        <v>1817</v>
      </c>
      <c r="C333" s="27" t="s">
        <v>1818</v>
      </c>
      <c r="D333" s="27">
        <v>2025</v>
      </c>
      <c r="E333" s="27" t="s">
        <v>48</v>
      </c>
      <c r="F333" s="27" t="s">
        <v>13</v>
      </c>
      <c r="G333" s="27"/>
      <c r="H333" s="27"/>
      <c r="I333" s="28" t="str">
        <f t="shared" si="10"/>
        <v/>
      </c>
      <c r="J333" s="27"/>
      <c r="K333" s="28" t="str">
        <f t="shared" si="11"/>
        <v/>
      </c>
      <c r="L333" s="27"/>
      <c r="M333" s="27"/>
      <c r="N333" s="27"/>
      <c r="O333" s="27"/>
      <c r="P333" s="27" t="s">
        <v>1819</v>
      </c>
      <c r="Q333" s="27" t="s">
        <v>1820</v>
      </c>
    </row>
    <row r="334" spans="1:17" ht="15" customHeight="1" x14ac:dyDescent="0.3">
      <c r="A334" s="27" t="s">
        <v>1821</v>
      </c>
      <c r="B334" s="27" t="s">
        <v>1822</v>
      </c>
      <c r="C334" s="27" t="s">
        <v>1823</v>
      </c>
      <c r="D334" s="27">
        <v>2018</v>
      </c>
      <c r="E334" s="27" t="s">
        <v>48</v>
      </c>
      <c r="F334" s="27" t="s">
        <v>15</v>
      </c>
      <c r="G334" s="27"/>
      <c r="H334" s="27"/>
      <c r="I334" s="28" t="str">
        <f t="shared" si="10"/>
        <v/>
      </c>
      <c r="J334" s="27"/>
      <c r="K334" s="28" t="str">
        <f t="shared" si="11"/>
        <v/>
      </c>
      <c r="L334" s="27"/>
      <c r="M334" s="27"/>
      <c r="N334" s="27"/>
      <c r="O334" s="27"/>
      <c r="P334" s="27" t="s">
        <v>1824</v>
      </c>
      <c r="Q334" s="27" t="s">
        <v>1825</v>
      </c>
    </row>
    <row r="335" spans="1:17" ht="15" customHeight="1" x14ac:dyDescent="0.3">
      <c r="A335" s="27" t="s">
        <v>1826</v>
      </c>
      <c r="B335" s="27" t="s">
        <v>1827</v>
      </c>
      <c r="C335" s="27" t="s">
        <v>1828</v>
      </c>
      <c r="D335" s="27">
        <v>2026</v>
      </c>
      <c r="E335" s="27" t="s">
        <v>48</v>
      </c>
      <c r="F335" s="27" t="s">
        <v>11</v>
      </c>
      <c r="G335" s="27"/>
      <c r="H335" s="27"/>
      <c r="I335" s="28" t="str">
        <f t="shared" si="10"/>
        <v/>
      </c>
      <c r="J335" s="27"/>
      <c r="K335" s="28" t="str">
        <f t="shared" si="11"/>
        <v/>
      </c>
      <c r="L335" s="27"/>
      <c r="M335" s="27"/>
      <c r="N335" s="27"/>
      <c r="O335" s="27"/>
      <c r="P335" s="27" t="s">
        <v>1829</v>
      </c>
      <c r="Q335" s="27" t="s">
        <v>1830</v>
      </c>
    </row>
    <row r="336" spans="1:17" ht="15" customHeight="1" x14ac:dyDescent="0.3">
      <c r="A336" s="27" t="s">
        <v>1831</v>
      </c>
      <c r="B336" s="27" t="s">
        <v>1832</v>
      </c>
      <c r="C336" s="27" t="s">
        <v>1833</v>
      </c>
      <c r="D336" s="27">
        <v>2024</v>
      </c>
      <c r="E336" s="27" t="s">
        <v>48</v>
      </c>
      <c r="F336" s="27" t="s">
        <v>13</v>
      </c>
      <c r="G336" s="27"/>
      <c r="H336" s="27"/>
      <c r="I336" s="28" t="str">
        <f t="shared" si="10"/>
        <v/>
      </c>
      <c r="J336" s="27"/>
      <c r="K336" s="28" t="str">
        <f t="shared" si="11"/>
        <v/>
      </c>
      <c r="L336" s="27"/>
      <c r="M336" s="27"/>
      <c r="N336" s="27"/>
      <c r="O336" s="27"/>
      <c r="P336" s="27" t="s">
        <v>1834</v>
      </c>
      <c r="Q336" s="27" t="s">
        <v>1835</v>
      </c>
    </row>
    <row r="337" spans="1:17" ht="15" customHeight="1" x14ac:dyDescent="0.3">
      <c r="A337" s="27" t="s">
        <v>1836</v>
      </c>
      <c r="B337" s="27" t="s">
        <v>1837</v>
      </c>
      <c r="C337" s="27" t="s">
        <v>1838</v>
      </c>
      <c r="D337" s="27">
        <v>2026</v>
      </c>
      <c r="E337" s="27" t="s">
        <v>48</v>
      </c>
      <c r="F337" s="27" t="s">
        <v>15</v>
      </c>
      <c r="G337" s="27"/>
      <c r="H337" s="27"/>
      <c r="I337" s="28" t="str">
        <f t="shared" si="10"/>
        <v/>
      </c>
      <c r="J337" s="27"/>
      <c r="K337" s="28" t="str">
        <f t="shared" si="11"/>
        <v/>
      </c>
      <c r="L337" s="27"/>
      <c r="M337" s="27"/>
      <c r="N337" s="27"/>
      <c r="O337" s="27"/>
      <c r="P337" s="27" t="s">
        <v>1839</v>
      </c>
      <c r="Q337" s="27" t="s">
        <v>1840</v>
      </c>
    </row>
    <row r="338" spans="1:17" ht="15" customHeight="1" x14ac:dyDescent="0.3">
      <c r="A338" s="27" t="s">
        <v>1841</v>
      </c>
      <c r="B338" s="27" t="s">
        <v>1842</v>
      </c>
      <c r="C338" s="27" t="s">
        <v>1843</v>
      </c>
      <c r="D338" s="27">
        <v>2023</v>
      </c>
      <c r="E338" s="27" t="s">
        <v>48</v>
      </c>
      <c r="F338" s="27" t="s">
        <v>11</v>
      </c>
      <c r="G338" s="27"/>
      <c r="H338" s="27"/>
      <c r="I338" s="28" t="str">
        <f t="shared" si="10"/>
        <v/>
      </c>
      <c r="J338" s="27"/>
      <c r="K338" s="28" t="str">
        <f t="shared" si="11"/>
        <v/>
      </c>
      <c r="L338" s="27"/>
      <c r="M338" s="27"/>
      <c r="N338" s="27"/>
      <c r="O338" s="27"/>
      <c r="P338" s="27" t="s">
        <v>1844</v>
      </c>
      <c r="Q338" s="27" t="s">
        <v>1845</v>
      </c>
    </row>
    <row r="339" spans="1:17" ht="15" customHeight="1" x14ac:dyDescent="0.3">
      <c r="A339" s="27" t="s">
        <v>1846</v>
      </c>
      <c r="B339" s="27" t="s">
        <v>1847</v>
      </c>
      <c r="C339" s="27" t="s">
        <v>1848</v>
      </c>
      <c r="D339" s="27">
        <v>2026</v>
      </c>
      <c r="E339" s="27" t="s">
        <v>48</v>
      </c>
      <c r="F339" s="27" t="s">
        <v>13</v>
      </c>
      <c r="G339" s="27"/>
      <c r="H339" s="27"/>
      <c r="I339" s="28" t="str">
        <f t="shared" si="10"/>
        <v/>
      </c>
      <c r="J339" s="27"/>
      <c r="K339" s="28" t="str">
        <f t="shared" si="11"/>
        <v/>
      </c>
      <c r="L339" s="27"/>
      <c r="M339" s="27"/>
      <c r="N339" s="27"/>
      <c r="O339" s="27"/>
      <c r="P339" s="27" t="s">
        <v>1849</v>
      </c>
      <c r="Q339" s="27" t="s">
        <v>1850</v>
      </c>
    </row>
    <row r="340" spans="1:17" ht="15" customHeight="1" x14ac:dyDescent="0.3">
      <c r="A340" s="27" t="s">
        <v>1851</v>
      </c>
      <c r="B340" s="27" t="s">
        <v>1852</v>
      </c>
      <c r="C340" s="27" t="s">
        <v>1853</v>
      </c>
      <c r="D340" s="27">
        <v>2026</v>
      </c>
      <c r="E340" s="27" t="s">
        <v>48</v>
      </c>
      <c r="F340" s="27" t="s">
        <v>15</v>
      </c>
      <c r="G340" s="27"/>
      <c r="H340" s="27"/>
      <c r="I340" s="28" t="str">
        <f t="shared" si="10"/>
        <v/>
      </c>
      <c r="J340" s="27"/>
      <c r="K340" s="28" t="str">
        <f t="shared" si="11"/>
        <v/>
      </c>
      <c r="L340" s="27"/>
      <c r="M340" s="27"/>
      <c r="N340" s="27"/>
      <c r="O340" s="27"/>
      <c r="P340" s="27" t="s">
        <v>1854</v>
      </c>
      <c r="Q340" s="27" t="s">
        <v>1855</v>
      </c>
    </row>
    <row r="341" spans="1:17" ht="15" customHeight="1" x14ac:dyDescent="0.3">
      <c r="A341" s="27" t="s">
        <v>1856</v>
      </c>
      <c r="B341" s="27" t="s">
        <v>1857</v>
      </c>
      <c r="C341" s="27" t="s">
        <v>1858</v>
      </c>
      <c r="D341" s="27">
        <v>2025</v>
      </c>
      <c r="E341" s="27" t="s">
        <v>48</v>
      </c>
      <c r="F341" s="27" t="s">
        <v>11</v>
      </c>
      <c r="G341" s="27"/>
      <c r="H341" s="27"/>
      <c r="I341" s="28" t="str">
        <f t="shared" si="10"/>
        <v/>
      </c>
      <c r="J341" s="27"/>
      <c r="K341" s="28" t="str">
        <f t="shared" si="11"/>
        <v/>
      </c>
      <c r="L341" s="27"/>
      <c r="M341" s="27"/>
      <c r="N341" s="27"/>
      <c r="O341" s="27"/>
      <c r="P341" s="27" t="s">
        <v>1859</v>
      </c>
      <c r="Q341" s="27" t="s">
        <v>1860</v>
      </c>
    </row>
    <row r="342" spans="1:17" ht="15" customHeight="1" x14ac:dyDescent="0.3">
      <c r="A342" s="27" t="s">
        <v>1861</v>
      </c>
      <c r="B342" s="27" t="s">
        <v>1862</v>
      </c>
      <c r="C342" s="27" t="s">
        <v>1863</v>
      </c>
      <c r="D342" s="27">
        <v>2020</v>
      </c>
      <c r="E342" s="27" t="s">
        <v>48</v>
      </c>
      <c r="F342" s="27" t="s">
        <v>13</v>
      </c>
      <c r="G342" s="27"/>
      <c r="H342" s="27"/>
      <c r="I342" s="28" t="str">
        <f t="shared" si="10"/>
        <v/>
      </c>
      <c r="J342" s="27"/>
      <c r="K342" s="28" t="str">
        <f t="shared" si="11"/>
        <v/>
      </c>
      <c r="L342" s="27"/>
      <c r="M342" s="27"/>
      <c r="N342" s="27"/>
      <c r="O342" s="27"/>
      <c r="P342" s="27" t="s">
        <v>1864</v>
      </c>
      <c r="Q342" s="27" t="s">
        <v>1865</v>
      </c>
    </row>
    <row r="343" spans="1:17" ht="15" customHeight="1" x14ac:dyDescent="0.3">
      <c r="A343" s="27" t="s">
        <v>1866</v>
      </c>
      <c r="B343" s="27" t="s">
        <v>1867</v>
      </c>
      <c r="C343" s="27" t="s">
        <v>1868</v>
      </c>
      <c r="D343" s="27">
        <v>2021</v>
      </c>
      <c r="E343" s="27" t="s">
        <v>48</v>
      </c>
      <c r="F343" s="27" t="s">
        <v>15</v>
      </c>
      <c r="G343" s="27"/>
      <c r="H343" s="27"/>
      <c r="I343" s="28" t="str">
        <f t="shared" si="10"/>
        <v/>
      </c>
      <c r="J343" s="27"/>
      <c r="K343" s="28" t="str">
        <f t="shared" si="11"/>
        <v/>
      </c>
      <c r="L343" s="27"/>
      <c r="M343" s="27"/>
      <c r="N343" s="27"/>
      <c r="O343" s="27"/>
      <c r="P343" s="27" t="s">
        <v>1869</v>
      </c>
      <c r="Q343" s="27" t="s">
        <v>1870</v>
      </c>
    </row>
    <row r="344" spans="1:17" ht="15" customHeight="1" x14ac:dyDescent="0.3">
      <c r="A344" s="27" t="s">
        <v>1871</v>
      </c>
      <c r="B344" s="27" t="s">
        <v>1872</v>
      </c>
      <c r="C344" s="27" t="s">
        <v>1873</v>
      </c>
      <c r="D344" s="27">
        <v>2026</v>
      </c>
      <c r="E344" s="27" t="s">
        <v>48</v>
      </c>
      <c r="F344" s="27" t="s">
        <v>11</v>
      </c>
      <c r="G344" s="27"/>
      <c r="H344" s="27"/>
      <c r="I344" s="28" t="str">
        <f t="shared" si="10"/>
        <v/>
      </c>
      <c r="J344" s="27"/>
      <c r="K344" s="28" t="str">
        <f t="shared" si="11"/>
        <v/>
      </c>
      <c r="L344" s="27"/>
      <c r="M344" s="27"/>
      <c r="N344" s="27"/>
      <c r="O344" s="27"/>
      <c r="P344" s="27" t="s">
        <v>1874</v>
      </c>
      <c r="Q344" s="27" t="s">
        <v>1875</v>
      </c>
    </row>
    <row r="345" spans="1:17" ht="15" customHeight="1" x14ac:dyDescent="0.3">
      <c r="A345" s="27" t="s">
        <v>1876</v>
      </c>
      <c r="B345" s="27" t="s">
        <v>1877</v>
      </c>
      <c r="C345" s="27" t="s">
        <v>1878</v>
      </c>
      <c r="D345" s="27">
        <v>2025</v>
      </c>
      <c r="E345" s="27" t="s">
        <v>48</v>
      </c>
      <c r="F345" s="27" t="s">
        <v>13</v>
      </c>
      <c r="G345" s="27"/>
      <c r="H345" s="27"/>
      <c r="I345" s="28" t="str">
        <f t="shared" si="10"/>
        <v/>
      </c>
      <c r="J345" s="27"/>
      <c r="K345" s="28" t="str">
        <f t="shared" si="11"/>
        <v/>
      </c>
      <c r="L345" s="27"/>
      <c r="M345" s="27"/>
      <c r="N345" s="27"/>
      <c r="O345" s="27"/>
      <c r="P345" s="27" t="s">
        <v>1879</v>
      </c>
      <c r="Q345" s="27" t="s">
        <v>1880</v>
      </c>
    </row>
    <row r="346" spans="1:17" ht="15" customHeight="1" x14ac:dyDescent="0.3">
      <c r="A346" s="27" t="s">
        <v>1881</v>
      </c>
      <c r="B346" s="27" t="s">
        <v>1882</v>
      </c>
      <c r="C346" s="27" t="s">
        <v>1883</v>
      </c>
      <c r="D346" s="27">
        <v>2026</v>
      </c>
      <c r="E346" s="27" t="s">
        <v>142</v>
      </c>
      <c r="F346" s="27" t="s">
        <v>15</v>
      </c>
      <c r="G346" s="27"/>
      <c r="H346" s="27"/>
      <c r="I346" s="28" t="str">
        <f t="shared" si="10"/>
        <v/>
      </c>
      <c r="J346" s="27"/>
      <c r="K346" s="28" t="str">
        <f t="shared" si="11"/>
        <v/>
      </c>
      <c r="L346" s="27"/>
      <c r="M346" s="27"/>
      <c r="N346" s="27"/>
      <c r="O346" s="27"/>
      <c r="P346" s="27" t="s">
        <v>1884</v>
      </c>
      <c r="Q346" s="27" t="s">
        <v>1885</v>
      </c>
    </row>
    <row r="347" spans="1:17" ht="15" customHeight="1" x14ac:dyDescent="0.3">
      <c r="A347" s="27" t="s">
        <v>1886</v>
      </c>
      <c r="B347" s="27" t="s">
        <v>1887</v>
      </c>
      <c r="C347" s="27" t="s">
        <v>1888</v>
      </c>
      <c r="D347" s="27">
        <v>2020</v>
      </c>
      <c r="E347" s="27" t="s">
        <v>48</v>
      </c>
      <c r="F347" s="27" t="s">
        <v>11</v>
      </c>
      <c r="G347" s="27"/>
      <c r="H347" s="27"/>
      <c r="I347" s="28" t="str">
        <f t="shared" si="10"/>
        <v/>
      </c>
      <c r="J347" s="27"/>
      <c r="K347" s="28" t="str">
        <f t="shared" si="11"/>
        <v/>
      </c>
      <c r="L347" s="27"/>
      <c r="M347" s="27"/>
      <c r="N347" s="27"/>
      <c r="O347" s="27"/>
      <c r="P347" s="27" t="s">
        <v>1889</v>
      </c>
      <c r="Q347" s="27" t="s">
        <v>1890</v>
      </c>
    </row>
    <row r="348" spans="1:17" ht="15" customHeight="1" x14ac:dyDescent="0.3">
      <c r="A348" s="27" t="s">
        <v>1891</v>
      </c>
      <c r="B348" s="27" t="s">
        <v>1892</v>
      </c>
      <c r="C348" s="27" t="s">
        <v>1893</v>
      </c>
      <c r="D348" s="27">
        <v>2024</v>
      </c>
      <c r="E348" s="27" t="s">
        <v>136</v>
      </c>
      <c r="F348" s="27" t="s">
        <v>13</v>
      </c>
      <c r="G348" s="27"/>
      <c r="H348" s="27"/>
      <c r="I348" s="28" t="str">
        <f t="shared" si="10"/>
        <v/>
      </c>
      <c r="J348" s="27"/>
      <c r="K348" s="28" t="str">
        <f t="shared" si="11"/>
        <v/>
      </c>
      <c r="L348" s="27"/>
      <c r="M348" s="27"/>
      <c r="N348" s="27"/>
      <c r="O348" s="27"/>
      <c r="P348" s="27" t="s">
        <v>1894</v>
      </c>
      <c r="Q348" s="27" t="s">
        <v>1895</v>
      </c>
    </row>
    <row r="349" spans="1:17" ht="15" customHeight="1" x14ac:dyDescent="0.3">
      <c r="A349" s="27" t="s">
        <v>1896</v>
      </c>
      <c r="B349" s="27" t="s">
        <v>1897</v>
      </c>
      <c r="C349" s="27" t="s">
        <v>1898</v>
      </c>
      <c r="D349" s="27">
        <v>2025</v>
      </c>
      <c r="E349" s="27" t="s">
        <v>48</v>
      </c>
      <c r="F349" s="27" t="s">
        <v>15</v>
      </c>
      <c r="G349" s="27"/>
      <c r="H349" s="27"/>
      <c r="I349" s="28" t="str">
        <f t="shared" si="10"/>
        <v/>
      </c>
      <c r="J349" s="27"/>
      <c r="K349" s="28" t="str">
        <f t="shared" si="11"/>
        <v/>
      </c>
      <c r="L349" s="27"/>
      <c r="M349" s="27"/>
      <c r="N349" s="27"/>
      <c r="O349" s="27"/>
      <c r="P349" s="27" t="s">
        <v>1899</v>
      </c>
      <c r="Q349" s="27" t="s">
        <v>1900</v>
      </c>
    </row>
    <row r="350" spans="1:17" ht="15" customHeight="1" x14ac:dyDescent="0.3">
      <c r="A350" s="27" t="s">
        <v>1901</v>
      </c>
      <c r="B350" s="27" t="s">
        <v>1902</v>
      </c>
      <c r="C350" s="27" t="s">
        <v>1903</v>
      </c>
      <c r="D350" s="27">
        <v>2025</v>
      </c>
      <c r="E350" s="27" t="s">
        <v>48</v>
      </c>
      <c r="F350" s="27" t="s">
        <v>11</v>
      </c>
      <c r="G350" s="27"/>
      <c r="H350" s="27"/>
      <c r="I350" s="28" t="str">
        <f t="shared" si="10"/>
        <v/>
      </c>
      <c r="J350" s="27"/>
      <c r="K350" s="28" t="str">
        <f t="shared" si="11"/>
        <v/>
      </c>
      <c r="L350" s="27"/>
      <c r="M350" s="27"/>
      <c r="N350" s="27"/>
      <c r="O350" s="27"/>
      <c r="P350" s="27" t="s">
        <v>238</v>
      </c>
      <c r="Q350" s="27" t="s">
        <v>1904</v>
      </c>
    </row>
    <row r="351" spans="1:17" ht="15" customHeight="1" x14ac:dyDescent="0.3">
      <c r="A351" s="27" t="s">
        <v>1905</v>
      </c>
      <c r="B351" s="27" t="s">
        <v>1906</v>
      </c>
      <c r="C351" s="27" t="s">
        <v>1907</v>
      </c>
      <c r="D351" s="27">
        <v>2025</v>
      </c>
      <c r="E351" s="27" t="s">
        <v>48</v>
      </c>
      <c r="F351" s="27" t="s">
        <v>13</v>
      </c>
      <c r="G351" s="27"/>
      <c r="H351" s="27"/>
      <c r="I351" s="28" t="str">
        <f t="shared" si="10"/>
        <v/>
      </c>
      <c r="J351" s="27"/>
      <c r="K351" s="28" t="str">
        <f t="shared" si="11"/>
        <v/>
      </c>
      <c r="L351" s="27"/>
      <c r="M351" s="27"/>
      <c r="N351" s="27"/>
      <c r="O351" s="27"/>
      <c r="P351" s="27" t="s">
        <v>1908</v>
      </c>
      <c r="Q351" s="27" t="s">
        <v>1909</v>
      </c>
    </row>
    <row r="352" spans="1:17" ht="15" customHeight="1" x14ac:dyDescent="0.3">
      <c r="A352" s="27" t="s">
        <v>1910</v>
      </c>
      <c r="B352" s="27" t="s">
        <v>1911</v>
      </c>
      <c r="C352" s="27" t="s">
        <v>1912</v>
      </c>
      <c r="D352" s="27">
        <v>2023</v>
      </c>
      <c r="E352" s="27" t="s">
        <v>48</v>
      </c>
      <c r="F352" s="27" t="s">
        <v>15</v>
      </c>
      <c r="G352" s="27"/>
      <c r="H352" s="27"/>
      <c r="I352" s="28" t="str">
        <f t="shared" si="10"/>
        <v/>
      </c>
      <c r="J352" s="27"/>
      <c r="K352" s="28" t="str">
        <f t="shared" si="11"/>
        <v/>
      </c>
      <c r="L352" s="27"/>
      <c r="M352" s="27"/>
      <c r="N352" s="27"/>
      <c r="O352" s="27"/>
      <c r="P352" s="27" t="s">
        <v>1913</v>
      </c>
      <c r="Q352" s="27" t="s">
        <v>1914</v>
      </c>
    </row>
    <row r="353" spans="1:17" ht="15" customHeight="1" x14ac:dyDescent="0.3">
      <c r="A353" s="27" t="s">
        <v>1915</v>
      </c>
      <c r="B353" s="27" t="s">
        <v>1916</v>
      </c>
      <c r="C353" s="27" t="s">
        <v>1917</v>
      </c>
      <c r="D353" s="27">
        <v>2022</v>
      </c>
      <c r="E353" s="27" t="s">
        <v>48</v>
      </c>
      <c r="F353" s="27" t="s">
        <v>11</v>
      </c>
      <c r="G353" s="27"/>
      <c r="H353" s="27"/>
      <c r="I353" s="28" t="str">
        <f t="shared" si="10"/>
        <v/>
      </c>
      <c r="J353" s="27"/>
      <c r="K353" s="28" t="str">
        <f t="shared" si="11"/>
        <v/>
      </c>
      <c r="L353" s="27"/>
      <c r="M353" s="27"/>
      <c r="N353" s="27"/>
      <c r="O353" s="27"/>
      <c r="P353" s="27" t="s">
        <v>1918</v>
      </c>
      <c r="Q353" s="27" t="s">
        <v>1919</v>
      </c>
    </row>
    <row r="354" spans="1:17" ht="15" customHeight="1" x14ac:dyDescent="0.3">
      <c r="A354" s="27" t="s">
        <v>1920</v>
      </c>
      <c r="B354" s="27" t="s">
        <v>1921</v>
      </c>
      <c r="C354" s="27" t="s">
        <v>1922</v>
      </c>
      <c r="D354" s="27">
        <v>2026</v>
      </c>
      <c r="E354" s="27" t="s">
        <v>48</v>
      </c>
      <c r="F354" s="27" t="s">
        <v>13</v>
      </c>
      <c r="G354" s="27"/>
      <c r="H354" s="27"/>
      <c r="I354" s="28" t="str">
        <f t="shared" si="10"/>
        <v/>
      </c>
      <c r="J354" s="27"/>
      <c r="K354" s="28" t="str">
        <f t="shared" si="11"/>
        <v/>
      </c>
      <c r="L354" s="27"/>
      <c r="M354" s="27"/>
      <c r="N354" s="27"/>
      <c r="O354" s="27"/>
      <c r="P354" s="27" t="s">
        <v>1923</v>
      </c>
      <c r="Q354" s="27" t="s">
        <v>1924</v>
      </c>
    </row>
    <row r="355" spans="1:17" ht="15" customHeight="1" x14ac:dyDescent="0.3">
      <c r="A355" s="27" t="s">
        <v>1925</v>
      </c>
      <c r="B355" s="27" t="s">
        <v>1926</v>
      </c>
      <c r="C355" s="27" t="s">
        <v>1927</v>
      </c>
      <c r="D355" s="27">
        <v>2024</v>
      </c>
      <c r="E355" s="27" t="s">
        <v>48</v>
      </c>
      <c r="F355" s="27" t="s">
        <v>15</v>
      </c>
      <c r="G355" s="27"/>
      <c r="H355" s="27"/>
      <c r="I355" s="28" t="str">
        <f t="shared" si="10"/>
        <v/>
      </c>
      <c r="J355" s="27"/>
      <c r="K355" s="28" t="str">
        <f t="shared" si="11"/>
        <v/>
      </c>
      <c r="L355" s="27"/>
      <c r="M355" s="27"/>
      <c r="N355" s="27"/>
      <c r="O355" s="27"/>
      <c r="P355" s="27" t="s">
        <v>1928</v>
      </c>
      <c r="Q355" s="27" t="s">
        <v>1929</v>
      </c>
    </row>
    <row r="356" spans="1:17" ht="15" customHeight="1" x14ac:dyDescent="0.3">
      <c r="A356" s="27" t="s">
        <v>1930</v>
      </c>
      <c r="B356" s="27" t="s">
        <v>1931</v>
      </c>
      <c r="C356" s="27" t="s">
        <v>1932</v>
      </c>
      <c r="D356" s="27">
        <v>2026</v>
      </c>
      <c r="E356" s="27" t="s">
        <v>48</v>
      </c>
      <c r="F356" s="27" t="s">
        <v>11</v>
      </c>
      <c r="G356" s="27"/>
      <c r="H356" s="27"/>
      <c r="I356" s="28" t="str">
        <f t="shared" si="10"/>
        <v/>
      </c>
      <c r="J356" s="27"/>
      <c r="K356" s="28" t="str">
        <f t="shared" si="11"/>
        <v/>
      </c>
      <c r="L356" s="27"/>
      <c r="M356" s="27"/>
      <c r="N356" s="27"/>
      <c r="O356" s="27"/>
      <c r="P356" s="27" t="s">
        <v>1933</v>
      </c>
      <c r="Q356" s="27" t="s">
        <v>1934</v>
      </c>
    </row>
    <row r="357" spans="1:17" ht="15" customHeight="1" x14ac:dyDescent="0.3">
      <c r="A357" s="27" t="s">
        <v>1935</v>
      </c>
      <c r="B357" s="27" t="s">
        <v>1936</v>
      </c>
      <c r="C357" s="27" t="s">
        <v>1937</v>
      </c>
      <c r="D357" s="27">
        <v>2020</v>
      </c>
      <c r="E357" s="27" t="s">
        <v>48</v>
      </c>
      <c r="F357" s="27" t="s">
        <v>13</v>
      </c>
      <c r="G357" s="27"/>
      <c r="H357" s="27"/>
      <c r="I357" s="28" t="str">
        <f t="shared" si="10"/>
        <v/>
      </c>
      <c r="J357" s="27"/>
      <c r="K357" s="28" t="str">
        <f t="shared" si="11"/>
        <v/>
      </c>
      <c r="L357" s="27"/>
      <c r="M357" s="27"/>
      <c r="N357" s="27"/>
      <c r="O357" s="27"/>
      <c r="P357" s="27" t="s">
        <v>1938</v>
      </c>
      <c r="Q357" s="27" t="s">
        <v>1939</v>
      </c>
    </row>
    <row r="358" spans="1:17" ht="15" customHeight="1" x14ac:dyDescent="0.3">
      <c r="A358" s="27" t="s">
        <v>1940</v>
      </c>
      <c r="B358" s="27" t="s">
        <v>1941</v>
      </c>
      <c r="C358" s="27" t="s">
        <v>1942</v>
      </c>
      <c r="D358" s="27">
        <v>2026</v>
      </c>
      <c r="E358" s="27" t="s">
        <v>136</v>
      </c>
      <c r="F358" s="27" t="s">
        <v>15</v>
      </c>
      <c r="G358" s="27"/>
      <c r="H358" s="27"/>
      <c r="I358" s="28" t="str">
        <f t="shared" si="10"/>
        <v/>
      </c>
      <c r="J358" s="27"/>
      <c r="K358" s="28" t="str">
        <f t="shared" si="11"/>
        <v/>
      </c>
      <c r="L358" s="27"/>
      <c r="M358" s="27"/>
      <c r="N358" s="27"/>
      <c r="O358" s="27"/>
      <c r="P358" s="27" t="s">
        <v>1943</v>
      </c>
      <c r="Q358" s="27" t="s">
        <v>1944</v>
      </c>
    </row>
    <row r="359" spans="1:17" ht="15" customHeight="1" x14ac:dyDescent="0.3">
      <c r="A359" s="27" t="s">
        <v>1945</v>
      </c>
      <c r="B359" s="27" t="s">
        <v>1946</v>
      </c>
      <c r="C359" s="27" t="s">
        <v>1947</v>
      </c>
      <c r="D359" s="27">
        <v>2023</v>
      </c>
      <c r="E359" s="27" t="s">
        <v>48</v>
      </c>
      <c r="F359" s="27" t="s">
        <v>11</v>
      </c>
      <c r="G359" s="27"/>
      <c r="H359" s="27"/>
      <c r="I359" s="28" t="str">
        <f t="shared" si="10"/>
        <v/>
      </c>
      <c r="J359" s="27"/>
      <c r="K359" s="28" t="str">
        <f t="shared" si="11"/>
        <v/>
      </c>
      <c r="L359" s="27"/>
      <c r="M359" s="27"/>
      <c r="N359" s="27"/>
      <c r="O359" s="27"/>
      <c r="P359" s="27" t="s">
        <v>1948</v>
      </c>
      <c r="Q359" s="27" t="s">
        <v>1949</v>
      </c>
    </row>
    <row r="360" spans="1:17" ht="15" customHeight="1" x14ac:dyDescent="0.3">
      <c r="A360" s="27" t="s">
        <v>1950</v>
      </c>
      <c r="B360" s="27" t="s">
        <v>1951</v>
      </c>
      <c r="C360" s="27" t="s">
        <v>1952</v>
      </c>
      <c r="D360" s="27">
        <v>2026</v>
      </c>
      <c r="E360" s="27" t="s">
        <v>48</v>
      </c>
      <c r="F360" s="27" t="s">
        <v>13</v>
      </c>
      <c r="G360" s="27"/>
      <c r="H360" s="27"/>
      <c r="I360" s="28" t="str">
        <f t="shared" si="10"/>
        <v/>
      </c>
      <c r="J360" s="27"/>
      <c r="K360" s="28" t="str">
        <f t="shared" si="11"/>
        <v/>
      </c>
      <c r="L360" s="27"/>
      <c r="M360" s="27"/>
      <c r="N360" s="27"/>
      <c r="O360" s="27"/>
      <c r="P360" s="27" t="s">
        <v>1953</v>
      </c>
      <c r="Q360" s="27" t="s">
        <v>1954</v>
      </c>
    </row>
    <row r="361" spans="1:17" ht="15" customHeight="1" x14ac:dyDescent="0.3">
      <c r="A361" s="27" t="s">
        <v>1955</v>
      </c>
      <c r="B361" s="27" t="s">
        <v>1956</v>
      </c>
      <c r="C361" s="27" t="s">
        <v>1957</v>
      </c>
      <c r="D361" s="27">
        <v>2022</v>
      </c>
      <c r="E361" s="27" t="s">
        <v>48</v>
      </c>
      <c r="F361" s="27" t="s">
        <v>15</v>
      </c>
      <c r="G361" s="27"/>
      <c r="H361" s="27"/>
      <c r="I361" s="28" t="str">
        <f t="shared" si="10"/>
        <v/>
      </c>
      <c r="J361" s="27"/>
      <c r="K361" s="28" t="str">
        <f t="shared" si="11"/>
        <v/>
      </c>
      <c r="L361" s="27"/>
      <c r="M361" s="27"/>
      <c r="N361" s="27"/>
      <c r="O361" s="27"/>
      <c r="P361" s="27" t="s">
        <v>1958</v>
      </c>
      <c r="Q361" s="27" t="s">
        <v>1959</v>
      </c>
    </row>
    <row r="362" spans="1:17" ht="15" customHeight="1" x14ac:dyDescent="0.3">
      <c r="A362" s="27" t="s">
        <v>1960</v>
      </c>
      <c r="B362" s="27" t="s">
        <v>1961</v>
      </c>
      <c r="C362" s="27" t="s">
        <v>1962</v>
      </c>
      <c r="D362" s="27">
        <v>2026</v>
      </c>
      <c r="E362" s="27" t="s">
        <v>48</v>
      </c>
      <c r="F362" s="27" t="s">
        <v>11</v>
      </c>
      <c r="G362" s="27"/>
      <c r="H362" s="27"/>
      <c r="I362" s="28" t="str">
        <f t="shared" si="10"/>
        <v/>
      </c>
      <c r="J362" s="27"/>
      <c r="K362" s="28" t="str">
        <f t="shared" si="11"/>
        <v/>
      </c>
      <c r="L362" s="27"/>
      <c r="M362" s="27"/>
      <c r="N362" s="27"/>
      <c r="O362" s="27"/>
      <c r="P362" s="27" t="s">
        <v>1963</v>
      </c>
      <c r="Q362" s="27" t="s">
        <v>1964</v>
      </c>
    </row>
    <row r="363" spans="1:17" ht="15" customHeight="1" x14ac:dyDescent="0.3">
      <c r="A363" s="27" t="s">
        <v>1965</v>
      </c>
      <c r="B363" s="27" t="s">
        <v>1966</v>
      </c>
      <c r="C363" s="27" t="s">
        <v>1967</v>
      </c>
      <c r="D363" s="27">
        <v>2022</v>
      </c>
      <c r="E363" s="27" t="s">
        <v>48</v>
      </c>
      <c r="F363" s="27" t="s">
        <v>13</v>
      </c>
      <c r="G363" s="27"/>
      <c r="H363" s="27"/>
      <c r="I363" s="28" t="str">
        <f t="shared" si="10"/>
        <v/>
      </c>
      <c r="J363" s="27"/>
      <c r="K363" s="28" t="str">
        <f t="shared" si="11"/>
        <v/>
      </c>
      <c r="L363" s="27"/>
      <c r="M363" s="27"/>
      <c r="N363" s="27"/>
      <c r="O363" s="27"/>
      <c r="P363" s="27" t="s">
        <v>1968</v>
      </c>
      <c r="Q363" s="27" t="s">
        <v>1969</v>
      </c>
    </row>
    <row r="364" spans="1:17" ht="15" customHeight="1" x14ac:dyDescent="0.3">
      <c r="A364" s="27" t="s">
        <v>1970</v>
      </c>
      <c r="B364" s="27" t="s">
        <v>1971</v>
      </c>
      <c r="C364" s="27" t="s">
        <v>1972</v>
      </c>
      <c r="D364" s="27">
        <v>2025</v>
      </c>
      <c r="E364" s="27" t="s">
        <v>48</v>
      </c>
      <c r="F364" s="27" t="s">
        <v>15</v>
      </c>
      <c r="G364" s="27"/>
      <c r="H364" s="27"/>
      <c r="I364" s="28" t="str">
        <f t="shared" si="10"/>
        <v/>
      </c>
      <c r="J364" s="27"/>
      <c r="K364" s="28" t="str">
        <f t="shared" si="11"/>
        <v/>
      </c>
      <c r="L364" s="27"/>
      <c r="M364" s="27"/>
      <c r="N364" s="27"/>
      <c r="O364" s="27"/>
      <c r="P364" s="27" t="s">
        <v>1973</v>
      </c>
      <c r="Q364" s="27" t="s">
        <v>1974</v>
      </c>
    </row>
    <row r="365" spans="1:17" ht="15" customHeight="1" x14ac:dyDescent="0.3">
      <c r="A365" s="27" t="s">
        <v>1975</v>
      </c>
      <c r="B365" s="27" t="s">
        <v>1976</v>
      </c>
      <c r="C365" s="27" t="s">
        <v>1977</v>
      </c>
      <c r="D365" s="27">
        <v>2026</v>
      </c>
      <c r="E365" s="27" t="s">
        <v>48</v>
      </c>
      <c r="F365" s="27" t="s">
        <v>11</v>
      </c>
      <c r="G365" s="27"/>
      <c r="H365" s="27"/>
      <c r="I365" s="28" t="str">
        <f t="shared" si="10"/>
        <v/>
      </c>
      <c r="J365" s="27"/>
      <c r="K365" s="28" t="str">
        <f t="shared" si="11"/>
        <v/>
      </c>
      <c r="L365" s="27"/>
      <c r="M365" s="27"/>
      <c r="N365" s="27"/>
      <c r="O365" s="27"/>
      <c r="P365" s="27" t="s">
        <v>1978</v>
      </c>
      <c r="Q365" s="27" t="s">
        <v>1979</v>
      </c>
    </row>
    <row r="366" spans="1:17" ht="15" customHeight="1" x14ac:dyDescent="0.3">
      <c r="A366" s="27" t="s">
        <v>1980</v>
      </c>
      <c r="B366" s="27" t="s">
        <v>1981</v>
      </c>
      <c r="C366" s="27" t="s">
        <v>1982</v>
      </c>
      <c r="D366" s="27">
        <v>2026</v>
      </c>
      <c r="E366" s="27" t="s">
        <v>48</v>
      </c>
      <c r="F366" s="27" t="s">
        <v>13</v>
      </c>
      <c r="G366" s="27"/>
      <c r="H366" s="27"/>
      <c r="I366" s="28" t="str">
        <f t="shared" si="10"/>
        <v/>
      </c>
      <c r="J366" s="27"/>
      <c r="K366" s="28" t="str">
        <f t="shared" si="11"/>
        <v/>
      </c>
      <c r="L366" s="27"/>
      <c r="M366" s="27"/>
      <c r="N366" s="27"/>
      <c r="O366" s="27"/>
      <c r="P366" s="27" t="s">
        <v>1983</v>
      </c>
      <c r="Q366" s="27" t="s">
        <v>1984</v>
      </c>
    </row>
    <row r="367" spans="1:17" ht="15" customHeight="1" x14ac:dyDescent="0.3">
      <c r="A367" s="27" t="s">
        <v>1985</v>
      </c>
      <c r="B367" s="27" t="s">
        <v>1986</v>
      </c>
      <c r="C367" s="27" t="s">
        <v>1987</v>
      </c>
      <c r="D367" s="27">
        <v>2024</v>
      </c>
      <c r="E367" s="27" t="s">
        <v>48</v>
      </c>
      <c r="F367" s="27" t="s">
        <v>15</v>
      </c>
      <c r="G367" s="27"/>
      <c r="H367" s="27"/>
      <c r="I367" s="28" t="str">
        <f t="shared" si="10"/>
        <v/>
      </c>
      <c r="J367" s="27"/>
      <c r="K367" s="28" t="str">
        <f t="shared" si="11"/>
        <v/>
      </c>
      <c r="L367" s="27"/>
      <c r="M367" s="27"/>
      <c r="N367" s="27"/>
      <c r="O367" s="27"/>
      <c r="P367" s="27" t="s">
        <v>1988</v>
      </c>
      <c r="Q367" s="27" t="s">
        <v>1989</v>
      </c>
    </row>
    <row r="368" spans="1:17" ht="15" customHeight="1" x14ac:dyDescent="0.3">
      <c r="A368" s="27" t="s">
        <v>1990</v>
      </c>
      <c r="B368" s="27" t="s">
        <v>1991</v>
      </c>
      <c r="C368" s="27" t="s">
        <v>1992</v>
      </c>
      <c r="D368" s="27">
        <v>2025</v>
      </c>
      <c r="E368" s="27" t="s">
        <v>48</v>
      </c>
      <c r="F368" s="27" t="s">
        <v>11</v>
      </c>
      <c r="G368" s="27"/>
      <c r="H368" s="27"/>
      <c r="I368" s="28" t="str">
        <f t="shared" si="10"/>
        <v/>
      </c>
      <c r="J368" s="27"/>
      <c r="K368" s="28" t="str">
        <f t="shared" si="11"/>
        <v/>
      </c>
      <c r="L368" s="27"/>
      <c r="M368" s="27"/>
      <c r="N368" s="27"/>
      <c r="O368" s="27"/>
      <c r="P368" s="27" t="s">
        <v>1993</v>
      </c>
      <c r="Q368" s="27" t="s">
        <v>1994</v>
      </c>
    </row>
    <row r="369" spans="1:17" ht="15" customHeight="1" x14ac:dyDescent="0.3">
      <c r="A369" s="27" t="s">
        <v>1995</v>
      </c>
      <c r="B369" s="27" t="s">
        <v>1996</v>
      </c>
      <c r="C369" s="27" t="s">
        <v>1997</v>
      </c>
      <c r="D369" s="27">
        <v>2025</v>
      </c>
      <c r="E369" s="27" t="s">
        <v>48</v>
      </c>
      <c r="F369" s="27" t="s">
        <v>13</v>
      </c>
      <c r="G369" s="27"/>
      <c r="H369" s="27"/>
      <c r="I369" s="28" t="str">
        <f t="shared" si="10"/>
        <v/>
      </c>
      <c r="J369" s="27"/>
      <c r="K369" s="28" t="str">
        <f t="shared" si="11"/>
        <v/>
      </c>
      <c r="L369" s="27"/>
      <c r="M369" s="27"/>
      <c r="N369" s="27"/>
      <c r="O369" s="27"/>
      <c r="P369" s="27" t="s">
        <v>1998</v>
      </c>
      <c r="Q369" s="27" t="s">
        <v>1999</v>
      </c>
    </row>
    <row r="370" spans="1:17" ht="15" customHeight="1" x14ac:dyDescent="0.3">
      <c r="A370" s="27" t="s">
        <v>2000</v>
      </c>
      <c r="B370" s="27" t="s">
        <v>2001</v>
      </c>
      <c r="C370" s="27" t="s">
        <v>2002</v>
      </c>
      <c r="D370" s="27">
        <v>2025</v>
      </c>
      <c r="E370" s="27" t="s">
        <v>48</v>
      </c>
      <c r="F370" s="27" t="s">
        <v>15</v>
      </c>
      <c r="G370" s="27"/>
      <c r="H370" s="27"/>
      <c r="I370" s="28" t="str">
        <f t="shared" si="10"/>
        <v/>
      </c>
      <c r="J370" s="27"/>
      <c r="K370" s="28" t="str">
        <f t="shared" si="11"/>
        <v/>
      </c>
      <c r="L370" s="27"/>
      <c r="M370" s="27"/>
      <c r="N370" s="27"/>
      <c r="O370" s="27"/>
      <c r="P370" s="27" t="s">
        <v>2003</v>
      </c>
      <c r="Q370" s="27" t="s">
        <v>2004</v>
      </c>
    </row>
    <row r="371" spans="1:17" ht="15" customHeight="1" x14ac:dyDescent="0.3">
      <c r="A371" s="27" t="s">
        <v>2005</v>
      </c>
      <c r="B371" s="27" t="s">
        <v>2006</v>
      </c>
      <c r="C371" s="27" t="s">
        <v>2007</v>
      </c>
      <c r="D371" s="27">
        <v>2021</v>
      </c>
      <c r="E371" s="27" t="s">
        <v>48</v>
      </c>
      <c r="F371" s="27" t="s">
        <v>11</v>
      </c>
      <c r="G371" s="27"/>
      <c r="H371" s="27"/>
      <c r="I371" s="28" t="str">
        <f t="shared" si="10"/>
        <v/>
      </c>
      <c r="J371" s="27"/>
      <c r="K371" s="28" t="str">
        <f t="shared" si="11"/>
        <v/>
      </c>
      <c r="L371" s="27"/>
      <c r="M371" s="27"/>
      <c r="N371" s="27"/>
      <c r="O371" s="27"/>
      <c r="P371" s="27" t="s">
        <v>2008</v>
      </c>
      <c r="Q371" s="27" t="s">
        <v>2009</v>
      </c>
    </row>
    <row r="372" spans="1:17" ht="15" customHeight="1" x14ac:dyDescent="0.3">
      <c r="A372" s="27" t="s">
        <v>2010</v>
      </c>
      <c r="B372" s="27" t="s">
        <v>2011</v>
      </c>
      <c r="C372" s="27" t="s">
        <v>2012</v>
      </c>
      <c r="D372" s="27">
        <v>2025</v>
      </c>
      <c r="E372" s="27" t="s">
        <v>48</v>
      </c>
      <c r="F372" s="27" t="s">
        <v>13</v>
      </c>
      <c r="G372" s="27"/>
      <c r="H372" s="27"/>
      <c r="I372" s="28" t="str">
        <f t="shared" si="10"/>
        <v/>
      </c>
      <c r="J372" s="27"/>
      <c r="K372" s="28" t="str">
        <f t="shared" si="11"/>
        <v/>
      </c>
      <c r="L372" s="27"/>
      <c r="M372" s="27"/>
      <c r="N372" s="27"/>
      <c r="O372" s="27"/>
      <c r="P372" s="27" t="s">
        <v>2013</v>
      </c>
      <c r="Q372" s="27" t="s">
        <v>2014</v>
      </c>
    </row>
    <row r="373" spans="1:17" ht="15" customHeight="1" x14ac:dyDescent="0.3">
      <c r="A373" s="27" t="s">
        <v>2015</v>
      </c>
      <c r="B373" s="27" t="s">
        <v>2016</v>
      </c>
      <c r="C373" s="27" t="s">
        <v>2017</v>
      </c>
      <c r="D373" s="27">
        <v>2025</v>
      </c>
      <c r="E373" s="27" t="s">
        <v>48</v>
      </c>
      <c r="F373" s="27" t="s">
        <v>15</v>
      </c>
      <c r="G373" s="27"/>
      <c r="H373" s="27"/>
      <c r="I373" s="28" t="str">
        <f t="shared" si="10"/>
        <v/>
      </c>
      <c r="J373" s="27"/>
      <c r="K373" s="28" t="str">
        <f t="shared" si="11"/>
        <v/>
      </c>
      <c r="L373" s="27"/>
      <c r="M373" s="27"/>
      <c r="N373" s="27"/>
      <c r="O373" s="27"/>
      <c r="P373" s="27" t="s">
        <v>2018</v>
      </c>
      <c r="Q373" s="27" t="s">
        <v>2019</v>
      </c>
    </row>
    <row r="374" spans="1:17" ht="15" customHeight="1" x14ac:dyDescent="0.3">
      <c r="A374" s="27" t="s">
        <v>2020</v>
      </c>
      <c r="B374" s="27" t="s">
        <v>2021</v>
      </c>
      <c r="C374" s="27" t="s">
        <v>2022</v>
      </c>
      <c r="D374" s="27">
        <v>2025</v>
      </c>
      <c r="E374" s="27" t="s">
        <v>48</v>
      </c>
      <c r="F374" s="27" t="s">
        <v>11</v>
      </c>
      <c r="G374" s="27"/>
      <c r="H374" s="27"/>
      <c r="I374" s="28" t="str">
        <f t="shared" si="10"/>
        <v/>
      </c>
      <c r="J374" s="27"/>
      <c r="K374" s="28" t="str">
        <f t="shared" si="11"/>
        <v/>
      </c>
      <c r="L374" s="27"/>
      <c r="M374" s="27"/>
      <c r="N374" s="27"/>
      <c r="O374" s="27"/>
      <c r="P374" s="27" t="s">
        <v>2023</v>
      </c>
      <c r="Q374" s="27" t="s">
        <v>2024</v>
      </c>
    </row>
    <row r="375" spans="1:17" ht="15" customHeight="1" x14ac:dyDescent="0.3">
      <c r="A375" s="27" t="s">
        <v>2025</v>
      </c>
      <c r="B375" s="27" t="s">
        <v>2026</v>
      </c>
      <c r="C375" s="27" t="s">
        <v>2027</v>
      </c>
      <c r="D375" s="27">
        <v>2025</v>
      </c>
      <c r="E375" s="27" t="s">
        <v>48</v>
      </c>
      <c r="F375" s="27" t="s">
        <v>13</v>
      </c>
      <c r="G375" s="27"/>
      <c r="H375" s="27"/>
      <c r="I375" s="28" t="str">
        <f t="shared" si="10"/>
        <v/>
      </c>
      <c r="J375" s="27"/>
      <c r="K375" s="28" t="str">
        <f t="shared" si="11"/>
        <v/>
      </c>
      <c r="L375" s="27"/>
      <c r="M375" s="27"/>
      <c r="N375" s="27"/>
      <c r="O375" s="27"/>
      <c r="P375" s="27" t="s">
        <v>2028</v>
      </c>
      <c r="Q375" s="27" t="s">
        <v>2029</v>
      </c>
    </row>
    <row r="376" spans="1:17" ht="15" customHeight="1" x14ac:dyDescent="0.3">
      <c r="A376" s="27" t="s">
        <v>2030</v>
      </c>
      <c r="B376" s="27" t="s">
        <v>2031</v>
      </c>
      <c r="C376" s="27" t="s">
        <v>2032</v>
      </c>
      <c r="D376" s="27">
        <v>2018</v>
      </c>
      <c r="E376" s="27" t="s">
        <v>48</v>
      </c>
      <c r="F376" s="27" t="s">
        <v>15</v>
      </c>
      <c r="G376" s="27"/>
      <c r="H376" s="27"/>
      <c r="I376" s="28" t="str">
        <f t="shared" si="10"/>
        <v/>
      </c>
      <c r="J376" s="27"/>
      <c r="K376" s="28" t="str">
        <f t="shared" si="11"/>
        <v/>
      </c>
      <c r="L376" s="27"/>
      <c r="M376" s="27"/>
      <c r="N376" s="27"/>
      <c r="O376" s="27"/>
      <c r="P376" s="27" t="s">
        <v>2033</v>
      </c>
      <c r="Q376" s="27" t="s">
        <v>2034</v>
      </c>
    </row>
    <row r="377" spans="1:17" ht="15" customHeight="1" x14ac:dyDescent="0.3">
      <c r="A377" s="27" t="s">
        <v>2035</v>
      </c>
      <c r="B377" s="27" t="s">
        <v>2036</v>
      </c>
      <c r="C377" s="27" t="s">
        <v>2037</v>
      </c>
      <c r="D377" s="27">
        <v>2023</v>
      </c>
      <c r="E377" s="27" t="s">
        <v>48</v>
      </c>
      <c r="F377" s="27" t="s">
        <v>11</v>
      </c>
      <c r="G377" s="27"/>
      <c r="H377" s="27"/>
      <c r="I377" s="28" t="str">
        <f t="shared" si="10"/>
        <v/>
      </c>
      <c r="J377" s="27"/>
      <c r="K377" s="28" t="str">
        <f t="shared" si="11"/>
        <v/>
      </c>
      <c r="L377" s="27"/>
      <c r="M377" s="27"/>
      <c r="N377" s="27"/>
      <c r="O377" s="27"/>
      <c r="P377" s="27" t="s">
        <v>2038</v>
      </c>
      <c r="Q377" s="27" t="s">
        <v>2039</v>
      </c>
    </row>
    <row r="378" spans="1:17" ht="15" customHeight="1" x14ac:dyDescent="0.3">
      <c r="A378" s="27" t="s">
        <v>2040</v>
      </c>
      <c r="B378" s="27" t="s">
        <v>2041</v>
      </c>
      <c r="C378" s="27" t="s">
        <v>2042</v>
      </c>
      <c r="D378" s="27">
        <v>2023</v>
      </c>
      <c r="E378" s="27" t="s">
        <v>142</v>
      </c>
      <c r="F378" s="27" t="s">
        <v>13</v>
      </c>
      <c r="G378" s="27"/>
      <c r="H378" s="27"/>
      <c r="I378" s="28" t="str">
        <f t="shared" si="10"/>
        <v/>
      </c>
      <c r="J378" s="27"/>
      <c r="K378" s="28" t="str">
        <f t="shared" si="11"/>
        <v/>
      </c>
      <c r="L378" s="27"/>
      <c r="M378" s="27"/>
      <c r="N378" s="27"/>
      <c r="O378" s="27"/>
      <c r="P378" s="27" t="s">
        <v>2043</v>
      </c>
      <c r="Q378" s="27" t="s">
        <v>2044</v>
      </c>
    </row>
    <row r="379" spans="1:17" ht="15" customHeight="1" x14ac:dyDescent="0.3">
      <c r="A379" s="27" t="s">
        <v>2045</v>
      </c>
      <c r="B379" s="27" t="s">
        <v>2046</v>
      </c>
      <c r="C379" s="27" t="s">
        <v>2047</v>
      </c>
      <c r="D379" s="27">
        <v>2025</v>
      </c>
      <c r="E379" s="27" t="s">
        <v>48</v>
      </c>
      <c r="F379" s="27" t="s">
        <v>15</v>
      </c>
      <c r="G379" s="27"/>
      <c r="H379" s="27"/>
      <c r="I379" s="28" t="str">
        <f t="shared" si="10"/>
        <v/>
      </c>
      <c r="J379" s="27"/>
      <c r="K379" s="28" t="str">
        <f t="shared" si="11"/>
        <v/>
      </c>
      <c r="L379" s="27"/>
      <c r="M379" s="27"/>
      <c r="N379" s="27"/>
      <c r="O379" s="27"/>
      <c r="P379" s="27" t="s">
        <v>2048</v>
      </c>
      <c r="Q379" s="27" t="s">
        <v>2049</v>
      </c>
    </row>
    <row r="380" spans="1:17" ht="15" customHeight="1" x14ac:dyDescent="0.3">
      <c r="A380" s="27" t="s">
        <v>2050</v>
      </c>
      <c r="B380" s="27" t="s">
        <v>2051</v>
      </c>
      <c r="C380" s="27" t="s">
        <v>2052</v>
      </c>
      <c r="D380" s="27">
        <v>2020</v>
      </c>
      <c r="E380" s="27" t="s">
        <v>48</v>
      </c>
      <c r="F380" s="27" t="s">
        <v>11</v>
      </c>
      <c r="G380" s="27"/>
      <c r="H380" s="27"/>
      <c r="I380" s="28" t="str">
        <f t="shared" si="10"/>
        <v/>
      </c>
      <c r="J380" s="27"/>
      <c r="K380" s="28" t="str">
        <f t="shared" si="11"/>
        <v/>
      </c>
      <c r="L380" s="27"/>
      <c r="M380" s="27"/>
      <c r="N380" s="27"/>
      <c r="O380" s="27"/>
      <c r="P380" s="27" t="s">
        <v>2053</v>
      </c>
      <c r="Q380" s="27" t="s">
        <v>2054</v>
      </c>
    </row>
    <row r="381" spans="1:17" ht="15" customHeight="1" x14ac:dyDescent="0.3">
      <c r="A381" s="27" t="s">
        <v>2055</v>
      </c>
      <c r="B381" s="27" t="s">
        <v>2056</v>
      </c>
      <c r="C381" s="27" t="s">
        <v>2057</v>
      </c>
      <c r="D381" s="27">
        <v>2025</v>
      </c>
      <c r="E381" s="27" t="s">
        <v>48</v>
      </c>
      <c r="F381" s="27" t="s">
        <v>13</v>
      </c>
      <c r="G381" s="27"/>
      <c r="H381" s="27"/>
      <c r="I381" s="28" t="str">
        <f t="shared" si="10"/>
        <v/>
      </c>
      <c r="J381" s="27"/>
      <c r="K381" s="28" t="str">
        <f t="shared" si="11"/>
        <v/>
      </c>
      <c r="L381" s="27"/>
      <c r="M381" s="27"/>
      <c r="N381" s="27"/>
      <c r="O381" s="27"/>
      <c r="P381" s="27" t="s">
        <v>2058</v>
      </c>
      <c r="Q381" s="27" t="s">
        <v>2059</v>
      </c>
    </row>
    <row r="382" spans="1:17" ht="15" customHeight="1" x14ac:dyDescent="0.3">
      <c r="A382" s="27" t="s">
        <v>2060</v>
      </c>
      <c r="B382" s="27" t="s">
        <v>2061</v>
      </c>
      <c r="C382" s="27" t="s">
        <v>2062</v>
      </c>
      <c r="D382" s="27">
        <v>2019</v>
      </c>
      <c r="E382" s="27" t="s">
        <v>48</v>
      </c>
      <c r="F382" s="27" t="s">
        <v>15</v>
      </c>
      <c r="G382" s="27"/>
      <c r="H382" s="27"/>
      <c r="I382" s="28" t="str">
        <f t="shared" si="10"/>
        <v/>
      </c>
      <c r="J382" s="27"/>
      <c r="K382" s="28" t="str">
        <f t="shared" si="11"/>
        <v/>
      </c>
      <c r="L382" s="27"/>
      <c r="M382" s="27"/>
      <c r="N382" s="27"/>
      <c r="O382" s="27"/>
      <c r="P382" s="27" t="s">
        <v>2063</v>
      </c>
      <c r="Q382" s="27" t="s">
        <v>2064</v>
      </c>
    </row>
    <row r="383" spans="1:17" ht="15" customHeight="1" x14ac:dyDescent="0.3">
      <c r="A383" s="27" t="s">
        <v>2065</v>
      </c>
      <c r="B383" s="27" t="s">
        <v>2066</v>
      </c>
      <c r="C383" s="27" t="s">
        <v>2067</v>
      </c>
      <c r="D383" s="27">
        <v>2025</v>
      </c>
      <c r="E383" s="27" t="s">
        <v>48</v>
      </c>
      <c r="F383" s="27" t="s">
        <v>11</v>
      </c>
      <c r="G383" s="27"/>
      <c r="H383" s="27"/>
      <c r="I383" s="28" t="str">
        <f t="shared" si="10"/>
        <v/>
      </c>
      <c r="J383" s="27"/>
      <c r="K383" s="28" t="str">
        <f t="shared" si="11"/>
        <v/>
      </c>
      <c r="L383" s="27"/>
      <c r="M383" s="27"/>
      <c r="N383" s="27"/>
      <c r="O383" s="27"/>
      <c r="P383" s="27" t="s">
        <v>2068</v>
      </c>
      <c r="Q383" s="27" t="s">
        <v>2069</v>
      </c>
    </row>
    <row r="384" spans="1:17" ht="15" customHeight="1" x14ac:dyDescent="0.3">
      <c r="A384" s="27" t="s">
        <v>2070</v>
      </c>
      <c r="B384" s="27" t="s">
        <v>2071</v>
      </c>
      <c r="C384" s="27" t="s">
        <v>2072</v>
      </c>
      <c r="D384" s="27">
        <v>2017</v>
      </c>
      <c r="E384" s="27" t="s">
        <v>48</v>
      </c>
      <c r="F384" s="27" t="s">
        <v>13</v>
      </c>
      <c r="G384" s="27"/>
      <c r="H384" s="27"/>
      <c r="I384" s="28" t="str">
        <f t="shared" si="10"/>
        <v/>
      </c>
      <c r="J384" s="27"/>
      <c r="K384" s="28" t="str">
        <f t="shared" si="11"/>
        <v/>
      </c>
      <c r="L384" s="27"/>
      <c r="M384" s="27"/>
      <c r="N384" s="27"/>
      <c r="O384" s="27"/>
      <c r="P384" s="27" t="s">
        <v>2073</v>
      </c>
      <c r="Q384" s="27" t="s">
        <v>2074</v>
      </c>
    </row>
    <row r="385" spans="1:17" ht="15" customHeight="1" x14ac:dyDescent="0.3">
      <c r="A385" s="27" t="s">
        <v>2075</v>
      </c>
      <c r="B385" s="27" t="s">
        <v>2076</v>
      </c>
      <c r="C385" s="27" t="s">
        <v>2077</v>
      </c>
      <c r="D385" s="27">
        <v>2025</v>
      </c>
      <c r="E385" s="27" t="s">
        <v>48</v>
      </c>
      <c r="F385" s="27" t="s">
        <v>15</v>
      </c>
      <c r="G385" s="27"/>
      <c r="H385" s="27"/>
      <c r="I385" s="28" t="str">
        <f t="shared" si="10"/>
        <v/>
      </c>
      <c r="J385" s="27"/>
      <c r="K385" s="28" t="str">
        <f t="shared" si="11"/>
        <v/>
      </c>
      <c r="L385" s="27"/>
      <c r="M385" s="27"/>
      <c r="N385" s="27"/>
      <c r="O385" s="27"/>
      <c r="P385" s="27" t="s">
        <v>2078</v>
      </c>
      <c r="Q385" s="27" t="s">
        <v>2079</v>
      </c>
    </row>
    <row r="386" spans="1:17" ht="15" customHeight="1" x14ac:dyDescent="0.3">
      <c r="A386" s="27" t="s">
        <v>2080</v>
      </c>
      <c r="B386" s="27" t="s">
        <v>2081</v>
      </c>
      <c r="C386" s="27" t="s">
        <v>2082</v>
      </c>
      <c r="D386" s="27">
        <v>2023</v>
      </c>
      <c r="E386" s="27" t="s">
        <v>48</v>
      </c>
      <c r="F386" s="27" t="s">
        <v>11</v>
      </c>
      <c r="G386" s="27"/>
      <c r="H386" s="27"/>
      <c r="I386" s="28" t="str">
        <f t="shared" ref="I386:I449" si="12">IF(OR(G386="",H386=""),"",IF(G386=H386,"Yes","No"))</f>
        <v/>
      </c>
      <c r="J386" s="27"/>
      <c r="K386" s="28" t="str">
        <f t="shared" ref="K386:K449" si="13">IF(OR(E386="Snowballing",E386="Other sources"),"n/a",IF(AND(G386="",H386=""),"",IF(OR(G386="",H386=""),"Waiting",IF(G386=H386,G386,IF(AND(G386&lt;&gt;"Exclude",H386&lt;&gt;"Exclude"),"Maybe",IF(J386&lt;&gt;"",J386,"Pending"))))))</f>
        <v/>
      </c>
      <c r="L386" s="27"/>
      <c r="M386" s="27"/>
      <c r="N386" s="27"/>
      <c r="O386" s="27"/>
      <c r="P386" s="27" t="s">
        <v>2083</v>
      </c>
      <c r="Q386" s="27" t="s">
        <v>2084</v>
      </c>
    </row>
    <row r="387" spans="1:17" ht="15" customHeight="1" x14ac:dyDescent="0.3">
      <c r="A387" s="27" t="s">
        <v>2085</v>
      </c>
      <c r="B387" s="27" t="s">
        <v>2086</v>
      </c>
      <c r="C387" s="27" t="s">
        <v>2087</v>
      </c>
      <c r="D387" s="27">
        <v>2023</v>
      </c>
      <c r="E387" s="27" t="s">
        <v>48</v>
      </c>
      <c r="F387" s="27" t="s">
        <v>13</v>
      </c>
      <c r="G387" s="27"/>
      <c r="H387" s="27"/>
      <c r="I387" s="28" t="str">
        <f t="shared" si="12"/>
        <v/>
      </c>
      <c r="J387" s="27"/>
      <c r="K387" s="28" t="str">
        <f t="shared" si="13"/>
        <v/>
      </c>
      <c r="L387" s="27"/>
      <c r="M387" s="27"/>
      <c r="N387" s="27"/>
      <c r="O387" s="27"/>
      <c r="P387" s="27" t="s">
        <v>2088</v>
      </c>
      <c r="Q387" s="27" t="s">
        <v>2089</v>
      </c>
    </row>
    <row r="388" spans="1:17" ht="15" customHeight="1" x14ac:dyDescent="0.3">
      <c r="A388" s="27" t="s">
        <v>2090</v>
      </c>
      <c r="B388" s="27" t="s">
        <v>2091</v>
      </c>
      <c r="C388" s="27" t="s">
        <v>2092</v>
      </c>
      <c r="D388" s="27">
        <v>2024</v>
      </c>
      <c r="E388" s="27" t="s">
        <v>48</v>
      </c>
      <c r="F388" s="27" t="s">
        <v>15</v>
      </c>
      <c r="G388" s="27"/>
      <c r="H388" s="27"/>
      <c r="I388" s="28" t="str">
        <f t="shared" si="12"/>
        <v/>
      </c>
      <c r="J388" s="27"/>
      <c r="K388" s="28" t="str">
        <f t="shared" si="13"/>
        <v/>
      </c>
      <c r="L388" s="27"/>
      <c r="M388" s="27"/>
      <c r="N388" s="27"/>
      <c r="O388" s="27"/>
      <c r="P388" s="27" t="s">
        <v>2093</v>
      </c>
      <c r="Q388" s="27" t="s">
        <v>2094</v>
      </c>
    </row>
    <row r="389" spans="1:17" ht="15" customHeight="1" x14ac:dyDescent="0.3">
      <c r="A389" s="27" t="s">
        <v>2095</v>
      </c>
      <c r="B389" s="27" t="s">
        <v>2096</v>
      </c>
      <c r="C389" s="27" t="s">
        <v>2097</v>
      </c>
      <c r="D389" s="27">
        <v>2019</v>
      </c>
      <c r="E389" s="27" t="s">
        <v>48</v>
      </c>
      <c r="F389" s="27" t="s">
        <v>11</v>
      </c>
      <c r="G389" s="27"/>
      <c r="H389" s="27"/>
      <c r="I389" s="28" t="str">
        <f t="shared" si="12"/>
        <v/>
      </c>
      <c r="J389" s="27"/>
      <c r="K389" s="28" t="str">
        <f t="shared" si="13"/>
        <v/>
      </c>
      <c r="L389" s="27"/>
      <c r="M389" s="27"/>
      <c r="N389" s="27"/>
      <c r="O389" s="27"/>
      <c r="P389" s="27" t="s">
        <v>2098</v>
      </c>
      <c r="Q389" s="27" t="s">
        <v>2099</v>
      </c>
    </row>
    <row r="390" spans="1:17" ht="15" customHeight="1" x14ac:dyDescent="0.3">
      <c r="A390" s="27" t="s">
        <v>2100</v>
      </c>
      <c r="B390" s="27" t="s">
        <v>2101</v>
      </c>
      <c r="C390" s="27" t="s">
        <v>2102</v>
      </c>
      <c r="D390" s="27">
        <v>2026</v>
      </c>
      <c r="E390" s="27" t="s">
        <v>48</v>
      </c>
      <c r="F390" s="27" t="s">
        <v>13</v>
      </c>
      <c r="G390" s="27"/>
      <c r="H390" s="27"/>
      <c r="I390" s="28" t="str">
        <f t="shared" si="12"/>
        <v/>
      </c>
      <c r="J390" s="27"/>
      <c r="K390" s="28" t="str">
        <f t="shared" si="13"/>
        <v/>
      </c>
      <c r="L390" s="27"/>
      <c r="M390" s="27"/>
      <c r="N390" s="27"/>
      <c r="O390" s="27"/>
      <c r="P390" s="27" t="s">
        <v>2103</v>
      </c>
      <c r="Q390" s="27" t="s">
        <v>2104</v>
      </c>
    </row>
    <row r="391" spans="1:17" ht="15" customHeight="1" x14ac:dyDescent="0.3">
      <c r="A391" s="27" t="s">
        <v>2105</v>
      </c>
      <c r="B391" s="27" t="s">
        <v>2106</v>
      </c>
      <c r="C391" s="27" t="s">
        <v>2107</v>
      </c>
      <c r="D391" s="27">
        <v>2026</v>
      </c>
      <c r="E391" s="27" t="s">
        <v>48</v>
      </c>
      <c r="F391" s="27" t="s">
        <v>15</v>
      </c>
      <c r="G391" s="27"/>
      <c r="H391" s="27"/>
      <c r="I391" s="28" t="str">
        <f t="shared" si="12"/>
        <v/>
      </c>
      <c r="J391" s="27"/>
      <c r="K391" s="28" t="str">
        <f t="shared" si="13"/>
        <v/>
      </c>
      <c r="L391" s="27"/>
      <c r="M391" s="27"/>
      <c r="N391" s="27"/>
      <c r="O391" s="27"/>
      <c r="P391" s="27" t="s">
        <v>2108</v>
      </c>
      <c r="Q391" s="27" t="s">
        <v>2109</v>
      </c>
    </row>
    <row r="392" spans="1:17" ht="15" customHeight="1" x14ac:dyDescent="0.3">
      <c r="A392" s="27" t="s">
        <v>2110</v>
      </c>
      <c r="B392" s="27" t="s">
        <v>2111</v>
      </c>
      <c r="C392" s="27" t="s">
        <v>2112</v>
      </c>
      <c r="D392" s="27">
        <v>2025</v>
      </c>
      <c r="E392" s="27" t="s">
        <v>48</v>
      </c>
      <c r="F392" s="27" t="s">
        <v>11</v>
      </c>
      <c r="G392" s="27"/>
      <c r="H392" s="27"/>
      <c r="I392" s="28" t="str">
        <f t="shared" si="12"/>
        <v/>
      </c>
      <c r="J392" s="27"/>
      <c r="K392" s="28" t="str">
        <f t="shared" si="13"/>
        <v/>
      </c>
      <c r="L392" s="27"/>
      <c r="M392" s="27"/>
      <c r="N392" s="27"/>
      <c r="O392" s="27"/>
      <c r="P392" s="27" t="s">
        <v>2113</v>
      </c>
      <c r="Q392" s="27" t="s">
        <v>2114</v>
      </c>
    </row>
    <row r="393" spans="1:17" ht="15" customHeight="1" x14ac:dyDescent="0.3">
      <c r="A393" s="27" t="s">
        <v>2115</v>
      </c>
      <c r="B393" s="27" t="s">
        <v>2116</v>
      </c>
      <c r="C393" s="27" t="s">
        <v>2117</v>
      </c>
      <c r="D393" s="27">
        <v>2026</v>
      </c>
      <c r="E393" s="27" t="s">
        <v>48</v>
      </c>
      <c r="F393" s="27" t="s">
        <v>13</v>
      </c>
      <c r="G393" s="27"/>
      <c r="H393" s="27"/>
      <c r="I393" s="28" t="str">
        <f t="shared" si="12"/>
        <v/>
      </c>
      <c r="J393" s="27"/>
      <c r="K393" s="28" t="str">
        <f t="shared" si="13"/>
        <v/>
      </c>
      <c r="L393" s="27"/>
      <c r="M393" s="27"/>
      <c r="N393" s="27"/>
      <c r="O393" s="27"/>
      <c r="P393" s="27" t="s">
        <v>2118</v>
      </c>
      <c r="Q393" s="27" t="s">
        <v>2119</v>
      </c>
    </row>
    <row r="394" spans="1:17" ht="15" customHeight="1" x14ac:dyDescent="0.3">
      <c r="A394" s="27" t="s">
        <v>2120</v>
      </c>
      <c r="B394" s="27" t="s">
        <v>2121</v>
      </c>
      <c r="C394" s="27" t="s">
        <v>2122</v>
      </c>
      <c r="D394" s="27">
        <v>2023</v>
      </c>
      <c r="E394" s="27" t="s">
        <v>48</v>
      </c>
      <c r="F394" s="27" t="s">
        <v>15</v>
      </c>
      <c r="G394" s="27"/>
      <c r="H394" s="27"/>
      <c r="I394" s="28" t="str">
        <f t="shared" si="12"/>
        <v/>
      </c>
      <c r="J394" s="27"/>
      <c r="K394" s="28" t="str">
        <f t="shared" si="13"/>
        <v/>
      </c>
      <c r="L394" s="27"/>
      <c r="M394" s="27"/>
      <c r="N394" s="27"/>
      <c r="O394" s="27"/>
      <c r="P394" s="27" t="s">
        <v>2123</v>
      </c>
      <c r="Q394" s="27" t="s">
        <v>2124</v>
      </c>
    </row>
    <row r="395" spans="1:17" ht="15" customHeight="1" x14ac:dyDescent="0.3">
      <c r="A395" s="27" t="s">
        <v>2125</v>
      </c>
      <c r="B395" s="27" t="s">
        <v>2126</v>
      </c>
      <c r="C395" s="27" t="s">
        <v>2127</v>
      </c>
      <c r="D395" s="27">
        <v>2026</v>
      </c>
      <c r="E395" s="27" t="s">
        <v>48</v>
      </c>
      <c r="F395" s="27" t="s">
        <v>11</v>
      </c>
      <c r="G395" s="27"/>
      <c r="H395" s="27"/>
      <c r="I395" s="28" t="str">
        <f t="shared" si="12"/>
        <v/>
      </c>
      <c r="J395" s="27"/>
      <c r="K395" s="28" t="str">
        <f t="shared" si="13"/>
        <v/>
      </c>
      <c r="L395" s="27"/>
      <c r="M395" s="27"/>
      <c r="N395" s="27"/>
      <c r="O395" s="27"/>
      <c r="P395" s="27" t="s">
        <v>2128</v>
      </c>
      <c r="Q395" s="27" t="s">
        <v>2129</v>
      </c>
    </row>
    <row r="396" spans="1:17" ht="15" customHeight="1" x14ac:dyDescent="0.3">
      <c r="A396" s="27" t="s">
        <v>2130</v>
      </c>
      <c r="B396" s="27" t="s">
        <v>2131</v>
      </c>
      <c r="C396" s="27" t="s">
        <v>2132</v>
      </c>
      <c r="D396" s="27">
        <v>2023</v>
      </c>
      <c r="E396" s="27" t="s">
        <v>48</v>
      </c>
      <c r="F396" s="27" t="s">
        <v>13</v>
      </c>
      <c r="G396" s="27"/>
      <c r="H396" s="27"/>
      <c r="I396" s="28" t="str">
        <f t="shared" si="12"/>
        <v/>
      </c>
      <c r="J396" s="27"/>
      <c r="K396" s="28" t="str">
        <f t="shared" si="13"/>
        <v/>
      </c>
      <c r="L396" s="27"/>
      <c r="M396" s="27"/>
      <c r="N396" s="27"/>
      <c r="O396" s="27"/>
      <c r="P396" s="27" t="s">
        <v>2133</v>
      </c>
      <c r="Q396" s="27" t="s">
        <v>2134</v>
      </c>
    </row>
    <row r="397" spans="1:17" ht="15" customHeight="1" x14ac:dyDescent="0.3">
      <c r="A397" s="27" t="s">
        <v>2135</v>
      </c>
      <c r="B397" s="27" t="s">
        <v>2136</v>
      </c>
      <c r="C397" s="27" t="s">
        <v>2137</v>
      </c>
      <c r="D397" s="27">
        <v>2025</v>
      </c>
      <c r="E397" s="27" t="s">
        <v>48</v>
      </c>
      <c r="F397" s="27" t="s">
        <v>15</v>
      </c>
      <c r="G397" s="27"/>
      <c r="H397" s="27"/>
      <c r="I397" s="28" t="str">
        <f t="shared" si="12"/>
        <v/>
      </c>
      <c r="J397" s="27"/>
      <c r="K397" s="28" t="str">
        <f t="shared" si="13"/>
        <v/>
      </c>
      <c r="L397" s="27"/>
      <c r="M397" s="27"/>
      <c r="N397" s="27"/>
      <c r="O397" s="27"/>
      <c r="P397" s="27" t="s">
        <v>2138</v>
      </c>
      <c r="Q397" s="27" t="s">
        <v>2139</v>
      </c>
    </row>
    <row r="398" spans="1:17" ht="15" customHeight="1" x14ac:dyDescent="0.3">
      <c r="A398" s="27" t="s">
        <v>2140</v>
      </c>
      <c r="B398" s="27" t="s">
        <v>2141</v>
      </c>
      <c r="C398" s="27" t="s">
        <v>2142</v>
      </c>
      <c r="D398" s="27">
        <v>2025</v>
      </c>
      <c r="E398" s="27" t="s">
        <v>48</v>
      </c>
      <c r="F398" s="27" t="s">
        <v>11</v>
      </c>
      <c r="G398" s="27"/>
      <c r="H398" s="27"/>
      <c r="I398" s="28" t="str">
        <f t="shared" si="12"/>
        <v/>
      </c>
      <c r="J398" s="27"/>
      <c r="K398" s="28" t="str">
        <f t="shared" si="13"/>
        <v/>
      </c>
      <c r="L398" s="27"/>
      <c r="M398" s="27"/>
      <c r="N398" s="27"/>
      <c r="O398" s="27"/>
      <c r="P398" s="27" t="s">
        <v>2143</v>
      </c>
      <c r="Q398" s="27" t="s">
        <v>2144</v>
      </c>
    </row>
    <row r="399" spans="1:17" ht="15" customHeight="1" x14ac:dyDescent="0.3">
      <c r="A399" s="27" t="s">
        <v>2145</v>
      </c>
      <c r="B399" s="27" t="s">
        <v>2146</v>
      </c>
      <c r="C399" s="27" t="s">
        <v>2147</v>
      </c>
      <c r="D399" s="27">
        <v>2026</v>
      </c>
      <c r="E399" s="27" t="s">
        <v>48</v>
      </c>
      <c r="F399" s="27" t="s">
        <v>13</v>
      </c>
      <c r="G399" s="27"/>
      <c r="H399" s="27"/>
      <c r="I399" s="28" t="str">
        <f t="shared" si="12"/>
        <v/>
      </c>
      <c r="J399" s="27"/>
      <c r="K399" s="28" t="str">
        <f t="shared" si="13"/>
        <v/>
      </c>
      <c r="L399" s="27"/>
      <c r="M399" s="27"/>
      <c r="N399" s="27"/>
      <c r="O399" s="27"/>
      <c r="P399" s="27" t="s">
        <v>2148</v>
      </c>
      <c r="Q399" s="27" t="s">
        <v>2149</v>
      </c>
    </row>
    <row r="400" spans="1:17" ht="15" customHeight="1" x14ac:dyDescent="0.3">
      <c r="A400" s="27" t="s">
        <v>2150</v>
      </c>
      <c r="B400" s="27" t="s">
        <v>2151</v>
      </c>
      <c r="C400" s="27" t="s">
        <v>2152</v>
      </c>
      <c r="D400" s="27">
        <v>2026</v>
      </c>
      <c r="E400" s="27" t="s">
        <v>48</v>
      </c>
      <c r="F400" s="27" t="s">
        <v>15</v>
      </c>
      <c r="G400" s="27"/>
      <c r="H400" s="27"/>
      <c r="I400" s="28" t="str">
        <f t="shared" si="12"/>
        <v/>
      </c>
      <c r="J400" s="27"/>
      <c r="K400" s="28" t="str">
        <f t="shared" si="13"/>
        <v/>
      </c>
      <c r="L400" s="27"/>
      <c r="M400" s="27"/>
      <c r="N400" s="27"/>
      <c r="O400" s="27"/>
      <c r="P400" s="27" t="s">
        <v>2153</v>
      </c>
      <c r="Q400" s="27" t="s">
        <v>2154</v>
      </c>
    </row>
    <row r="401" spans="1:17" ht="15" customHeight="1" x14ac:dyDescent="0.3">
      <c r="A401" s="27" t="s">
        <v>2155</v>
      </c>
      <c r="B401" s="27" t="s">
        <v>2156</v>
      </c>
      <c r="C401" s="27" t="s">
        <v>2157</v>
      </c>
      <c r="D401" s="27">
        <v>2024</v>
      </c>
      <c r="E401" s="27" t="s">
        <v>48</v>
      </c>
      <c r="F401" s="27" t="s">
        <v>11</v>
      </c>
      <c r="G401" s="27"/>
      <c r="H401" s="27"/>
      <c r="I401" s="28" t="str">
        <f t="shared" si="12"/>
        <v/>
      </c>
      <c r="J401" s="27"/>
      <c r="K401" s="28" t="str">
        <f t="shared" si="13"/>
        <v/>
      </c>
      <c r="L401" s="27"/>
      <c r="M401" s="27"/>
      <c r="N401" s="27"/>
      <c r="O401" s="27"/>
      <c r="P401" s="27" t="s">
        <v>2158</v>
      </c>
      <c r="Q401" s="27" t="s">
        <v>2159</v>
      </c>
    </row>
    <row r="402" spans="1:17" ht="15" customHeight="1" x14ac:dyDescent="0.3">
      <c r="A402" s="27" t="s">
        <v>2160</v>
      </c>
      <c r="B402" s="27" t="s">
        <v>2161</v>
      </c>
      <c r="C402" s="27" t="s">
        <v>2162</v>
      </c>
      <c r="D402" s="27">
        <v>2023</v>
      </c>
      <c r="E402" s="27" t="s">
        <v>48</v>
      </c>
      <c r="F402" s="27" t="s">
        <v>13</v>
      </c>
      <c r="G402" s="27"/>
      <c r="H402" s="27"/>
      <c r="I402" s="28" t="str">
        <f t="shared" si="12"/>
        <v/>
      </c>
      <c r="J402" s="27"/>
      <c r="K402" s="28" t="str">
        <f t="shared" si="13"/>
        <v/>
      </c>
      <c r="L402" s="27"/>
      <c r="M402" s="27"/>
      <c r="N402" s="27"/>
      <c r="O402" s="27"/>
      <c r="P402" s="27" t="s">
        <v>2163</v>
      </c>
      <c r="Q402" s="27" t="s">
        <v>2164</v>
      </c>
    </row>
    <row r="403" spans="1:17" ht="15" customHeight="1" x14ac:dyDescent="0.3">
      <c r="A403" s="27" t="s">
        <v>2165</v>
      </c>
      <c r="B403" s="27" t="s">
        <v>2166</v>
      </c>
      <c r="C403" s="27" t="s">
        <v>2167</v>
      </c>
      <c r="D403" s="27">
        <v>2025</v>
      </c>
      <c r="E403" s="27" t="s">
        <v>48</v>
      </c>
      <c r="F403" s="27" t="s">
        <v>15</v>
      </c>
      <c r="G403" s="27"/>
      <c r="H403" s="27"/>
      <c r="I403" s="28" t="str">
        <f t="shared" si="12"/>
        <v/>
      </c>
      <c r="J403" s="27"/>
      <c r="K403" s="28" t="str">
        <f t="shared" si="13"/>
        <v/>
      </c>
      <c r="L403" s="27"/>
      <c r="M403" s="27"/>
      <c r="N403" s="27"/>
      <c r="O403" s="27"/>
      <c r="P403" s="27" t="s">
        <v>2168</v>
      </c>
      <c r="Q403" s="27" t="s">
        <v>2169</v>
      </c>
    </row>
    <row r="404" spans="1:17" ht="15" customHeight="1" x14ac:dyDescent="0.3">
      <c r="A404" s="27" t="s">
        <v>2170</v>
      </c>
      <c r="B404" s="27" t="s">
        <v>2171</v>
      </c>
      <c r="C404" s="27" t="s">
        <v>2172</v>
      </c>
      <c r="D404" s="27">
        <v>2025</v>
      </c>
      <c r="E404" s="27" t="s">
        <v>48</v>
      </c>
      <c r="F404" s="27" t="s">
        <v>11</v>
      </c>
      <c r="G404" s="27"/>
      <c r="H404" s="27"/>
      <c r="I404" s="28" t="str">
        <f t="shared" si="12"/>
        <v/>
      </c>
      <c r="J404" s="27"/>
      <c r="K404" s="28" t="str">
        <f t="shared" si="13"/>
        <v/>
      </c>
      <c r="L404" s="27"/>
      <c r="M404" s="27"/>
      <c r="N404" s="27"/>
      <c r="O404" s="27"/>
      <c r="P404" s="27" t="s">
        <v>2173</v>
      </c>
      <c r="Q404" s="27" t="s">
        <v>2174</v>
      </c>
    </row>
    <row r="405" spans="1:17" ht="15" customHeight="1" x14ac:dyDescent="0.3">
      <c r="A405" s="27" t="s">
        <v>2175</v>
      </c>
      <c r="B405" s="27" t="s">
        <v>2176</v>
      </c>
      <c r="C405" s="27" t="s">
        <v>2177</v>
      </c>
      <c r="D405" s="27">
        <v>2026</v>
      </c>
      <c r="E405" s="27" t="s">
        <v>48</v>
      </c>
      <c r="F405" s="27" t="s">
        <v>13</v>
      </c>
      <c r="G405" s="27"/>
      <c r="H405" s="27"/>
      <c r="I405" s="28" t="str">
        <f t="shared" si="12"/>
        <v/>
      </c>
      <c r="J405" s="27"/>
      <c r="K405" s="28" t="str">
        <f t="shared" si="13"/>
        <v/>
      </c>
      <c r="L405" s="27"/>
      <c r="M405" s="27"/>
      <c r="N405" s="27"/>
      <c r="O405" s="27"/>
      <c r="P405" s="27" t="s">
        <v>2178</v>
      </c>
      <c r="Q405" s="27" t="s">
        <v>2179</v>
      </c>
    </row>
    <row r="406" spans="1:17" ht="15" customHeight="1" x14ac:dyDescent="0.3">
      <c r="A406" s="27" t="s">
        <v>2180</v>
      </c>
      <c r="B406" s="27" t="s">
        <v>2181</v>
      </c>
      <c r="C406" s="27" t="s">
        <v>2182</v>
      </c>
      <c r="D406" s="27">
        <v>2023</v>
      </c>
      <c r="E406" s="27" t="s">
        <v>48</v>
      </c>
      <c r="F406" s="27" t="s">
        <v>15</v>
      </c>
      <c r="G406" s="27"/>
      <c r="H406" s="27"/>
      <c r="I406" s="28" t="str">
        <f t="shared" si="12"/>
        <v/>
      </c>
      <c r="J406" s="27"/>
      <c r="K406" s="28" t="str">
        <f t="shared" si="13"/>
        <v/>
      </c>
      <c r="L406" s="27"/>
      <c r="M406" s="27"/>
      <c r="N406" s="27"/>
      <c r="O406" s="27"/>
      <c r="P406" s="27" t="s">
        <v>2183</v>
      </c>
      <c r="Q406" s="27" t="s">
        <v>2184</v>
      </c>
    </row>
    <row r="407" spans="1:17" ht="15" customHeight="1" x14ac:dyDescent="0.3">
      <c r="A407" s="27" t="s">
        <v>2185</v>
      </c>
      <c r="B407" s="27" t="s">
        <v>2186</v>
      </c>
      <c r="C407" s="27" t="s">
        <v>2187</v>
      </c>
      <c r="D407" s="27">
        <v>2023</v>
      </c>
      <c r="E407" s="27" t="s">
        <v>48</v>
      </c>
      <c r="F407" s="27" t="s">
        <v>11</v>
      </c>
      <c r="G407" s="27"/>
      <c r="H407" s="27"/>
      <c r="I407" s="28" t="str">
        <f t="shared" si="12"/>
        <v/>
      </c>
      <c r="J407" s="27"/>
      <c r="K407" s="28" t="str">
        <f t="shared" si="13"/>
        <v/>
      </c>
      <c r="L407" s="27"/>
      <c r="M407" s="27"/>
      <c r="N407" s="27"/>
      <c r="O407" s="27"/>
      <c r="P407" s="27" t="s">
        <v>2188</v>
      </c>
      <c r="Q407" s="27" t="s">
        <v>2189</v>
      </c>
    </row>
    <row r="408" spans="1:17" ht="15" customHeight="1" x14ac:dyDescent="0.3">
      <c r="A408" s="27" t="s">
        <v>2190</v>
      </c>
      <c r="B408" s="27" t="s">
        <v>2191</v>
      </c>
      <c r="C408" s="27" t="s">
        <v>2192</v>
      </c>
      <c r="D408" s="27">
        <v>2025</v>
      </c>
      <c r="E408" s="27" t="s">
        <v>48</v>
      </c>
      <c r="F408" s="27" t="s">
        <v>13</v>
      </c>
      <c r="G408" s="27"/>
      <c r="H408" s="27"/>
      <c r="I408" s="28" t="str">
        <f t="shared" si="12"/>
        <v/>
      </c>
      <c r="J408" s="27"/>
      <c r="K408" s="28" t="str">
        <f t="shared" si="13"/>
        <v/>
      </c>
      <c r="L408" s="27"/>
      <c r="M408" s="27"/>
      <c r="N408" s="27"/>
      <c r="O408" s="27"/>
      <c r="P408" s="27" t="s">
        <v>2193</v>
      </c>
      <c r="Q408" s="27" t="s">
        <v>2194</v>
      </c>
    </row>
    <row r="409" spans="1:17" ht="15" customHeight="1" x14ac:dyDescent="0.3">
      <c r="A409" s="27" t="s">
        <v>2195</v>
      </c>
      <c r="B409" s="27" t="s">
        <v>2196</v>
      </c>
      <c r="C409" s="27" t="s">
        <v>2197</v>
      </c>
      <c r="D409" s="27">
        <v>2020</v>
      </c>
      <c r="E409" s="27" t="s">
        <v>48</v>
      </c>
      <c r="F409" s="27" t="s">
        <v>15</v>
      </c>
      <c r="G409" s="27"/>
      <c r="H409" s="27"/>
      <c r="I409" s="28" t="str">
        <f t="shared" si="12"/>
        <v/>
      </c>
      <c r="J409" s="27"/>
      <c r="K409" s="28" t="str">
        <f t="shared" si="13"/>
        <v/>
      </c>
      <c r="L409" s="27"/>
      <c r="M409" s="27"/>
      <c r="N409" s="27"/>
      <c r="O409" s="27"/>
      <c r="P409" s="27" t="s">
        <v>2198</v>
      </c>
      <c r="Q409" s="27" t="s">
        <v>2199</v>
      </c>
    </row>
    <row r="410" spans="1:17" ht="15" customHeight="1" x14ac:dyDescent="0.3">
      <c r="A410" s="27" t="s">
        <v>2200</v>
      </c>
      <c r="B410" s="27" t="s">
        <v>2201</v>
      </c>
      <c r="C410" s="27" t="s">
        <v>2202</v>
      </c>
      <c r="D410" s="27">
        <v>2020</v>
      </c>
      <c r="E410" s="27" t="s">
        <v>48</v>
      </c>
      <c r="F410" s="27" t="s">
        <v>11</v>
      </c>
      <c r="G410" s="27"/>
      <c r="H410" s="27"/>
      <c r="I410" s="28" t="str">
        <f t="shared" si="12"/>
        <v/>
      </c>
      <c r="J410" s="27"/>
      <c r="K410" s="28" t="str">
        <f t="shared" si="13"/>
        <v/>
      </c>
      <c r="L410" s="27"/>
      <c r="M410" s="27"/>
      <c r="N410" s="27"/>
      <c r="O410" s="27"/>
      <c r="P410" s="27" t="s">
        <v>2203</v>
      </c>
      <c r="Q410" s="27" t="s">
        <v>2204</v>
      </c>
    </row>
    <row r="411" spans="1:17" ht="15" customHeight="1" x14ac:dyDescent="0.3">
      <c r="A411" s="27" t="s">
        <v>2205</v>
      </c>
      <c r="B411" s="27" t="s">
        <v>2206</v>
      </c>
      <c r="C411" s="27" t="s">
        <v>2207</v>
      </c>
      <c r="D411" s="27">
        <v>2025</v>
      </c>
      <c r="E411" s="27" t="s">
        <v>48</v>
      </c>
      <c r="F411" s="27" t="s">
        <v>13</v>
      </c>
      <c r="G411" s="27"/>
      <c r="H411" s="27"/>
      <c r="I411" s="28" t="str">
        <f t="shared" si="12"/>
        <v/>
      </c>
      <c r="J411" s="27"/>
      <c r="K411" s="28" t="str">
        <f t="shared" si="13"/>
        <v/>
      </c>
      <c r="L411" s="27"/>
      <c r="M411" s="27"/>
      <c r="N411" s="27"/>
      <c r="O411" s="27"/>
      <c r="P411" s="27" t="s">
        <v>2208</v>
      </c>
      <c r="Q411" s="27" t="s">
        <v>2209</v>
      </c>
    </row>
    <row r="412" spans="1:17" ht="15" customHeight="1" x14ac:dyDescent="0.3">
      <c r="A412" s="27" t="s">
        <v>2210</v>
      </c>
      <c r="B412" s="27" t="s">
        <v>2211</v>
      </c>
      <c r="C412" s="27" t="s">
        <v>2212</v>
      </c>
      <c r="D412" s="27">
        <v>2023</v>
      </c>
      <c r="E412" s="27" t="s">
        <v>142</v>
      </c>
      <c r="F412" s="27" t="s">
        <v>15</v>
      </c>
      <c r="G412" s="27"/>
      <c r="H412" s="27"/>
      <c r="I412" s="28" t="str">
        <f t="shared" si="12"/>
        <v/>
      </c>
      <c r="J412" s="27"/>
      <c r="K412" s="28" t="str">
        <f t="shared" si="13"/>
        <v/>
      </c>
      <c r="L412" s="27"/>
      <c r="M412" s="27"/>
      <c r="N412" s="27"/>
      <c r="O412" s="27"/>
      <c r="P412" s="27" t="s">
        <v>2213</v>
      </c>
      <c r="Q412" s="27" t="s">
        <v>2214</v>
      </c>
    </row>
    <row r="413" spans="1:17" ht="15" customHeight="1" x14ac:dyDescent="0.3">
      <c r="A413" s="27" t="s">
        <v>2215</v>
      </c>
      <c r="B413" s="27" t="s">
        <v>2216</v>
      </c>
      <c r="C413" s="27" t="s">
        <v>2217</v>
      </c>
      <c r="D413" s="27">
        <v>2026</v>
      </c>
      <c r="E413" s="27" t="s">
        <v>48</v>
      </c>
      <c r="F413" s="27" t="s">
        <v>11</v>
      </c>
      <c r="G413" s="27"/>
      <c r="H413" s="27"/>
      <c r="I413" s="28" t="str">
        <f t="shared" si="12"/>
        <v/>
      </c>
      <c r="J413" s="27"/>
      <c r="K413" s="28" t="str">
        <f t="shared" si="13"/>
        <v/>
      </c>
      <c r="L413" s="27"/>
      <c r="M413" s="27"/>
      <c r="N413" s="27"/>
      <c r="O413" s="27"/>
      <c r="P413" s="27" t="s">
        <v>2218</v>
      </c>
      <c r="Q413" s="27" t="s">
        <v>2219</v>
      </c>
    </row>
    <row r="414" spans="1:17" ht="15" customHeight="1" x14ac:dyDescent="0.3">
      <c r="A414" s="27" t="s">
        <v>2220</v>
      </c>
      <c r="B414" s="27" t="s">
        <v>2221</v>
      </c>
      <c r="C414" s="27" t="s">
        <v>2222</v>
      </c>
      <c r="D414" s="27">
        <v>2025</v>
      </c>
      <c r="E414" s="27" t="s">
        <v>48</v>
      </c>
      <c r="F414" s="27" t="s">
        <v>13</v>
      </c>
      <c r="G414" s="27"/>
      <c r="H414" s="27"/>
      <c r="I414" s="28" t="str">
        <f t="shared" si="12"/>
        <v/>
      </c>
      <c r="J414" s="27"/>
      <c r="K414" s="28" t="str">
        <f t="shared" si="13"/>
        <v/>
      </c>
      <c r="L414" s="27"/>
      <c r="M414" s="27"/>
      <c r="N414" s="27"/>
      <c r="O414" s="27"/>
      <c r="P414" s="27" t="s">
        <v>2223</v>
      </c>
      <c r="Q414" s="27" t="s">
        <v>2224</v>
      </c>
    </row>
    <row r="415" spans="1:17" ht="15" customHeight="1" x14ac:dyDescent="0.3">
      <c r="A415" s="27" t="s">
        <v>2225</v>
      </c>
      <c r="B415" s="27" t="s">
        <v>2226</v>
      </c>
      <c r="C415" s="27" t="s">
        <v>2227</v>
      </c>
      <c r="D415" s="27">
        <v>2026</v>
      </c>
      <c r="E415" s="27" t="s">
        <v>48</v>
      </c>
      <c r="F415" s="27" t="s">
        <v>15</v>
      </c>
      <c r="G415" s="27"/>
      <c r="H415" s="27"/>
      <c r="I415" s="28" t="str">
        <f t="shared" si="12"/>
        <v/>
      </c>
      <c r="J415" s="27"/>
      <c r="K415" s="28" t="str">
        <f t="shared" si="13"/>
        <v/>
      </c>
      <c r="L415" s="27"/>
      <c r="M415" s="27"/>
      <c r="N415" s="27"/>
      <c r="O415" s="27"/>
      <c r="P415" s="27" t="s">
        <v>2228</v>
      </c>
      <c r="Q415" s="27" t="s">
        <v>2229</v>
      </c>
    </row>
    <row r="416" spans="1:17" ht="15" customHeight="1" x14ac:dyDescent="0.3">
      <c r="A416" s="27" t="s">
        <v>2230</v>
      </c>
      <c r="B416" s="27" t="s">
        <v>2231</v>
      </c>
      <c r="C416" s="27" t="s">
        <v>2232</v>
      </c>
      <c r="D416" s="27">
        <v>2025</v>
      </c>
      <c r="E416" s="27" t="s">
        <v>48</v>
      </c>
      <c r="F416" s="27" t="s">
        <v>11</v>
      </c>
      <c r="G416" s="27"/>
      <c r="H416" s="27"/>
      <c r="I416" s="28" t="str">
        <f t="shared" si="12"/>
        <v/>
      </c>
      <c r="J416" s="27"/>
      <c r="K416" s="28" t="str">
        <f t="shared" si="13"/>
        <v/>
      </c>
      <c r="L416" s="27"/>
      <c r="M416" s="27"/>
      <c r="N416" s="27"/>
      <c r="O416" s="27"/>
      <c r="P416" s="27" t="s">
        <v>2233</v>
      </c>
      <c r="Q416" s="27" t="s">
        <v>2234</v>
      </c>
    </row>
    <row r="417" spans="1:17" ht="15" customHeight="1" x14ac:dyDescent="0.3">
      <c r="A417" s="27" t="s">
        <v>2235</v>
      </c>
      <c r="B417" s="27" t="s">
        <v>2236</v>
      </c>
      <c r="C417" s="27" t="s">
        <v>2237</v>
      </c>
      <c r="D417" s="27">
        <v>2025</v>
      </c>
      <c r="E417" s="27" t="s">
        <v>48</v>
      </c>
      <c r="F417" s="27" t="s">
        <v>13</v>
      </c>
      <c r="G417" s="27"/>
      <c r="H417" s="27"/>
      <c r="I417" s="28" t="str">
        <f t="shared" si="12"/>
        <v/>
      </c>
      <c r="J417" s="27"/>
      <c r="K417" s="28" t="str">
        <f t="shared" si="13"/>
        <v/>
      </c>
      <c r="L417" s="27"/>
      <c r="M417" s="27"/>
      <c r="N417" s="27"/>
      <c r="O417" s="27"/>
      <c r="P417" s="27" t="s">
        <v>2238</v>
      </c>
      <c r="Q417" s="27" t="s">
        <v>2239</v>
      </c>
    </row>
    <row r="418" spans="1:17" ht="15" customHeight="1" x14ac:dyDescent="0.3">
      <c r="A418" s="27" t="s">
        <v>2240</v>
      </c>
      <c r="B418" s="27" t="s">
        <v>2241</v>
      </c>
      <c r="C418" s="27" t="s">
        <v>2242</v>
      </c>
      <c r="D418" s="27">
        <v>2022</v>
      </c>
      <c r="E418" s="27" t="s">
        <v>48</v>
      </c>
      <c r="F418" s="27" t="s">
        <v>15</v>
      </c>
      <c r="G418" s="27"/>
      <c r="H418" s="27"/>
      <c r="I418" s="28" t="str">
        <f t="shared" si="12"/>
        <v/>
      </c>
      <c r="J418" s="27"/>
      <c r="K418" s="28" t="str">
        <f t="shared" si="13"/>
        <v/>
      </c>
      <c r="L418" s="27"/>
      <c r="M418" s="27"/>
      <c r="N418" s="27"/>
      <c r="O418" s="27"/>
      <c r="P418" s="27" t="s">
        <v>2243</v>
      </c>
      <c r="Q418" s="27" t="s">
        <v>2244</v>
      </c>
    </row>
    <row r="419" spans="1:17" ht="15" customHeight="1" x14ac:dyDescent="0.3">
      <c r="A419" s="27" t="s">
        <v>2245</v>
      </c>
      <c r="B419" s="27" t="s">
        <v>2246</v>
      </c>
      <c r="C419" s="27" t="s">
        <v>2247</v>
      </c>
      <c r="D419" s="27">
        <v>2024</v>
      </c>
      <c r="E419" s="27" t="s">
        <v>48</v>
      </c>
      <c r="F419" s="27" t="s">
        <v>11</v>
      </c>
      <c r="G419" s="27"/>
      <c r="H419" s="27"/>
      <c r="I419" s="28" t="str">
        <f t="shared" si="12"/>
        <v/>
      </c>
      <c r="J419" s="27"/>
      <c r="K419" s="28" t="str">
        <f t="shared" si="13"/>
        <v/>
      </c>
      <c r="L419" s="27"/>
      <c r="M419" s="27"/>
      <c r="N419" s="27"/>
      <c r="O419" s="27"/>
      <c r="P419" s="27" t="s">
        <v>2248</v>
      </c>
      <c r="Q419" s="27" t="s">
        <v>2249</v>
      </c>
    </row>
    <row r="420" spans="1:17" ht="15" customHeight="1" x14ac:dyDescent="0.3">
      <c r="A420" s="27" t="s">
        <v>2250</v>
      </c>
      <c r="B420" s="27" t="s">
        <v>2251</v>
      </c>
      <c r="C420" s="27" t="s">
        <v>2252</v>
      </c>
      <c r="D420" s="27">
        <v>2025</v>
      </c>
      <c r="E420" s="27" t="s">
        <v>48</v>
      </c>
      <c r="F420" s="27" t="s">
        <v>13</v>
      </c>
      <c r="G420" s="27"/>
      <c r="H420" s="27"/>
      <c r="I420" s="28" t="str">
        <f t="shared" si="12"/>
        <v/>
      </c>
      <c r="J420" s="27"/>
      <c r="K420" s="28" t="str">
        <f t="shared" si="13"/>
        <v/>
      </c>
      <c r="L420" s="27"/>
      <c r="M420" s="27"/>
      <c r="N420" s="27"/>
      <c r="O420" s="27"/>
      <c r="P420" s="27" t="s">
        <v>2253</v>
      </c>
      <c r="Q420" s="27" t="s">
        <v>2254</v>
      </c>
    </row>
    <row r="421" spans="1:17" ht="15" customHeight="1" x14ac:dyDescent="0.3">
      <c r="A421" s="27" t="s">
        <v>2255</v>
      </c>
      <c r="B421" s="27" t="s">
        <v>2256</v>
      </c>
      <c r="C421" s="27" t="s">
        <v>2257</v>
      </c>
      <c r="D421" s="27">
        <v>2026</v>
      </c>
      <c r="E421" s="27" t="s">
        <v>48</v>
      </c>
      <c r="F421" s="27" t="s">
        <v>15</v>
      </c>
      <c r="G421" s="27"/>
      <c r="H421" s="27"/>
      <c r="I421" s="28" t="str">
        <f t="shared" si="12"/>
        <v/>
      </c>
      <c r="J421" s="27"/>
      <c r="K421" s="28" t="str">
        <f t="shared" si="13"/>
        <v/>
      </c>
      <c r="L421" s="27"/>
      <c r="M421" s="27"/>
      <c r="N421" s="27"/>
      <c r="O421" s="27"/>
      <c r="P421" s="27" t="s">
        <v>2258</v>
      </c>
      <c r="Q421" s="27" t="s">
        <v>2259</v>
      </c>
    </row>
    <row r="422" spans="1:17" ht="15" customHeight="1" x14ac:dyDescent="0.3">
      <c r="A422" s="27" t="s">
        <v>2260</v>
      </c>
      <c r="B422" s="27" t="s">
        <v>2261</v>
      </c>
      <c r="C422" s="27" t="s">
        <v>2262</v>
      </c>
      <c r="D422" s="27">
        <v>2020</v>
      </c>
      <c r="E422" s="27" t="s">
        <v>48</v>
      </c>
      <c r="F422" s="27" t="s">
        <v>11</v>
      </c>
      <c r="G422" s="27"/>
      <c r="H422" s="27"/>
      <c r="I422" s="28" t="str">
        <f t="shared" si="12"/>
        <v/>
      </c>
      <c r="J422" s="27"/>
      <c r="K422" s="28" t="str">
        <f t="shared" si="13"/>
        <v/>
      </c>
      <c r="L422" s="27"/>
      <c r="M422" s="27"/>
      <c r="N422" s="27"/>
      <c r="O422" s="27"/>
      <c r="P422" s="27" t="s">
        <v>2263</v>
      </c>
      <c r="Q422" s="27" t="s">
        <v>2264</v>
      </c>
    </row>
    <row r="423" spans="1:17" ht="15" customHeight="1" x14ac:dyDescent="0.3">
      <c r="A423" s="27" t="s">
        <v>2265</v>
      </c>
      <c r="B423" s="27" t="s">
        <v>2266</v>
      </c>
      <c r="C423" s="27" t="s">
        <v>2267</v>
      </c>
      <c r="D423" s="27">
        <v>2024</v>
      </c>
      <c r="E423" s="27" t="s">
        <v>48</v>
      </c>
      <c r="F423" s="27" t="s">
        <v>13</v>
      </c>
      <c r="G423" s="27"/>
      <c r="H423" s="27"/>
      <c r="I423" s="28" t="str">
        <f t="shared" si="12"/>
        <v/>
      </c>
      <c r="J423" s="27"/>
      <c r="K423" s="28" t="str">
        <f t="shared" si="13"/>
        <v/>
      </c>
      <c r="L423" s="27"/>
      <c r="M423" s="27"/>
      <c r="N423" s="27"/>
      <c r="O423" s="27"/>
      <c r="P423" s="27" t="s">
        <v>2268</v>
      </c>
      <c r="Q423" s="27" t="s">
        <v>2269</v>
      </c>
    </row>
    <row r="424" spans="1:17" ht="15" customHeight="1" x14ac:dyDescent="0.3">
      <c r="A424" s="27" t="s">
        <v>2270</v>
      </c>
      <c r="B424" s="27" t="s">
        <v>2271</v>
      </c>
      <c r="C424" s="27" t="s">
        <v>2272</v>
      </c>
      <c r="D424" s="27">
        <v>2022</v>
      </c>
      <c r="E424" s="27" t="s">
        <v>48</v>
      </c>
      <c r="F424" s="27" t="s">
        <v>15</v>
      </c>
      <c r="G424" s="27"/>
      <c r="H424" s="27"/>
      <c r="I424" s="28" t="str">
        <f t="shared" si="12"/>
        <v/>
      </c>
      <c r="J424" s="27"/>
      <c r="K424" s="28" t="str">
        <f t="shared" si="13"/>
        <v/>
      </c>
      <c r="L424" s="27"/>
      <c r="M424" s="27"/>
      <c r="N424" s="27"/>
      <c r="O424" s="27"/>
      <c r="P424" s="27" t="s">
        <v>2273</v>
      </c>
      <c r="Q424" s="27" t="s">
        <v>2274</v>
      </c>
    </row>
    <row r="425" spans="1:17" ht="15" customHeight="1" x14ac:dyDescent="0.3">
      <c r="A425" s="27" t="s">
        <v>2275</v>
      </c>
      <c r="B425" s="27" t="s">
        <v>2276</v>
      </c>
      <c r="C425" s="27" t="s">
        <v>2277</v>
      </c>
      <c r="D425" s="27">
        <v>2022</v>
      </c>
      <c r="E425" s="27" t="s">
        <v>48</v>
      </c>
      <c r="F425" s="27" t="s">
        <v>11</v>
      </c>
      <c r="G425" s="27"/>
      <c r="H425" s="27"/>
      <c r="I425" s="28" t="str">
        <f t="shared" si="12"/>
        <v/>
      </c>
      <c r="J425" s="27"/>
      <c r="K425" s="28" t="str">
        <f t="shared" si="13"/>
        <v/>
      </c>
      <c r="L425" s="27"/>
      <c r="M425" s="27"/>
      <c r="N425" s="27"/>
      <c r="O425" s="27"/>
      <c r="P425" s="27" t="s">
        <v>2278</v>
      </c>
      <c r="Q425" s="27" t="s">
        <v>2279</v>
      </c>
    </row>
    <row r="426" spans="1:17" ht="15" customHeight="1" x14ac:dyDescent="0.3">
      <c r="A426" s="27" t="s">
        <v>2280</v>
      </c>
      <c r="B426" s="27" t="s">
        <v>2281</v>
      </c>
      <c r="C426" s="27" t="s">
        <v>2282</v>
      </c>
      <c r="D426" s="27">
        <v>2026</v>
      </c>
      <c r="E426" s="27" t="s">
        <v>48</v>
      </c>
      <c r="F426" s="27" t="s">
        <v>13</v>
      </c>
      <c r="G426" s="27"/>
      <c r="H426" s="27"/>
      <c r="I426" s="28" t="str">
        <f t="shared" si="12"/>
        <v/>
      </c>
      <c r="J426" s="27"/>
      <c r="K426" s="28" t="str">
        <f t="shared" si="13"/>
        <v/>
      </c>
      <c r="L426" s="27"/>
      <c r="M426" s="27"/>
      <c r="N426" s="27"/>
      <c r="O426" s="27"/>
      <c r="P426" s="27" t="s">
        <v>2283</v>
      </c>
      <c r="Q426" s="27" t="s">
        <v>2284</v>
      </c>
    </row>
    <row r="427" spans="1:17" ht="15" customHeight="1" x14ac:dyDescent="0.3">
      <c r="A427" s="27" t="s">
        <v>2285</v>
      </c>
      <c r="B427" s="27" t="s">
        <v>2286</v>
      </c>
      <c r="C427" s="27" t="s">
        <v>2287</v>
      </c>
      <c r="D427" s="27">
        <v>2023</v>
      </c>
      <c r="E427" s="27" t="s">
        <v>48</v>
      </c>
      <c r="F427" s="27" t="s">
        <v>15</v>
      </c>
      <c r="G427" s="27"/>
      <c r="H427" s="27"/>
      <c r="I427" s="28" t="str">
        <f t="shared" si="12"/>
        <v/>
      </c>
      <c r="J427" s="27"/>
      <c r="K427" s="28" t="str">
        <f t="shared" si="13"/>
        <v/>
      </c>
      <c r="L427" s="27"/>
      <c r="M427" s="27"/>
      <c r="N427" s="27"/>
      <c r="O427" s="27"/>
      <c r="P427" s="27" t="s">
        <v>2288</v>
      </c>
      <c r="Q427" s="27" t="s">
        <v>2289</v>
      </c>
    </row>
    <row r="428" spans="1:17" ht="15" customHeight="1" x14ac:dyDescent="0.3">
      <c r="A428" s="27" t="s">
        <v>2290</v>
      </c>
      <c r="B428" s="27" t="s">
        <v>2291</v>
      </c>
      <c r="C428" s="27" t="s">
        <v>2292</v>
      </c>
      <c r="D428" s="27">
        <v>2026</v>
      </c>
      <c r="E428" s="27" t="s">
        <v>48</v>
      </c>
      <c r="F428" s="27" t="s">
        <v>11</v>
      </c>
      <c r="G428" s="27"/>
      <c r="H428" s="27"/>
      <c r="I428" s="28" t="str">
        <f t="shared" si="12"/>
        <v/>
      </c>
      <c r="J428" s="27"/>
      <c r="K428" s="28" t="str">
        <f t="shared" si="13"/>
        <v/>
      </c>
      <c r="L428" s="27"/>
      <c r="M428" s="27"/>
      <c r="N428" s="27"/>
      <c r="O428" s="27"/>
      <c r="P428" s="27" t="s">
        <v>2293</v>
      </c>
      <c r="Q428" s="27" t="s">
        <v>2294</v>
      </c>
    </row>
    <row r="429" spans="1:17" ht="15" customHeight="1" x14ac:dyDescent="0.3">
      <c r="A429" s="27" t="s">
        <v>2295</v>
      </c>
      <c r="B429" s="27" t="s">
        <v>2296</v>
      </c>
      <c r="C429" s="27" t="s">
        <v>2297</v>
      </c>
      <c r="D429" s="27">
        <v>2026</v>
      </c>
      <c r="E429" s="27" t="s">
        <v>48</v>
      </c>
      <c r="F429" s="27" t="s">
        <v>13</v>
      </c>
      <c r="G429" s="27"/>
      <c r="H429" s="27"/>
      <c r="I429" s="28" t="str">
        <f t="shared" si="12"/>
        <v/>
      </c>
      <c r="J429" s="27"/>
      <c r="K429" s="28" t="str">
        <f t="shared" si="13"/>
        <v/>
      </c>
      <c r="L429" s="27"/>
      <c r="M429" s="27"/>
      <c r="N429" s="27"/>
      <c r="O429" s="27"/>
      <c r="P429" s="27" t="s">
        <v>2298</v>
      </c>
      <c r="Q429" s="27" t="s">
        <v>2299</v>
      </c>
    </row>
    <row r="430" spans="1:17" ht="15" customHeight="1" x14ac:dyDescent="0.3">
      <c r="A430" s="27" t="s">
        <v>2300</v>
      </c>
      <c r="B430" s="27" t="s">
        <v>2301</v>
      </c>
      <c r="C430" s="27" t="s">
        <v>2302</v>
      </c>
      <c r="D430" s="27">
        <v>2022</v>
      </c>
      <c r="E430" s="27" t="s">
        <v>48</v>
      </c>
      <c r="F430" s="27" t="s">
        <v>15</v>
      </c>
      <c r="G430" s="27"/>
      <c r="H430" s="27"/>
      <c r="I430" s="28" t="str">
        <f t="shared" si="12"/>
        <v/>
      </c>
      <c r="J430" s="27"/>
      <c r="K430" s="28" t="str">
        <f t="shared" si="13"/>
        <v/>
      </c>
      <c r="L430" s="27"/>
      <c r="M430" s="27"/>
      <c r="N430" s="27"/>
      <c r="O430" s="27"/>
      <c r="P430" s="27" t="s">
        <v>2303</v>
      </c>
      <c r="Q430" s="27" t="s">
        <v>2304</v>
      </c>
    </row>
    <row r="431" spans="1:17" ht="15" customHeight="1" x14ac:dyDescent="0.3">
      <c r="A431" s="27" t="s">
        <v>2305</v>
      </c>
      <c r="B431" s="27" t="s">
        <v>2306</v>
      </c>
      <c r="C431" s="27" t="s">
        <v>2307</v>
      </c>
      <c r="D431" s="27">
        <v>2024</v>
      </c>
      <c r="E431" s="27" t="s">
        <v>48</v>
      </c>
      <c r="F431" s="27" t="s">
        <v>11</v>
      </c>
      <c r="G431" s="27"/>
      <c r="H431" s="27"/>
      <c r="I431" s="28" t="str">
        <f t="shared" si="12"/>
        <v/>
      </c>
      <c r="J431" s="27"/>
      <c r="K431" s="28" t="str">
        <f t="shared" si="13"/>
        <v/>
      </c>
      <c r="L431" s="27"/>
      <c r="M431" s="27"/>
      <c r="N431" s="27"/>
      <c r="O431" s="27"/>
      <c r="P431" s="27" t="s">
        <v>2308</v>
      </c>
      <c r="Q431" s="27" t="s">
        <v>2309</v>
      </c>
    </row>
    <row r="432" spans="1:17" ht="15" customHeight="1" x14ac:dyDescent="0.3">
      <c r="A432" s="27" t="s">
        <v>2310</v>
      </c>
      <c r="B432" s="27" t="s">
        <v>2311</v>
      </c>
      <c r="C432" s="27" t="s">
        <v>2312</v>
      </c>
      <c r="D432" s="27">
        <v>2018</v>
      </c>
      <c r="E432" s="27" t="s">
        <v>48</v>
      </c>
      <c r="F432" s="27" t="s">
        <v>13</v>
      </c>
      <c r="G432" s="27"/>
      <c r="H432" s="27"/>
      <c r="I432" s="28" t="str">
        <f t="shared" si="12"/>
        <v/>
      </c>
      <c r="J432" s="27"/>
      <c r="K432" s="28" t="str">
        <f t="shared" si="13"/>
        <v/>
      </c>
      <c r="L432" s="27"/>
      <c r="M432" s="27"/>
      <c r="N432" s="27"/>
      <c r="O432" s="27"/>
      <c r="P432" s="27" t="s">
        <v>2313</v>
      </c>
      <c r="Q432" s="27" t="s">
        <v>2314</v>
      </c>
    </row>
    <row r="433" spans="1:17" ht="15" customHeight="1" x14ac:dyDescent="0.3">
      <c r="A433" s="27" t="s">
        <v>2315</v>
      </c>
      <c r="B433" s="27" t="s">
        <v>2316</v>
      </c>
      <c r="C433" s="27" t="s">
        <v>2317</v>
      </c>
      <c r="D433" s="27">
        <v>2026</v>
      </c>
      <c r="E433" s="27" t="s">
        <v>48</v>
      </c>
      <c r="F433" s="27" t="s">
        <v>15</v>
      </c>
      <c r="G433" s="27"/>
      <c r="H433" s="27"/>
      <c r="I433" s="28" t="str">
        <f t="shared" si="12"/>
        <v/>
      </c>
      <c r="J433" s="27"/>
      <c r="K433" s="28" t="str">
        <f t="shared" si="13"/>
        <v/>
      </c>
      <c r="L433" s="27"/>
      <c r="M433" s="27"/>
      <c r="N433" s="27"/>
      <c r="O433" s="27"/>
      <c r="P433" s="27" t="s">
        <v>2318</v>
      </c>
      <c r="Q433" s="27" t="s">
        <v>2319</v>
      </c>
    </row>
    <row r="434" spans="1:17" ht="15" customHeight="1" x14ac:dyDescent="0.3">
      <c r="A434" s="27" t="s">
        <v>2320</v>
      </c>
      <c r="B434" s="27" t="s">
        <v>2321</v>
      </c>
      <c r="C434" s="27" t="s">
        <v>2322</v>
      </c>
      <c r="D434" s="27">
        <v>2023</v>
      </c>
      <c r="E434" s="27" t="s">
        <v>48</v>
      </c>
      <c r="F434" s="27" t="s">
        <v>11</v>
      </c>
      <c r="G434" s="27"/>
      <c r="H434" s="27"/>
      <c r="I434" s="28" t="str">
        <f t="shared" si="12"/>
        <v/>
      </c>
      <c r="J434" s="27"/>
      <c r="K434" s="28" t="str">
        <f t="shared" si="13"/>
        <v/>
      </c>
      <c r="L434" s="27"/>
      <c r="M434" s="27"/>
      <c r="N434" s="27"/>
      <c r="O434" s="27"/>
      <c r="P434" s="27" t="s">
        <v>2323</v>
      </c>
      <c r="Q434" s="27" t="s">
        <v>2324</v>
      </c>
    </row>
    <row r="435" spans="1:17" ht="15" customHeight="1" x14ac:dyDescent="0.3">
      <c r="A435" s="27" t="s">
        <v>2325</v>
      </c>
      <c r="B435" s="27" t="s">
        <v>2326</v>
      </c>
      <c r="C435" s="27" t="s">
        <v>2327</v>
      </c>
      <c r="D435" s="27">
        <v>2025</v>
      </c>
      <c r="E435" s="27" t="s">
        <v>48</v>
      </c>
      <c r="F435" s="27" t="s">
        <v>13</v>
      </c>
      <c r="G435" s="27"/>
      <c r="H435" s="27"/>
      <c r="I435" s="28" t="str">
        <f t="shared" si="12"/>
        <v/>
      </c>
      <c r="J435" s="27"/>
      <c r="K435" s="28" t="str">
        <f t="shared" si="13"/>
        <v/>
      </c>
      <c r="L435" s="27"/>
      <c r="M435" s="27"/>
      <c r="N435" s="27"/>
      <c r="O435" s="27"/>
      <c r="P435" s="27" t="s">
        <v>2328</v>
      </c>
      <c r="Q435" s="27" t="s">
        <v>2329</v>
      </c>
    </row>
    <row r="436" spans="1:17" ht="15" customHeight="1" x14ac:dyDescent="0.3">
      <c r="A436" s="27" t="s">
        <v>2330</v>
      </c>
      <c r="B436" s="27" t="s">
        <v>2331</v>
      </c>
      <c r="C436" s="27" t="s">
        <v>2332</v>
      </c>
      <c r="D436" s="27">
        <v>2021</v>
      </c>
      <c r="E436" s="27" t="s">
        <v>48</v>
      </c>
      <c r="F436" s="27" t="s">
        <v>15</v>
      </c>
      <c r="G436" s="27"/>
      <c r="H436" s="27"/>
      <c r="I436" s="28" t="str">
        <f t="shared" si="12"/>
        <v/>
      </c>
      <c r="J436" s="27"/>
      <c r="K436" s="28" t="str">
        <f t="shared" si="13"/>
        <v/>
      </c>
      <c r="L436" s="27"/>
      <c r="M436" s="27"/>
      <c r="N436" s="27"/>
      <c r="O436" s="27"/>
      <c r="P436" s="27" t="s">
        <v>2333</v>
      </c>
      <c r="Q436" s="27" t="s">
        <v>2334</v>
      </c>
    </row>
    <row r="437" spans="1:17" ht="15" customHeight="1" x14ac:dyDescent="0.3">
      <c r="A437" s="27" t="s">
        <v>2335</v>
      </c>
      <c r="B437" s="27" t="s">
        <v>2336</v>
      </c>
      <c r="C437" s="27" t="s">
        <v>2337</v>
      </c>
      <c r="D437" s="27">
        <v>2025</v>
      </c>
      <c r="E437" s="27" t="s">
        <v>48</v>
      </c>
      <c r="F437" s="27" t="s">
        <v>11</v>
      </c>
      <c r="G437" s="27"/>
      <c r="H437" s="27"/>
      <c r="I437" s="28" t="str">
        <f t="shared" si="12"/>
        <v/>
      </c>
      <c r="J437" s="27"/>
      <c r="K437" s="28" t="str">
        <f t="shared" si="13"/>
        <v/>
      </c>
      <c r="L437" s="27"/>
      <c r="M437" s="27"/>
      <c r="N437" s="27"/>
      <c r="O437" s="27"/>
      <c r="P437" s="27" t="s">
        <v>2338</v>
      </c>
      <c r="Q437" s="27" t="s">
        <v>2339</v>
      </c>
    </row>
    <row r="438" spans="1:17" ht="15" customHeight="1" x14ac:dyDescent="0.3">
      <c r="A438" s="27" t="s">
        <v>2340</v>
      </c>
      <c r="B438" s="27" t="s">
        <v>2341</v>
      </c>
      <c r="C438" s="27" t="s">
        <v>2342</v>
      </c>
      <c r="D438" s="27">
        <v>2023</v>
      </c>
      <c r="E438" s="27" t="s">
        <v>48</v>
      </c>
      <c r="F438" s="27" t="s">
        <v>13</v>
      </c>
      <c r="G438" s="27"/>
      <c r="H438" s="27"/>
      <c r="I438" s="28" t="str">
        <f t="shared" si="12"/>
        <v/>
      </c>
      <c r="J438" s="27"/>
      <c r="K438" s="28" t="str">
        <f t="shared" si="13"/>
        <v/>
      </c>
      <c r="L438" s="27"/>
      <c r="M438" s="27"/>
      <c r="N438" s="27"/>
      <c r="O438" s="27"/>
      <c r="P438" s="27" t="s">
        <v>2343</v>
      </c>
      <c r="Q438" s="27" t="s">
        <v>2344</v>
      </c>
    </row>
    <row r="439" spans="1:17" ht="15" customHeight="1" x14ac:dyDescent="0.3">
      <c r="A439" s="27" t="s">
        <v>2345</v>
      </c>
      <c r="B439" s="27" t="s">
        <v>2346</v>
      </c>
      <c r="C439" s="27" t="s">
        <v>2347</v>
      </c>
      <c r="D439" s="27">
        <v>2022</v>
      </c>
      <c r="E439" s="27" t="s">
        <v>48</v>
      </c>
      <c r="F439" s="27" t="s">
        <v>15</v>
      </c>
      <c r="G439" s="27"/>
      <c r="H439" s="27"/>
      <c r="I439" s="28" t="str">
        <f t="shared" si="12"/>
        <v/>
      </c>
      <c r="J439" s="27"/>
      <c r="K439" s="28" t="str">
        <f t="shared" si="13"/>
        <v/>
      </c>
      <c r="L439" s="27"/>
      <c r="M439" s="27"/>
      <c r="N439" s="27"/>
      <c r="O439" s="27"/>
      <c r="P439" s="27" t="s">
        <v>2348</v>
      </c>
      <c r="Q439" s="27" t="s">
        <v>2349</v>
      </c>
    </row>
    <row r="440" spans="1:17" ht="15" customHeight="1" x14ac:dyDescent="0.3">
      <c r="A440" s="27" t="s">
        <v>2350</v>
      </c>
      <c r="B440" s="27" t="s">
        <v>2351</v>
      </c>
      <c r="C440" s="27" t="s">
        <v>2352</v>
      </c>
      <c r="D440" s="27">
        <v>2026</v>
      </c>
      <c r="E440" s="27" t="s">
        <v>136</v>
      </c>
      <c r="F440" s="27" t="s">
        <v>11</v>
      </c>
      <c r="G440" s="27"/>
      <c r="H440" s="27"/>
      <c r="I440" s="28" t="str">
        <f t="shared" si="12"/>
        <v/>
      </c>
      <c r="J440" s="27"/>
      <c r="K440" s="28" t="str">
        <f t="shared" si="13"/>
        <v/>
      </c>
      <c r="L440" s="27"/>
      <c r="M440" s="27"/>
      <c r="N440" s="27"/>
      <c r="O440" s="27"/>
      <c r="P440" s="27" t="s">
        <v>2353</v>
      </c>
      <c r="Q440" s="27" t="s">
        <v>2354</v>
      </c>
    </row>
    <row r="441" spans="1:17" ht="15" customHeight="1" x14ac:dyDescent="0.3">
      <c r="A441" s="27" t="s">
        <v>2355</v>
      </c>
      <c r="B441" s="27" t="s">
        <v>2356</v>
      </c>
      <c r="C441" s="27" t="s">
        <v>2357</v>
      </c>
      <c r="D441" s="27">
        <v>2025</v>
      </c>
      <c r="E441" s="27" t="s">
        <v>48</v>
      </c>
      <c r="F441" s="27" t="s">
        <v>13</v>
      </c>
      <c r="G441" s="27"/>
      <c r="H441" s="27"/>
      <c r="I441" s="28" t="str">
        <f t="shared" si="12"/>
        <v/>
      </c>
      <c r="J441" s="27"/>
      <c r="K441" s="28" t="str">
        <f t="shared" si="13"/>
        <v/>
      </c>
      <c r="L441" s="27"/>
      <c r="M441" s="27"/>
      <c r="N441" s="27"/>
      <c r="O441" s="27"/>
      <c r="P441" s="27" t="s">
        <v>2358</v>
      </c>
      <c r="Q441" s="27" t="s">
        <v>2359</v>
      </c>
    </row>
    <row r="442" spans="1:17" ht="15" customHeight="1" x14ac:dyDescent="0.3">
      <c r="A442" s="27" t="s">
        <v>2360</v>
      </c>
      <c r="B442" s="27" t="s">
        <v>2361</v>
      </c>
      <c r="C442" s="27" t="s">
        <v>2362</v>
      </c>
      <c r="D442" s="27">
        <v>2025</v>
      </c>
      <c r="E442" s="27" t="s">
        <v>48</v>
      </c>
      <c r="F442" s="27" t="s">
        <v>15</v>
      </c>
      <c r="G442" s="27"/>
      <c r="H442" s="27"/>
      <c r="I442" s="28" t="str">
        <f t="shared" si="12"/>
        <v/>
      </c>
      <c r="J442" s="27"/>
      <c r="K442" s="28" t="str">
        <f t="shared" si="13"/>
        <v/>
      </c>
      <c r="L442" s="27"/>
      <c r="M442" s="27"/>
      <c r="N442" s="27"/>
      <c r="O442" s="27"/>
      <c r="P442" s="27" t="s">
        <v>2363</v>
      </c>
      <c r="Q442" s="27" t="s">
        <v>2364</v>
      </c>
    </row>
    <row r="443" spans="1:17" ht="15" customHeight="1" x14ac:dyDescent="0.3">
      <c r="A443" s="27" t="s">
        <v>2365</v>
      </c>
      <c r="B443" s="27" t="s">
        <v>2366</v>
      </c>
      <c r="C443" s="27" t="s">
        <v>2367</v>
      </c>
      <c r="D443" s="27">
        <v>2026</v>
      </c>
      <c r="E443" s="27" t="s">
        <v>48</v>
      </c>
      <c r="F443" s="27" t="s">
        <v>11</v>
      </c>
      <c r="G443" s="27"/>
      <c r="H443" s="27"/>
      <c r="I443" s="28" t="str">
        <f t="shared" si="12"/>
        <v/>
      </c>
      <c r="J443" s="27"/>
      <c r="K443" s="28" t="str">
        <f t="shared" si="13"/>
        <v/>
      </c>
      <c r="L443" s="27"/>
      <c r="M443" s="27"/>
      <c r="N443" s="27"/>
      <c r="O443" s="27"/>
      <c r="P443" s="27" t="s">
        <v>2368</v>
      </c>
      <c r="Q443" s="27" t="s">
        <v>2369</v>
      </c>
    </row>
    <row r="444" spans="1:17" ht="15" customHeight="1" x14ac:dyDescent="0.3">
      <c r="A444" s="27" t="s">
        <v>2370</v>
      </c>
      <c r="B444" s="27" t="s">
        <v>2371</v>
      </c>
      <c r="C444" s="27" t="s">
        <v>2372</v>
      </c>
      <c r="D444" s="27">
        <v>2024</v>
      </c>
      <c r="E444" s="27" t="s">
        <v>48</v>
      </c>
      <c r="F444" s="27" t="s">
        <v>13</v>
      </c>
      <c r="G444" s="27"/>
      <c r="H444" s="27"/>
      <c r="I444" s="28" t="str">
        <f t="shared" si="12"/>
        <v/>
      </c>
      <c r="J444" s="27"/>
      <c r="K444" s="28" t="str">
        <f t="shared" si="13"/>
        <v/>
      </c>
      <c r="L444" s="27"/>
      <c r="M444" s="27"/>
      <c r="N444" s="27"/>
      <c r="O444" s="27"/>
      <c r="P444" s="27" t="s">
        <v>2373</v>
      </c>
      <c r="Q444" s="27" t="s">
        <v>2374</v>
      </c>
    </row>
    <row r="445" spans="1:17" ht="15" customHeight="1" x14ac:dyDescent="0.3">
      <c r="A445" s="27" t="s">
        <v>2375</v>
      </c>
      <c r="B445" s="27" t="s">
        <v>2376</v>
      </c>
      <c r="C445" s="27" t="s">
        <v>2377</v>
      </c>
      <c r="D445" s="27">
        <v>2025</v>
      </c>
      <c r="E445" s="27" t="s">
        <v>48</v>
      </c>
      <c r="F445" s="27" t="s">
        <v>15</v>
      </c>
      <c r="G445" s="27"/>
      <c r="H445" s="27"/>
      <c r="I445" s="28" t="str">
        <f t="shared" si="12"/>
        <v/>
      </c>
      <c r="J445" s="27"/>
      <c r="K445" s="28" t="str">
        <f t="shared" si="13"/>
        <v/>
      </c>
      <c r="L445" s="27"/>
      <c r="M445" s="27"/>
      <c r="N445" s="27"/>
      <c r="O445" s="27"/>
      <c r="P445" s="27" t="s">
        <v>2378</v>
      </c>
      <c r="Q445" s="27" t="s">
        <v>2379</v>
      </c>
    </row>
    <row r="446" spans="1:17" ht="15" customHeight="1" x14ac:dyDescent="0.3">
      <c r="A446" s="27" t="s">
        <v>2380</v>
      </c>
      <c r="B446" s="27" t="s">
        <v>2381</v>
      </c>
      <c r="C446" s="27" t="s">
        <v>2382</v>
      </c>
      <c r="D446" s="27">
        <v>2024</v>
      </c>
      <c r="E446" s="27" t="s">
        <v>48</v>
      </c>
      <c r="F446" s="27" t="s">
        <v>11</v>
      </c>
      <c r="G446" s="27"/>
      <c r="H446" s="27"/>
      <c r="I446" s="28" t="str">
        <f t="shared" si="12"/>
        <v/>
      </c>
      <c r="J446" s="27"/>
      <c r="K446" s="28" t="str">
        <f t="shared" si="13"/>
        <v/>
      </c>
      <c r="L446" s="27"/>
      <c r="M446" s="27"/>
      <c r="N446" s="27"/>
      <c r="O446" s="27"/>
      <c r="P446" s="27" t="s">
        <v>2383</v>
      </c>
      <c r="Q446" s="27" t="s">
        <v>2384</v>
      </c>
    </row>
    <row r="447" spans="1:17" ht="15" customHeight="1" x14ac:dyDescent="0.3">
      <c r="A447" s="27" t="s">
        <v>2385</v>
      </c>
      <c r="B447" s="27" t="s">
        <v>2386</v>
      </c>
      <c r="C447" s="27" t="s">
        <v>2387</v>
      </c>
      <c r="D447" s="27">
        <v>2025</v>
      </c>
      <c r="E447" s="27" t="s">
        <v>136</v>
      </c>
      <c r="F447" s="27" t="s">
        <v>13</v>
      </c>
      <c r="G447" s="27"/>
      <c r="H447" s="27"/>
      <c r="I447" s="28" t="str">
        <f t="shared" si="12"/>
        <v/>
      </c>
      <c r="J447" s="27"/>
      <c r="K447" s="28" t="str">
        <f t="shared" si="13"/>
        <v/>
      </c>
      <c r="L447" s="27"/>
      <c r="M447" s="27"/>
      <c r="N447" s="27"/>
      <c r="O447" s="27"/>
      <c r="P447" s="27" t="s">
        <v>2388</v>
      </c>
      <c r="Q447" s="27" t="s">
        <v>2389</v>
      </c>
    </row>
    <row r="448" spans="1:17" ht="15" customHeight="1" x14ac:dyDescent="0.3">
      <c r="A448" s="27" t="s">
        <v>2390</v>
      </c>
      <c r="B448" s="27" t="s">
        <v>2391</v>
      </c>
      <c r="C448" s="27" t="s">
        <v>2392</v>
      </c>
      <c r="D448" s="27">
        <v>2025</v>
      </c>
      <c r="E448" s="27" t="s">
        <v>48</v>
      </c>
      <c r="F448" s="27" t="s">
        <v>15</v>
      </c>
      <c r="G448" s="27"/>
      <c r="H448" s="27"/>
      <c r="I448" s="28" t="str">
        <f t="shared" si="12"/>
        <v/>
      </c>
      <c r="J448" s="27"/>
      <c r="K448" s="28" t="str">
        <f t="shared" si="13"/>
        <v/>
      </c>
      <c r="L448" s="27"/>
      <c r="M448" s="27"/>
      <c r="N448" s="27"/>
      <c r="O448" s="27"/>
      <c r="P448" s="27" t="s">
        <v>2393</v>
      </c>
      <c r="Q448" s="27" t="s">
        <v>2394</v>
      </c>
    </row>
    <row r="449" spans="1:17" ht="15" customHeight="1" x14ac:dyDescent="0.3">
      <c r="A449" s="27" t="s">
        <v>2395</v>
      </c>
      <c r="B449" s="27" t="s">
        <v>2396</v>
      </c>
      <c r="C449" s="27" t="s">
        <v>2397</v>
      </c>
      <c r="D449" s="27">
        <v>2024</v>
      </c>
      <c r="E449" s="27" t="s">
        <v>48</v>
      </c>
      <c r="F449" s="27" t="s">
        <v>11</v>
      </c>
      <c r="G449" s="27"/>
      <c r="H449" s="27"/>
      <c r="I449" s="28" t="str">
        <f t="shared" si="12"/>
        <v/>
      </c>
      <c r="J449" s="27"/>
      <c r="K449" s="28" t="str">
        <f t="shared" si="13"/>
        <v/>
      </c>
      <c r="L449" s="27"/>
      <c r="M449" s="27"/>
      <c r="N449" s="27"/>
      <c r="O449" s="27"/>
      <c r="P449" s="27" t="s">
        <v>2398</v>
      </c>
      <c r="Q449" s="27" t="s">
        <v>2399</v>
      </c>
    </row>
    <row r="450" spans="1:17" ht="15" customHeight="1" x14ac:dyDescent="0.3">
      <c r="A450" s="27" t="s">
        <v>2400</v>
      </c>
      <c r="B450" s="27" t="s">
        <v>2401</v>
      </c>
      <c r="C450" s="27" t="s">
        <v>2402</v>
      </c>
      <c r="D450" s="27">
        <v>2026</v>
      </c>
      <c r="E450" s="27" t="s">
        <v>48</v>
      </c>
      <c r="F450" s="27" t="s">
        <v>13</v>
      </c>
      <c r="G450" s="27"/>
      <c r="H450" s="27"/>
      <c r="I450" s="28" t="str">
        <f t="shared" ref="I450:I513" si="14">IF(OR(G450="",H450=""),"",IF(G450=H450,"Yes","No"))</f>
        <v/>
      </c>
      <c r="J450" s="27"/>
      <c r="K450" s="28" t="str">
        <f t="shared" ref="K450:K513" si="15">IF(OR(E450="Snowballing",E450="Other sources"),"n/a",IF(AND(G450="",H450=""),"",IF(OR(G450="",H450=""),"Waiting",IF(G450=H450,G450,IF(AND(G450&lt;&gt;"Exclude",H450&lt;&gt;"Exclude"),"Maybe",IF(J450&lt;&gt;"",J450,"Pending"))))))</f>
        <v/>
      </c>
      <c r="L450" s="27"/>
      <c r="M450" s="27"/>
      <c r="N450" s="27"/>
      <c r="O450" s="27"/>
      <c r="P450" s="27" t="s">
        <v>2403</v>
      </c>
      <c r="Q450" s="27" t="s">
        <v>2404</v>
      </c>
    </row>
    <row r="451" spans="1:17" ht="15" customHeight="1" x14ac:dyDescent="0.3">
      <c r="A451" s="27" t="s">
        <v>2405</v>
      </c>
      <c r="B451" s="27" t="s">
        <v>2406</v>
      </c>
      <c r="C451" s="27" t="s">
        <v>2407</v>
      </c>
      <c r="D451" s="27">
        <v>2026</v>
      </c>
      <c r="E451" s="27" t="s">
        <v>48</v>
      </c>
      <c r="F451" s="27" t="s">
        <v>15</v>
      </c>
      <c r="G451" s="27"/>
      <c r="H451" s="27"/>
      <c r="I451" s="28" t="str">
        <f t="shared" si="14"/>
        <v/>
      </c>
      <c r="J451" s="27"/>
      <c r="K451" s="28" t="str">
        <f t="shared" si="15"/>
        <v/>
      </c>
      <c r="L451" s="27"/>
      <c r="M451" s="27"/>
      <c r="N451" s="27"/>
      <c r="O451" s="27"/>
      <c r="P451" s="27" t="s">
        <v>2408</v>
      </c>
      <c r="Q451" s="27" t="s">
        <v>2409</v>
      </c>
    </row>
    <row r="452" spans="1:17" ht="15" customHeight="1" x14ac:dyDescent="0.3">
      <c r="A452" s="27" t="s">
        <v>2410</v>
      </c>
      <c r="B452" s="27" t="s">
        <v>2411</v>
      </c>
      <c r="C452" s="27" t="s">
        <v>2412</v>
      </c>
      <c r="D452" s="27">
        <v>2019</v>
      </c>
      <c r="E452" s="27" t="s">
        <v>48</v>
      </c>
      <c r="F452" s="27" t="s">
        <v>11</v>
      </c>
      <c r="G452" s="27"/>
      <c r="H452" s="27"/>
      <c r="I452" s="28" t="str">
        <f t="shared" si="14"/>
        <v/>
      </c>
      <c r="J452" s="27"/>
      <c r="K452" s="28" t="str">
        <f t="shared" si="15"/>
        <v/>
      </c>
      <c r="L452" s="27"/>
      <c r="M452" s="27"/>
      <c r="N452" s="27"/>
      <c r="O452" s="27"/>
      <c r="P452" s="27" t="s">
        <v>2413</v>
      </c>
      <c r="Q452" s="27" t="s">
        <v>2414</v>
      </c>
    </row>
    <row r="453" spans="1:17" ht="15" customHeight="1" x14ac:dyDescent="0.3">
      <c r="A453" s="27" t="s">
        <v>2415</v>
      </c>
      <c r="B453" s="27" t="s">
        <v>2416</v>
      </c>
      <c r="C453" s="27" t="s">
        <v>2417</v>
      </c>
      <c r="D453" s="27">
        <v>2025</v>
      </c>
      <c r="E453" s="27" t="s">
        <v>48</v>
      </c>
      <c r="F453" s="27" t="s">
        <v>13</v>
      </c>
      <c r="G453" s="27"/>
      <c r="H453" s="27"/>
      <c r="I453" s="28" t="str">
        <f t="shared" si="14"/>
        <v/>
      </c>
      <c r="J453" s="27"/>
      <c r="K453" s="28" t="str">
        <f t="shared" si="15"/>
        <v/>
      </c>
      <c r="L453" s="27"/>
      <c r="M453" s="27"/>
      <c r="N453" s="27"/>
      <c r="O453" s="27"/>
      <c r="P453" s="27" t="s">
        <v>2418</v>
      </c>
      <c r="Q453" s="27" t="s">
        <v>2419</v>
      </c>
    </row>
    <row r="454" spans="1:17" ht="15" customHeight="1" x14ac:dyDescent="0.3">
      <c r="A454" s="27" t="s">
        <v>2420</v>
      </c>
      <c r="B454" s="27" t="s">
        <v>2421</v>
      </c>
      <c r="C454" s="27" t="s">
        <v>2422</v>
      </c>
      <c r="D454" s="27">
        <v>2026</v>
      </c>
      <c r="E454" s="27" t="s">
        <v>48</v>
      </c>
      <c r="F454" s="27" t="s">
        <v>15</v>
      </c>
      <c r="G454" s="27"/>
      <c r="H454" s="27"/>
      <c r="I454" s="28" t="str">
        <f t="shared" si="14"/>
        <v/>
      </c>
      <c r="J454" s="27"/>
      <c r="K454" s="28" t="str">
        <f t="shared" si="15"/>
        <v/>
      </c>
      <c r="L454" s="27"/>
      <c r="M454" s="27"/>
      <c r="N454" s="27"/>
      <c r="O454" s="27"/>
      <c r="P454" s="27" t="s">
        <v>2423</v>
      </c>
      <c r="Q454" s="27" t="s">
        <v>2424</v>
      </c>
    </row>
    <row r="455" spans="1:17" ht="15" customHeight="1" x14ac:dyDescent="0.3">
      <c r="A455" s="27" t="s">
        <v>2425</v>
      </c>
      <c r="B455" s="27" t="s">
        <v>2426</v>
      </c>
      <c r="C455" s="27" t="s">
        <v>2427</v>
      </c>
      <c r="D455" s="27">
        <v>2024</v>
      </c>
      <c r="E455" s="27" t="s">
        <v>48</v>
      </c>
      <c r="F455" s="27" t="s">
        <v>11</v>
      </c>
      <c r="G455" s="27"/>
      <c r="H455" s="27"/>
      <c r="I455" s="28" t="str">
        <f t="shared" si="14"/>
        <v/>
      </c>
      <c r="J455" s="27"/>
      <c r="K455" s="28" t="str">
        <f t="shared" si="15"/>
        <v/>
      </c>
      <c r="L455" s="27"/>
      <c r="M455" s="27"/>
      <c r="N455" s="27"/>
      <c r="O455" s="27"/>
      <c r="P455" s="27" t="s">
        <v>238</v>
      </c>
      <c r="Q455" s="27" t="s">
        <v>2428</v>
      </c>
    </row>
    <row r="456" spans="1:17" ht="15" customHeight="1" x14ac:dyDescent="0.3">
      <c r="A456" s="27" t="s">
        <v>2429</v>
      </c>
      <c r="B456" s="27" t="s">
        <v>2430</v>
      </c>
      <c r="C456" s="27" t="s">
        <v>2431</v>
      </c>
      <c r="D456" s="27">
        <v>2023</v>
      </c>
      <c r="E456" s="27" t="s">
        <v>142</v>
      </c>
      <c r="F456" s="27" t="s">
        <v>13</v>
      </c>
      <c r="G456" s="27"/>
      <c r="H456" s="27"/>
      <c r="I456" s="28" t="str">
        <f t="shared" si="14"/>
        <v/>
      </c>
      <c r="J456" s="27"/>
      <c r="K456" s="28" t="str">
        <f t="shared" si="15"/>
        <v/>
      </c>
      <c r="L456" s="27"/>
      <c r="M456" s="27"/>
      <c r="N456" s="27"/>
      <c r="O456" s="27"/>
      <c r="P456" s="27" t="s">
        <v>2432</v>
      </c>
      <c r="Q456" s="27" t="s">
        <v>2433</v>
      </c>
    </row>
    <row r="457" spans="1:17" ht="15" customHeight="1" x14ac:dyDescent="0.3">
      <c r="A457" s="27" t="s">
        <v>2434</v>
      </c>
      <c r="B457" s="27" t="s">
        <v>2435</v>
      </c>
      <c r="C457" s="27" t="s">
        <v>2436</v>
      </c>
      <c r="D457" s="27">
        <v>2023</v>
      </c>
      <c r="E457" s="27" t="s">
        <v>48</v>
      </c>
      <c r="F457" s="27" t="s">
        <v>15</v>
      </c>
      <c r="G457" s="27"/>
      <c r="H457" s="27"/>
      <c r="I457" s="28" t="str">
        <f t="shared" si="14"/>
        <v/>
      </c>
      <c r="J457" s="27"/>
      <c r="K457" s="28" t="str">
        <f t="shared" si="15"/>
        <v/>
      </c>
      <c r="L457" s="27"/>
      <c r="M457" s="27"/>
      <c r="N457" s="27"/>
      <c r="O457" s="27"/>
      <c r="P457" s="27" t="s">
        <v>2437</v>
      </c>
      <c r="Q457" s="27" t="s">
        <v>2438</v>
      </c>
    </row>
    <row r="458" spans="1:17" ht="15" customHeight="1" x14ac:dyDescent="0.3">
      <c r="A458" s="27" t="s">
        <v>2439</v>
      </c>
      <c r="B458" s="27" t="s">
        <v>2440</v>
      </c>
      <c r="C458" s="27" t="s">
        <v>2441</v>
      </c>
      <c r="D458" s="27">
        <v>2024</v>
      </c>
      <c r="E458" s="27" t="s">
        <v>48</v>
      </c>
      <c r="F458" s="27" t="s">
        <v>11</v>
      </c>
      <c r="G458" s="27"/>
      <c r="H458" s="27"/>
      <c r="I458" s="28" t="str">
        <f t="shared" si="14"/>
        <v/>
      </c>
      <c r="J458" s="27"/>
      <c r="K458" s="28" t="str">
        <f t="shared" si="15"/>
        <v/>
      </c>
      <c r="L458" s="27"/>
      <c r="M458" s="27"/>
      <c r="N458" s="27"/>
      <c r="O458" s="27"/>
      <c r="P458" s="27" t="s">
        <v>2442</v>
      </c>
      <c r="Q458" s="27" t="s">
        <v>2443</v>
      </c>
    </row>
    <row r="459" spans="1:17" ht="15" customHeight="1" x14ac:dyDescent="0.3">
      <c r="A459" s="27" t="s">
        <v>2444</v>
      </c>
      <c r="B459" s="27" t="s">
        <v>2445</v>
      </c>
      <c r="C459" s="27" t="s">
        <v>2446</v>
      </c>
      <c r="D459" s="27">
        <v>2021</v>
      </c>
      <c r="E459" s="27" t="s">
        <v>48</v>
      </c>
      <c r="F459" s="27" t="s">
        <v>13</v>
      </c>
      <c r="G459" s="27"/>
      <c r="H459" s="27"/>
      <c r="I459" s="28" t="str">
        <f t="shared" si="14"/>
        <v/>
      </c>
      <c r="J459" s="27"/>
      <c r="K459" s="28" t="str">
        <f t="shared" si="15"/>
        <v/>
      </c>
      <c r="L459" s="27"/>
      <c r="M459" s="27"/>
      <c r="N459" s="27"/>
      <c r="O459" s="27"/>
      <c r="P459" s="27" t="s">
        <v>2447</v>
      </c>
      <c r="Q459" s="27" t="s">
        <v>2448</v>
      </c>
    </row>
    <row r="460" spans="1:17" ht="15" customHeight="1" x14ac:dyDescent="0.3">
      <c r="A460" s="27" t="s">
        <v>2449</v>
      </c>
      <c r="B460" s="27" t="s">
        <v>2450</v>
      </c>
      <c r="C460" s="27" t="s">
        <v>2451</v>
      </c>
      <c r="D460" s="27">
        <v>2020</v>
      </c>
      <c r="E460" s="27" t="s">
        <v>48</v>
      </c>
      <c r="F460" s="27" t="s">
        <v>15</v>
      </c>
      <c r="G460" s="27"/>
      <c r="H460" s="27"/>
      <c r="I460" s="28" t="str">
        <f t="shared" si="14"/>
        <v/>
      </c>
      <c r="J460" s="27"/>
      <c r="K460" s="28" t="str">
        <f t="shared" si="15"/>
        <v/>
      </c>
      <c r="L460" s="27"/>
      <c r="M460" s="27"/>
      <c r="N460" s="27"/>
      <c r="O460" s="27"/>
      <c r="P460" s="27" t="s">
        <v>2452</v>
      </c>
      <c r="Q460" s="27" t="s">
        <v>2453</v>
      </c>
    </row>
    <row r="461" spans="1:17" ht="15" customHeight="1" x14ac:dyDescent="0.3">
      <c r="A461" s="27" t="s">
        <v>2454</v>
      </c>
      <c r="B461" s="27" t="s">
        <v>2455</v>
      </c>
      <c r="C461" s="27" t="s">
        <v>2456</v>
      </c>
      <c r="D461" s="27">
        <v>2017</v>
      </c>
      <c r="E461" s="27" t="s">
        <v>48</v>
      </c>
      <c r="F461" s="27" t="s">
        <v>11</v>
      </c>
      <c r="G461" s="27"/>
      <c r="H461" s="27"/>
      <c r="I461" s="28" t="str">
        <f t="shared" si="14"/>
        <v/>
      </c>
      <c r="J461" s="27"/>
      <c r="K461" s="28" t="str">
        <f t="shared" si="15"/>
        <v/>
      </c>
      <c r="L461" s="27"/>
      <c r="M461" s="27"/>
      <c r="N461" s="27"/>
      <c r="O461" s="27"/>
      <c r="P461" s="27" t="s">
        <v>2457</v>
      </c>
      <c r="Q461" s="27" t="s">
        <v>2458</v>
      </c>
    </row>
    <row r="462" spans="1:17" ht="15" customHeight="1" x14ac:dyDescent="0.3">
      <c r="A462" s="27" t="s">
        <v>2459</v>
      </c>
      <c r="B462" s="27" t="s">
        <v>2460</v>
      </c>
      <c r="C462" s="27" t="s">
        <v>2461</v>
      </c>
      <c r="D462" s="27">
        <v>2023</v>
      </c>
      <c r="E462" s="27" t="s">
        <v>48</v>
      </c>
      <c r="F462" s="27" t="s">
        <v>13</v>
      </c>
      <c r="G462" s="27"/>
      <c r="H462" s="27"/>
      <c r="I462" s="28" t="str">
        <f t="shared" si="14"/>
        <v/>
      </c>
      <c r="J462" s="27"/>
      <c r="K462" s="28" t="str">
        <f t="shared" si="15"/>
        <v/>
      </c>
      <c r="L462" s="27"/>
      <c r="M462" s="27"/>
      <c r="N462" s="27"/>
      <c r="O462" s="27"/>
      <c r="P462" s="27" t="s">
        <v>2462</v>
      </c>
      <c r="Q462" s="27" t="s">
        <v>2463</v>
      </c>
    </row>
    <row r="463" spans="1:17" ht="15" customHeight="1" x14ac:dyDescent="0.3">
      <c r="A463" s="27" t="s">
        <v>2464</v>
      </c>
      <c r="B463" s="27" t="s">
        <v>2465</v>
      </c>
      <c r="C463" s="27" t="s">
        <v>2466</v>
      </c>
      <c r="D463" s="27">
        <v>2021</v>
      </c>
      <c r="E463" s="27" t="s">
        <v>48</v>
      </c>
      <c r="F463" s="27" t="s">
        <v>15</v>
      </c>
      <c r="G463" s="27"/>
      <c r="H463" s="27"/>
      <c r="I463" s="28" t="str">
        <f t="shared" si="14"/>
        <v/>
      </c>
      <c r="J463" s="27"/>
      <c r="K463" s="28" t="str">
        <f t="shared" si="15"/>
        <v/>
      </c>
      <c r="L463" s="27"/>
      <c r="M463" s="27"/>
      <c r="N463" s="27"/>
      <c r="O463" s="27"/>
      <c r="P463" s="27" t="s">
        <v>2467</v>
      </c>
      <c r="Q463" s="27" t="s">
        <v>2468</v>
      </c>
    </row>
    <row r="464" spans="1:17" ht="15" customHeight="1" x14ac:dyDescent="0.3">
      <c r="A464" s="27" t="s">
        <v>2469</v>
      </c>
      <c r="B464" s="27" t="s">
        <v>2470</v>
      </c>
      <c r="C464" s="27" t="s">
        <v>2471</v>
      </c>
      <c r="D464" s="27">
        <v>2023</v>
      </c>
      <c r="E464" s="27" t="s">
        <v>48</v>
      </c>
      <c r="F464" s="27" t="s">
        <v>11</v>
      </c>
      <c r="G464" s="27"/>
      <c r="H464" s="27"/>
      <c r="I464" s="28" t="str">
        <f t="shared" si="14"/>
        <v/>
      </c>
      <c r="J464" s="27"/>
      <c r="K464" s="28" t="str">
        <f t="shared" si="15"/>
        <v/>
      </c>
      <c r="L464" s="27"/>
      <c r="M464" s="27"/>
      <c r="N464" s="27"/>
      <c r="O464" s="27"/>
      <c r="P464" s="27" t="s">
        <v>2472</v>
      </c>
      <c r="Q464" s="27" t="s">
        <v>2473</v>
      </c>
    </row>
    <row r="465" spans="1:17" ht="15" customHeight="1" x14ac:dyDescent="0.3">
      <c r="A465" s="27" t="s">
        <v>2474</v>
      </c>
      <c r="B465" s="27" t="s">
        <v>2475</v>
      </c>
      <c r="C465" s="27" t="s">
        <v>2476</v>
      </c>
      <c r="D465" s="27">
        <v>2026</v>
      </c>
      <c r="E465" s="27" t="s">
        <v>142</v>
      </c>
      <c r="F465" s="27" t="s">
        <v>13</v>
      </c>
      <c r="G465" s="27"/>
      <c r="H465" s="27"/>
      <c r="I465" s="28" t="str">
        <f t="shared" si="14"/>
        <v/>
      </c>
      <c r="J465" s="27"/>
      <c r="K465" s="28" t="str">
        <f t="shared" si="15"/>
        <v/>
      </c>
      <c r="L465" s="27"/>
      <c r="M465" s="27"/>
      <c r="N465" s="27"/>
      <c r="O465" s="27"/>
      <c r="P465" s="27" t="s">
        <v>2477</v>
      </c>
      <c r="Q465" s="27" t="s">
        <v>2478</v>
      </c>
    </row>
    <row r="466" spans="1:17" ht="15" customHeight="1" x14ac:dyDescent="0.3">
      <c r="A466" s="27" t="s">
        <v>2479</v>
      </c>
      <c r="B466" s="27" t="s">
        <v>2480</v>
      </c>
      <c r="C466" s="27" t="s">
        <v>2481</v>
      </c>
      <c r="D466" s="27">
        <v>2025</v>
      </c>
      <c r="E466" s="27" t="s">
        <v>48</v>
      </c>
      <c r="F466" s="27" t="s">
        <v>15</v>
      </c>
      <c r="G466" s="27"/>
      <c r="H466" s="27"/>
      <c r="I466" s="28" t="str">
        <f t="shared" si="14"/>
        <v/>
      </c>
      <c r="J466" s="27"/>
      <c r="K466" s="28" t="str">
        <f t="shared" si="15"/>
        <v/>
      </c>
      <c r="L466" s="27"/>
      <c r="M466" s="27"/>
      <c r="N466" s="27"/>
      <c r="O466" s="27"/>
      <c r="P466" s="27" t="s">
        <v>2482</v>
      </c>
      <c r="Q466" s="27" t="s">
        <v>2483</v>
      </c>
    </row>
    <row r="467" spans="1:17" ht="15" customHeight="1" x14ac:dyDescent="0.3">
      <c r="A467" s="27" t="s">
        <v>2484</v>
      </c>
      <c r="B467" s="27" t="s">
        <v>2485</v>
      </c>
      <c r="C467" s="27" t="s">
        <v>2486</v>
      </c>
      <c r="D467" s="27">
        <v>2025</v>
      </c>
      <c r="E467" s="27" t="s">
        <v>48</v>
      </c>
      <c r="F467" s="27" t="s">
        <v>11</v>
      </c>
      <c r="G467" s="27"/>
      <c r="H467" s="27"/>
      <c r="I467" s="28" t="str">
        <f t="shared" si="14"/>
        <v/>
      </c>
      <c r="J467" s="27"/>
      <c r="K467" s="28" t="str">
        <f t="shared" si="15"/>
        <v/>
      </c>
      <c r="L467" s="27"/>
      <c r="M467" s="27"/>
      <c r="N467" s="27"/>
      <c r="O467" s="27"/>
      <c r="P467" s="27" t="s">
        <v>2487</v>
      </c>
      <c r="Q467" s="27" t="s">
        <v>2488</v>
      </c>
    </row>
    <row r="468" spans="1:17" ht="15" customHeight="1" x14ac:dyDescent="0.3">
      <c r="A468" s="27" t="s">
        <v>2489</v>
      </c>
      <c r="B468" s="27" t="s">
        <v>2490</v>
      </c>
      <c r="C468" s="27" t="s">
        <v>2491</v>
      </c>
      <c r="D468" s="27">
        <v>2025</v>
      </c>
      <c r="E468" s="27" t="s">
        <v>48</v>
      </c>
      <c r="F468" s="27" t="s">
        <v>13</v>
      </c>
      <c r="G468" s="27"/>
      <c r="H468" s="27"/>
      <c r="I468" s="28" t="str">
        <f t="shared" si="14"/>
        <v/>
      </c>
      <c r="J468" s="27"/>
      <c r="K468" s="28" t="str">
        <f t="shared" si="15"/>
        <v/>
      </c>
      <c r="L468" s="27"/>
      <c r="M468" s="27"/>
      <c r="N468" s="27"/>
      <c r="O468" s="27"/>
      <c r="P468" s="27" t="s">
        <v>2492</v>
      </c>
      <c r="Q468" s="27" t="s">
        <v>2493</v>
      </c>
    </row>
    <row r="469" spans="1:17" ht="15" customHeight="1" x14ac:dyDescent="0.3">
      <c r="A469" s="27" t="s">
        <v>2494</v>
      </c>
      <c r="B469" s="27" t="s">
        <v>2495</v>
      </c>
      <c r="C469" s="27" t="s">
        <v>2496</v>
      </c>
      <c r="D469" s="27">
        <v>2025</v>
      </c>
      <c r="E469" s="27" t="s">
        <v>48</v>
      </c>
      <c r="F469" s="27" t="s">
        <v>15</v>
      </c>
      <c r="G469" s="27"/>
      <c r="H469" s="27"/>
      <c r="I469" s="28" t="str">
        <f t="shared" si="14"/>
        <v/>
      </c>
      <c r="J469" s="27"/>
      <c r="K469" s="28" t="str">
        <f t="shared" si="15"/>
        <v/>
      </c>
      <c r="L469" s="27"/>
      <c r="M469" s="27"/>
      <c r="N469" s="27"/>
      <c r="O469" s="27"/>
      <c r="P469" s="27" t="s">
        <v>2497</v>
      </c>
      <c r="Q469" s="27" t="s">
        <v>2498</v>
      </c>
    </row>
    <row r="470" spans="1:17" ht="15" customHeight="1" x14ac:dyDescent="0.3">
      <c r="A470" s="27" t="s">
        <v>2499</v>
      </c>
      <c r="B470" s="27" t="s">
        <v>2500</v>
      </c>
      <c r="C470" s="27" t="s">
        <v>2501</v>
      </c>
      <c r="D470" s="27">
        <v>2025</v>
      </c>
      <c r="E470" s="27" t="s">
        <v>48</v>
      </c>
      <c r="F470" s="27" t="s">
        <v>11</v>
      </c>
      <c r="G470" s="27"/>
      <c r="H470" s="27"/>
      <c r="I470" s="28" t="str">
        <f t="shared" si="14"/>
        <v/>
      </c>
      <c r="J470" s="27"/>
      <c r="K470" s="28" t="str">
        <f t="shared" si="15"/>
        <v/>
      </c>
      <c r="L470" s="27"/>
      <c r="M470" s="27"/>
      <c r="N470" s="27"/>
      <c r="O470" s="27"/>
      <c r="P470" s="27" t="s">
        <v>2502</v>
      </c>
      <c r="Q470" s="27" t="s">
        <v>2503</v>
      </c>
    </row>
    <row r="471" spans="1:17" ht="15" customHeight="1" x14ac:dyDescent="0.3">
      <c r="A471" s="27" t="s">
        <v>2504</v>
      </c>
      <c r="B471" s="27" t="s">
        <v>2505</v>
      </c>
      <c r="C471" s="27" t="s">
        <v>2506</v>
      </c>
      <c r="D471" s="27">
        <v>2026</v>
      </c>
      <c r="E471" s="27" t="s">
        <v>48</v>
      </c>
      <c r="F471" s="27" t="s">
        <v>13</v>
      </c>
      <c r="G471" s="27"/>
      <c r="H471" s="27"/>
      <c r="I471" s="28" t="str">
        <f t="shared" si="14"/>
        <v/>
      </c>
      <c r="J471" s="27"/>
      <c r="K471" s="28" t="str">
        <f t="shared" si="15"/>
        <v/>
      </c>
      <c r="L471" s="27"/>
      <c r="M471" s="27"/>
      <c r="N471" s="27"/>
      <c r="O471" s="27"/>
      <c r="P471" s="27" t="s">
        <v>2507</v>
      </c>
      <c r="Q471" s="27" t="s">
        <v>2508</v>
      </c>
    </row>
    <row r="472" spans="1:17" ht="15" customHeight="1" x14ac:dyDescent="0.3">
      <c r="A472" s="27" t="s">
        <v>2509</v>
      </c>
      <c r="B472" s="27" t="s">
        <v>2510</v>
      </c>
      <c r="C472" s="27" t="s">
        <v>2511</v>
      </c>
      <c r="D472" s="27">
        <v>2025</v>
      </c>
      <c r="E472" s="27" t="s">
        <v>48</v>
      </c>
      <c r="F472" s="27" t="s">
        <v>15</v>
      </c>
      <c r="G472" s="27"/>
      <c r="H472" s="27"/>
      <c r="I472" s="28" t="str">
        <f t="shared" si="14"/>
        <v/>
      </c>
      <c r="J472" s="27"/>
      <c r="K472" s="28" t="str">
        <f t="shared" si="15"/>
        <v/>
      </c>
      <c r="L472" s="27"/>
      <c r="M472" s="27"/>
      <c r="N472" s="27"/>
      <c r="O472" s="27"/>
      <c r="P472" s="27" t="s">
        <v>2512</v>
      </c>
      <c r="Q472" s="27" t="s">
        <v>2513</v>
      </c>
    </row>
    <row r="473" spans="1:17" ht="15" customHeight="1" x14ac:dyDescent="0.3">
      <c r="A473" s="27" t="s">
        <v>2514</v>
      </c>
      <c r="B473" s="27" t="s">
        <v>2515</v>
      </c>
      <c r="C473" s="27" t="s">
        <v>2516</v>
      </c>
      <c r="D473" s="27">
        <v>2018</v>
      </c>
      <c r="E473" s="27" t="s">
        <v>48</v>
      </c>
      <c r="F473" s="27" t="s">
        <v>11</v>
      </c>
      <c r="G473" s="27"/>
      <c r="H473" s="27"/>
      <c r="I473" s="28" t="str">
        <f t="shared" si="14"/>
        <v/>
      </c>
      <c r="J473" s="27"/>
      <c r="K473" s="28" t="str">
        <f t="shared" si="15"/>
        <v/>
      </c>
      <c r="L473" s="27"/>
      <c r="M473" s="27"/>
      <c r="N473" s="27"/>
      <c r="O473" s="27"/>
      <c r="P473" s="27" t="s">
        <v>2517</v>
      </c>
      <c r="Q473" s="27" t="s">
        <v>2518</v>
      </c>
    </row>
    <row r="474" spans="1:17" ht="15" customHeight="1" x14ac:dyDescent="0.3">
      <c r="A474" s="27" t="s">
        <v>2519</v>
      </c>
      <c r="B474" s="27" t="s">
        <v>2520</v>
      </c>
      <c r="C474" s="27" t="s">
        <v>2521</v>
      </c>
      <c r="D474" s="27">
        <v>2017</v>
      </c>
      <c r="E474" s="27" t="s">
        <v>48</v>
      </c>
      <c r="F474" s="27" t="s">
        <v>13</v>
      </c>
      <c r="G474" s="27"/>
      <c r="H474" s="27"/>
      <c r="I474" s="28" t="str">
        <f t="shared" si="14"/>
        <v/>
      </c>
      <c r="J474" s="27"/>
      <c r="K474" s="28" t="str">
        <f t="shared" si="15"/>
        <v/>
      </c>
      <c r="L474" s="27"/>
      <c r="M474" s="27"/>
      <c r="N474" s="27"/>
      <c r="O474" s="27"/>
      <c r="P474" s="27" t="s">
        <v>2522</v>
      </c>
      <c r="Q474" s="27" t="s">
        <v>2523</v>
      </c>
    </row>
    <row r="475" spans="1:17" ht="15" customHeight="1" x14ac:dyDescent="0.3">
      <c r="A475" s="27" t="s">
        <v>2524</v>
      </c>
      <c r="B475" s="27" t="s">
        <v>2525</v>
      </c>
      <c r="C475" s="27" t="s">
        <v>2526</v>
      </c>
      <c r="D475" s="27">
        <v>2023</v>
      </c>
      <c r="E475" s="27" t="s">
        <v>48</v>
      </c>
      <c r="F475" s="27" t="s">
        <v>15</v>
      </c>
      <c r="G475" s="27"/>
      <c r="H475" s="27"/>
      <c r="I475" s="28" t="str">
        <f t="shared" si="14"/>
        <v/>
      </c>
      <c r="J475" s="27"/>
      <c r="K475" s="28" t="str">
        <f t="shared" si="15"/>
        <v/>
      </c>
      <c r="L475" s="27"/>
      <c r="M475" s="27"/>
      <c r="N475" s="27"/>
      <c r="O475" s="27"/>
      <c r="P475" s="27" t="s">
        <v>2527</v>
      </c>
      <c r="Q475" s="27" t="s">
        <v>2528</v>
      </c>
    </row>
    <row r="476" spans="1:17" ht="15" customHeight="1" x14ac:dyDescent="0.3">
      <c r="A476" s="27" t="s">
        <v>2529</v>
      </c>
      <c r="B476" s="27" t="s">
        <v>2530</v>
      </c>
      <c r="C476" s="27" t="s">
        <v>2531</v>
      </c>
      <c r="D476" s="27">
        <v>2025</v>
      </c>
      <c r="E476" s="27" t="s">
        <v>48</v>
      </c>
      <c r="F476" s="27" t="s">
        <v>11</v>
      </c>
      <c r="G476" s="27"/>
      <c r="H476" s="27"/>
      <c r="I476" s="28" t="str">
        <f t="shared" si="14"/>
        <v/>
      </c>
      <c r="J476" s="27"/>
      <c r="K476" s="28" t="str">
        <f t="shared" si="15"/>
        <v/>
      </c>
      <c r="L476" s="27"/>
      <c r="M476" s="27"/>
      <c r="N476" s="27"/>
      <c r="O476" s="27"/>
      <c r="P476" s="27" t="s">
        <v>2532</v>
      </c>
      <c r="Q476" s="27" t="s">
        <v>2533</v>
      </c>
    </row>
    <row r="477" spans="1:17" ht="15" customHeight="1" x14ac:dyDescent="0.3">
      <c r="A477" s="27" t="s">
        <v>2534</v>
      </c>
      <c r="B477" s="27" t="s">
        <v>2535</v>
      </c>
      <c r="C477" s="27" t="s">
        <v>2536</v>
      </c>
      <c r="D477" s="27">
        <v>2025</v>
      </c>
      <c r="E477" s="27" t="s">
        <v>48</v>
      </c>
      <c r="F477" s="27" t="s">
        <v>13</v>
      </c>
      <c r="G477" s="27"/>
      <c r="H477" s="27"/>
      <c r="I477" s="28" t="str">
        <f t="shared" si="14"/>
        <v/>
      </c>
      <c r="J477" s="27"/>
      <c r="K477" s="28" t="str">
        <f t="shared" si="15"/>
        <v/>
      </c>
      <c r="L477" s="27"/>
      <c r="M477" s="27"/>
      <c r="N477" s="27"/>
      <c r="O477" s="27"/>
      <c r="P477" s="27" t="s">
        <v>2537</v>
      </c>
      <c r="Q477" s="27" t="s">
        <v>2538</v>
      </c>
    </row>
    <row r="478" spans="1:17" ht="15" customHeight="1" x14ac:dyDescent="0.3">
      <c r="A478" s="27" t="s">
        <v>2539</v>
      </c>
      <c r="B478" s="27" t="s">
        <v>2540</v>
      </c>
      <c r="C478" s="27"/>
      <c r="D478" s="27">
        <v>2016</v>
      </c>
      <c r="E478" s="27" t="s">
        <v>136</v>
      </c>
      <c r="F478" s="27" t="s">
        <v>15</v>
      </c>
      <c r="G478" s="27"/>
      <c r="H478" s="27"/>
      <c r="I478" s="28" t="str">
        <f t="shared" si="14"/>
        <v/>
      </c>
      <c r="J478" s="27"/>
      <c r="K478" s="28" t="str">
        <f t="shared" si="15"/>
        <v/>
      </c>
      <c r="L478" s="27"/>
      <c r="M478" s="27"/>
      <c r="N478" s="27"/>
      <c r="O478" s="27"/>
      <c r="P478" s="27" t="s">
        <v>2541</v>
      </c>
      <c r="Q478" s="27" t="s">
        <v>2542</v>
      </c>
    </row>
    <row r="479" spans="1:17" ht="15" customHeight="1" x14ac:dyDescent="0.3">
      <c r="A479" s="27" t="s">
        <v>2543</v>
      </c>
      <c r="B479" s="27" t="s">
        <v>2544</v>
      </c>
      <c r="C479" s="27" t="s">
        <v>2545</v>
      </c>
      <c r="D479" s="27">
        <v>2023</v>
      </c>
      <c r="E479" s="27" t="s">
        <v>48</v>
      </c>
      <c r="F479" s="27" t="s">
        <v>11</v>
      </c>
      <c r="G479" s="27"/>
      <c r="H479" s="27"/>
      <c r="I479" s="28" t="str">
        <f t="shared" si="14"/>
        <v/>
      </c>
      <c r="J479" s="27"/>
      <c r="K479" s="28" t="str">
        <f t="shared" si="15"/>
        <v/>
      </c>
      <c r="L479" s="27"/>
      <c r="M479" s="27"/>
      <c r="N479" s="27"/>
      <c r="O479" s="27"/>
      <c r="P479" s="27" t="s">
        <v>2546</v>
      </c>
      <c r="Q479" s="27" t="s">
        <v>2547</v>
      </c>
    </row>
    <row r="480" spans="1:17" ht="15" customHeight="1" x14ac:dyDescent="0.3">
      <c r="A480" s="27" t="s">
        <v>2548</v>
      </c>
      <c r="B480" s="27" t="s">
        <v>2549</v>
      </c>
      <c r="C480" s="27" t="s">
        <v>2550</v>
      </c>
      <c r="D480" s="27">
        <v>2025</v>
      </c>
      <c r="E480" s="27" t="s">
        <v>48</v>
      </c>
      <c r="F480" s="27" t="s">
        <v>13</v>
      </c>
      <c r="G480" s="27"/>
      <c r="H480" s="27"/>
      <c r="I480" s="28" t="str">
        <f t="shared" si="14"/>
        <v/>
      </c>
      <c r="J480" s="27"/>
      <c r="K480" s="28" t="str">
        <f t="shared" si="15"/>
        <v/>
      </c>
      <c r="L480" s="27"/>
      <c r="M480" s="27"/>
      <c r="N480" s="27"/>
      <c r="O480" s="27"/>
      <c r="P480" s="27" t="s">
        <v>2551</v>
      </c>
      <c r="Q480" s="27" t="s">
        <v>2552</v>
      </c>
    </row>
    <row r="481" spans="1:17" ht="15" customHeight="1" x14ac:dyDescent="0.3">
      <c r="A481" s="27" t="s">
        <v>2553</v>
      </c>
      <c r="B481" s="27" t="s">
        <v>2554</v>
      </c>
      <c r="C481" s="27" t="s">
        <v>2555</v>
      </c>
      <c r="D481" s="27">
        <v>2024</v>
      </c>
      <c r="E481" s="27" t="s">
        <v>48</v>
      </c>
      <c r="F481" s="27" t="s">
        <v>15</v>
      </c>
      <c r="G481" s="27"/>
      <c r="H481" s="27"/>
      <c r="I481" s="28" t="str">
        <f t="shared" si="14"/>
        <v/>
      </c>
      <c r="J481" s="27"/>
      <c r="K481" s="28" t="str">
        <f t="shared" si="15"/>
        <v/>
      </c>
      <c r="L481" s="27"/>
      <c r="M481" s="27"/>
      <c r="N481" s="27"/>
      <c r="O481" s="27"/>
      <c r="P481" s="27" t="s">
        <v>238</v>
      </c>
      <c r="Q481" s="27" t="s">
        <v>2556</v>
      </c>
    </row>
    <row r="482" spans="1:17" ht="15" customHeight="1" x14ac:dyDescent="0.3">
      <c r="A482" s="27" t="s">
        <v>2557</v>
      </c>
      <c r="B482" s="27" t="s">
        <v>2558</v>
      </c>
      <c r="C482" s="27" t="s">
        <v>2559</v>
      </c>
      <c r="D482" s="27">
        <v>2023</v>
      </c>
      <c r="E482" s="27" t="s">
        <v>48</v>
      </c>
      <c r="F482" s="27" t="s">
        <v>11</v>
      </c>
      <c r="G482" s="27"/>
      <c r="H482" s="27"/>
      <c r="I482" s="28" t="str">
        <f t="shared" si="14"/>
        <v/>
      </c>
      <c r="J482" s="27"/>
      <c r="K482" s="28" t="str">
        <f t="shared" si="15"/>
        <v/>
      </c>
      <c r="L482" s="27"/>
      <c r="M482" s="27"/>
      <c r="N482" s="27"/>
      <c r="O482" s="27"/>
      <c r="P482" s="27" t="s">
        <v>2560</v>
      </c>
      <c r="Q482" s="27" t="s">
        <v>2561</v>
      </c>
    </row>
    <row r="483" spans="1:17" ht="15" customHeight="1" x14ac:dyDescent="0.3">
      <c r="A483" s="27" t="s">
        <v>2562</v>
      </c>
      <c r="B483" s="27" t="s">
        <v>2563</v>
      </c>
      <c r="C483" s="27" t="s">
        <v>2564</v>
      </c>
      <c r="D483" s="27">
        <v>2022</v>
      </c>
      <c r="E483" s="27" t="s">
        <v>48</v>
      </c>
      <c r="F483" s="27" t="s">
        <v>13</v>
      </c>
      <c r="G483" s="27"/>
      <c r="H483" s="27"/>
      <c r="I483" s="28" t="str">
        <f t="shared" si="14"/>
        <v/>
      </c>
      <c r="J483" s="27"/>
      <c r="K483" s="28" t="str">
        <f t="shared" si="15"/>
        <v/>
      </c>
      <c r="L483" s="27"/>
      <c r="M483" s="27"/>
      <c r="N483" s="27"/>
      <c r="O483" s="27"/>
      <c r="P483" s="27" t="s">
        <v>2565</v>
      </c>
      <c r="Q483" s="27" t="s">
        <v>2566</v>
      </c>
    </row>
    <row r="484" spans="1:17" ht="15" customHeight="1" x14ac:dyDescent="0.3">
      <c r="A484" s="27" t="s">
        <v>2567</v>
      </c>
      <c r="B484" s="27" t="s">
        <v>2568</v>
      </c>
      <c r="C484" s="27" t="s">
        <v>2569</v>
      </c>
      <c r="D484" s="27">
        <v>2025</v>
      </c>
      <c r="E484" s="27" t="s">
        <v>48</v>
      </c>
      <c r="F484" s="27" t="s">
        <v>15</v>
      </c>
      <c r="G484" s="27"/>
      <c r="H484" s="27"/>
      <c r="I484" s="28" t="str">
        <f t="shared" si="14"/>
        <v/>
      </c>
      <c r="J484" s="27"/>
      <c r="K484" s="28" t="str">
        <f t="shared" si="15"/>
        <v/>
      </c>
      <c r="L484" s="27"/>
      <c r="M484" s="27"/>
      <c r="N484" s="27"/>
      <c r="O484" s="27"/>
      <c r="P484" s="27" t="s">
        <v>2570</v>
      </c>
      <c r="Q484" s="27" t="s">
        <v>2571</v>
      </c>
    </row>
    <row r="485" spans="1:17" ht="15" customHeight="1" x14ac:dyDescent="0.3">
      <c r="A485" s="27" t="s">
        <v>2572</v>
      </c>
      <c r="B485" s="27" t="s">
        <v>2573</v>
      </c>
      <c r="C485" s="27" t="s">
        <v>2574</v>
      </c>
      <c r="D485" s="27">
        <v>2026</v>
      </c>
      <c r="E485" s="27" t="s">
        <v>48</v>
      </c>
      <c r="F485" s="27" t="s">
        <v>11</v>
      </c>
      <c r="G485" s="27"/>
      <c r="H485" s="27"/>
      <c r="I485" s="28" t="str">
        <f t="shared" si="14"/>
        <v/>
      </c>
      <c r="J485" s="27"/>
      <c r="K485" s="28" t="str">
        <f t="shared" si="15"/>
        <v/>
      </c>
      <c r="L485" s="27"/>
      <c r="M485" s="27"/>
      <c r="N485" s="27"/>
      <c r="O485" s="27"/>
      <c r="P485" s="27" t="s">
        <v>2575</v>
      </c>
      <c r="Q485" s="27" t="s">
        <v>2576</v>
      </c>
    </row>
    <row r="486" spans="1:17" ht="15" customHeight="1" x14ac:dyDescent="0.3">
      <c r="A486" s="27" t="s">
        <v>2577</v>
      </c>
      <c r="B486" s="27" t="s">
        <v>2578</v>
      </c>
      <c r="C486" s="27" t="s">
        <v>2579</v>
      </c>
      <c r="D486" s="27">
        <v>2024</v>
      </c>
      <c r="E486" s="27" t="s">
        <v>48</v>
      </c>
      <c r="F486" s="27" t="s">
        <v>13</v>
      </c>
      <c r="G486" s="27"/>
      <c r="H486" s="27"/>
      <c r="I486" s="28" t="str">
        <f t="shared" si="14"/>
        <v/>
      </c>
      <c r="J486" s="27"/>
      <c r="K486" s="28" t="str">
        <f t="shared" si="15"/>
        <v/>
      </c>
      <c r="L486" s="27"/>
      <c r="M486" s="27"/>
      <c r="N486" s="27"/>
      <c r="O486" s="27"/>
      <c r="P486" s="27" t="s">
        <v>2580</v>
      </c>
      <c r="Q486" s="27" t="s">
        <v>2581</v>
      </c>
    </row>
    <row r="487" spans="1:17" ht="15" customHeight="1" x14ac:dyDescent="0.3">
      <c r="A487" s="27" t="s">
        <v>2582</v>
      </c>
      <c r="B487" s="27" t="s">
        <v>2583</v>
      </c>
      <c r="C487" s="27" t="s">
        <v>2584</v>
      </c>
      <c r="D487" s="27">
        <v>2026</v>
      </c>
      <c r="E487" s="27" t="s">
        <v>48</v>
      </c>
      <c r="F487" s="27" t="s">
        <v>15</v>
      </c>
      <c r="G487" s="27"/>
      <c r="H487" s="27"/>
      <c r="I487" s="28" t="str">
        <f t="shared" si="14"/>
        <v/>
      </c>
      <c r="J487" s="27"/>
      <c r="K487" s="28" t="str">
        <f t="shared" si="15"/>
        <v/>
      </c>
      <c r="L487" s="27"/>
      <c r="M487" s="27"/>
      <c r="N487" s="27"/>
      <c r="O487" s="27"/>
      <c r="P487" s="27" t="s">
        <v>2585</v>
      </c>
      <c r="Q487" s="27" t="s">
        <v>2586</v>
      </c>
    </row>
    <row r="488" spans="1:17" ht="15" customHeight="1" x14ac:dyDescent="0.3">
      <c r="A488" s="27" t="s">
        <v>2587</v>
      </c>
      <c r="B488" s="27" t="s">
        <v>2588</v>
      </c>
      <c r="C488" s="27" t="s">
        <v>2589</v>
      </c>
      <c r="D488" s="27">
        <v>2024</v>
      </c>
      <c r="E488" s="27" t="s">
        <v>48</v>
      </c>
      <c r="F488" s="27" t="s">
        <v>11</v>
      </c>
      <c r="G488" s="27"/>
      <c r="H488" s="27"/>
      <c r="I488" s="28" t="str">
        <f t="shared" si="14"/>
        <v/>
      </c>
      <c r="J488" s="27"/>
      <c r="K488" s="28" t="str">
        <f t="shared" si="15"/>
        <v/>
      </c>
      <c r="L488" s="27"/>
      <c r="M488" s="27"/>
      <c r="N488" s="27"/>
      <c r="O488" s="27"/>
      <c r="P488" s="27" t="s">
        <v>2590</v>
      </c>
      <c r="Q488" s="27" t="s">
        <v>2591</v>
      </c>
    </row>
    <row r="489" spans="1:17" ht="15" customHeight="1" x14ac:dyDescent="0.3">
      <c r="A489" s="27" t="s">
        <v>2592</v>
      </c>
      <c r="B489" s="27" t="s">
        <v>2593</v>
      </c>
      <c r="C489" s="27" t="s">
        <v>2594</v>
      </c>
      <c r="D489" s="27">
        <v>2026</v>
      </c>
      <c r="E489" s="27" t="s">
        <v>48</v>
      </c>
      <c r="F489" s="27" t="s">
        <v>13</v>
      </c>
      <c r="G489" s="27"/>
      <c r="H489" s="27"/>
      <c r="I489" s="28" t="str">
        <f t="shared" si="14"/>
        <v/>
      </c>
      <c r="J489" s="27"/>
      <c r="K489" s="28" t="str">
        <f t="shared" si="15"/>
        <v/>
      </c>
      <c r="L489" s="27"/>
      <c r="M489" s="27"/>
      <c r="N489" s="27"/>
      <c r="O489" s="27"/>
      <c r="P489" s="27" t="s">
        <v>2595</v>
      </c>
      <c r="Q489" s="27" t="s">
        <v>2596</v>
      </c>
    </row>
    <row r="490" spans="1:17" ht="15" customHeight="1" x14ac:dyDescent="0.3">
      <c r="A490" s="27" t="s">
        <v>2597</v>
      </c>
      <c r="B490" s="27" t="s">
        <v>2598</v>
      </c>
      <c r="C490" s="27" t="s">
        <v>2599</v>
      </c>
      <c r="D490" s="27">
        <v>2025</v>
      </c>
      <c r="E490" s="27" t="s">
        <v>48</v>
      </c>
      <c r="F490" s="27" t="s">
        <v>15</v>
      </c>
      <c r="G490" s="27"/>
      <c r="H490" s="27"/>
      <c r="I490" s="28" t="str">
        <f t="shared" si="14"/>
        <v/>
      </c>
      <c r="J490" s="27"/>
      <c r="K490" s="28" t="str">
        <f t="shared" si="15"/>
        <v/>
      </c>
      <c r="L490" s="27"/>
      <c r="M490" s="27"/>
      <c r="N490" s="27"/>
      <c r="O490" s="27"/>
      <c r="P490" s="27" t="s">
        <v>238</v>
      </c>
      <c r="Q490" s="27" t="s">
        <v>2600</v>
      </c>
    </row>
    <row r="491" spans="1:17" ht="15" customHeight="1" x14ac:dyDescent="0.3">
      <c r="A491" s="27" t="s">
        <v>2601</v>
      </c>
      <c r="B491" s="27" t="s">
        <v>2602</v>
      </c>
      <c r="C491" s="27" t="s">
        <v>2603</v>
      </c>
      <c r="D491" s="27">
        <v>2025</v>
      </c>
      <c r="E491" s="27" t="s">
        <v>48</v>
      </c>
      <c r="F491" s="27" t="s">
        <v>11</v>
      </c>
      <c r="G491" s="27"/>
      <c r="H491" s="27"/>
      <c r="I491" s="28" t="str">
        <f t="shared" si="14"/>
        <v/>
      </c>
      <c r="J491" s="27"/>
      <c r="K491" s="28" t="str">
        <f t="shared" si="15"/>
        <v/>
      </c>
      <c r="L491" s="27"/>
      <c r="M491" s="27"/>
      <c r="N491" s="27"/>
      <c r="O491" s="27"/>
      <c r="P491" s="27" t="s">
        <v>2604</v>
      </c>
      <c r="Q491" s="27" t="s">
        <v>2605</v>
      </c>
    </row>
    <row r="492" spans="1:17" ht="15" customHeight="1" x14ac:dyDescent="0.3">
      <c r="A492" s="27" t="s">
        <v>2606</v>
      </c>
      <c r="B492" s="27" t="s">
        <v>2607</v>
      </c>
      <c r="C492" s="27" t="s">
        <v>2608</v>
      </c>
      <c r="D492" s="27">
        <v>2018</v>
      </c>
      <c r="E492" s="27" t="s">
        <v>48</v>
      </c>
      <c r="F492" s="27" t="s">
        <v>13</v>
      </c>
      <c r="G492" s="27"/>
      <c r="H492" s="27"/>
      <c r="I492" s="28" t="str">
        <f t="shared" si="14"/>
        <v/>
      </c>
      <c r="J492" s="27"/>
      <c r="K492" s="28" t="str">
        <f t="shared" si="15"/>
        <v/>
      </c>
      <c r="L492" s="27"/>
      <c r="M492" s="27"/>
      <c r="N492" s="27"/>
      <c r="O492" s="27"/>
      <c r="P492" s="27" t="s">
        <v>2609</v>
      </c>
      <c r="Q492" s="27" t="s">
        <v>2610</v>
      </c>
    </row>
    <row r="493" spans="1:17" ht="15" customHeight="1" x14ac:dyDescent="0.3">
      <c r="A493" s="27" t="s">
        <v>2611</v>
      </c>
      <c r="B493" s="27" t="s">
        <v>2612</v>
      </c>
      <c r="C493" s="27" t="s">
        <v>2613</v>
      </c>
      <c r="D493" s="27">
        <v>2025</v>
      </c>
      <c r="E493" s="27" t="s">
        <v>48</v>
      </c>
      <c r="F493" s="27" t="s">
        <v>15</v>
      </c>
      <c r="G493" s="27"/>
      <c r="H493" s="27"/>
      <c r="I493" s="28" t="str">
        <f t="shared" si="14"/>
        <v/>
      </c>
      <c r="J493" s="27"/>
      <c r="K493" s="28" t="str">
        <f t="shared" si="15"/>
        <v/>
      </c>
      <c r="L493" s="27"/>
      <c r="M493" s="27"/>
      <c r="N493" s="27"/>
      <c r="O493" s="27"/>
      <c r="P493" s="27" t="s">
        <v>2614</v>
      </c>
      <c r="Q493" s="27" t="s">
        <v>2615</v>
      </c>
    </row>
    <row r="494" spans="1:17" ht="15" customHeight="1" x14ac:dyDescent="0.3">
      <c r="A494" s="27" t="s">
        <v>2616</v>
      </c>
      <c r="B494" s="27" t="s">
        <v>2617</v>
      </c>
      <c r="C494" s="27" t="s">
        <v>2618</v>
      </c>
      <c r="D494" s="27">
        <v>2024</v>
      </c>
      <c r="E494" s="27" t="s">
        <v>48</v>
      </c>
      <c r="F494" s="27" t="s">
        <v>11</v>
      </c>
      <c r="G494" s="27"/>
      <c r="H494" s="27"/>
      <c r="I494" s="28" t="str">
        <f t="shared" si="14"/>
        <v/>
      </c>
      <c r="J494" s="27"/>
      <c r="K494" s="28" t="str">
        <f t="shared" si="15"/>
        <v/>
      </c>
      <c r="L494" s="27"/>
      <c r="M494" s="27"/>
      <c r="N494" s="27"/>
      <c r="O494" s="27"/>
      <c r="P494" s="27" t="s">
        <v>2619</v>
      </c>
      <c r="Q494" s="27" t="s">
        <v>2620</v>
      </c>
    </row>
    <row r="495" spans="1:17" ht="15" customHeight="1" x14ac:dyDescent="0.3">
      <c r="A495" s="27" t="s">
        <v>2621</v>
      </c>
      <c r="B495" s="27" t="s">
        <v>2622</v>
      </c>
      <c r="C495" s="27" t="s">
        <v>2623</v>
      </c>
      <c r="D495" s="27">
        <v>2023</v>
      </c>
      <c r="E495" s="27" t="s">
        <v>48</v>
      </c>
      <c r="F495" s="27" t="s">
        <v>13</v>
      </c>
      <c r="G495" s="27"/>
      <c r="H495" s="27"/>
      <c r="I495" s="28" t="str">
        <f t="shared" si="14"/>
        <v/>
      </c>
      <c r="J495" s="27"/>
      <c r="K495" s="28" t="str">
        <f t="shared" si="15"/>
        <v/>
      </c>
      <c r="L495" s="27"/>
      <c r="M495" s="27"/>
      <c r="N495" s="27"/>
      <c r="O495" s="27"/>
      <c r="P495" s="27" t="s">
        <v>238</v>
      </c>
      <c r="Q495" s="27" t="s">
        <v>2624</v>
      </c>
    </row>
    <row r="496" spans="1:17" ht="15" customHeight="1" x14ac:dyDescent="0.3">
      <c r="A496" s="27" t="s">
        <v>2625</v>
      </c>
      <c r="B496" s="27" t="s">
        <v>2626</v>
      </c>
      <c r="C496" s="27" t="s">
        <v>2627</v>
      </c>
      <c r="D496" s="27">
        <v>2023</v>
      </c>
      <c r="E496" s="27" t="s">
        <v>48</v>
      </c>
      <c r="F496" s="27" t="s">
        <v>15</v>
      </c>
      <c r="G496" s="27"/>
      <c r="H496" s="27"/>
      <c r="I496" s="28" t="str">
        <f t="shared" si="14"/>
        <v/>
      </c>
      <c r="J496" s="27"/>
      <c r="K496" s="28" t="str">
        <f t="shared" si="15"/>
        <v/>
      </c>
      <c r="L496" s="27"/>
      <c r="M496" s="27"/>
      <c r="N496" s="27"/>
      <c r="O496" s="27"/>
      <c r="P496" s="27" t="s">
        <v>2628</v>
      </c>
      <c r="Q496" s="27" t="s">
        <v>2629</v>
      </c>
    </row>
    <row r="497" spans="1:17" ht="15" customHeight="1" x14ac:dyDescent="0.3">
      <c r="A497" s="27" t="s">
        <v>2630</v>
      </c>
      <c r="B497" s="27" t="s">
        <v>2631</v>
      </c>
      <c r="C497" s="27" t="s">
        <v>2632</v>
      </c>
      <c r="D497" s="27">
        <v>2025</v>
      </c>
      <c r="E497" s="27" t="s">
        <v>48</v>
      </c>
      <c r="F497" s="27" t="s">
        <v>11</v>
      </c>
      <c r="G497" s="27"/>
      <c r="H497" s="27"/>
      <c r="I497" s="28" t="str">
        <f t="shared" si="14"/>
        <v/>
      </c>
      <c r="J497" s="27"/>
      <c r="K497" s="28" t="str">
        <f t="shared" si="15"/>
        <v/>
      </c>
      <c r="L497" s="27"/>
      <c r="M497" s="27"/>
      <c r="N497" s="27"/>
      <c r="O497" s="27"/>
      <c r="P497" s="27" t="s">
        <v>2633</v>
      </c>
      <c r="Q497" s="27" t="s">
        <v>2634</v>
      </c>
    </row>
    <row r="498" spans="1:17" ht="15" customHeight="1" x14ac:dyDescent="0.3">
      <c r="A498" s="27" t="s">
        <v>2635</v>
      </c>
      <c r="B498" s="27" t="s">
        <v>2636</v>
      </c>
      <c r="C498" s="27" t="s">
        <v>2637</v>
      </c>
      <c r="D498" s="27">
        <v>2018</v>
      </c>
      <c r="E498" s="27" t="s">
        <v>48</v>
      </c>
      <c r="F498" s="27" t="s">
        <v>13</v>
      </c>
      <c r="G498" s="27"/>
      <c r="H498" s="27"/>
      <c r="I498" s="28" t="str">
        <f t="shared" si="14"/>
        <v/>
      </c>
      <c r="J498" s="27"/>
      <c r="K498" s="28" t="str">
        <f t="shared" si="15"/>
        <v/>
      </c>
      <c r="L498" s="27"/>
      <c r="M498" s="27"/>
      <c r="N498" s="27"/>
      <c r="O498" s="27"/>
      <c r="P498" s="27" t="s">
        <v>2638</v>
      </c>
      <c r="Q498" s="27" t="s">
        <v>2639</v>
      </c>
    </row>
    <row r="499" spans="1:17" ht="15" customHeight="1" x14ac:dyDescent="0.3">
      <c r="A499" s="27" t="s">
        <v>2640</v>
      </c>
      <c r="B499" s="27" t="s">
        <v>2641</v>
      </c>
      <c r="C499" s="27" t="s">
        <v>2642</v>
      </c>
      <c r="D499" s="27">
        <v>2024</v>
      </c>
      <c r="E499" s="27" t="s">
        <v>48</v>
      </c>
      <c r="F499" s="27" t="s">
        <v>15</v>
      </c>
      <c r="G499" s="27"/>
      <c r="H499" s="27"/>
      <c r="I499" s="28" t="str">
        <f t="shared" si="14"/>
        <v/>
      </c>
      <c r="J499" s="27"/>
      <c r="K499" s="28" t="str">
        <f t="shared" si="15"/>
        <v/>
      </c>
      <c r="L499" s="27"/>
      <c r="M499" s="27"/>
      <c r="N499" s="27"/>
      <c r="O499" s="27"/>
      <c r="P499" s="27" t="s">
        <v>2643</v>
      </c>
      <c r="Q499" s="27" t="s">
        <v>2644</v>
      </c>
    </row>
    <row r="500" spans="1:17" ht="15" customHeight="1" x14ac:dyDescent="0.3">
      <c r="A500" s="27" t="s">
        <v>2645</v>
      </c>
      <c r="B500" s="27" t="s">
        <v>2646</v>
      </c>
      <c r="C500" s="27" t="s">
        <v>2647</v>
      </c>
      <c r="D500" s="27">
        <v>2025</v>
      </c>
      <c r="E500" s="27" t="s">
        <v>48</v>
      </c>
      <c r="F500" s="27" t="s">
        <v>11</v>
      </c>
      <c r="G500" s="27"/>
      <c r="H500" s="27"/>
      <c r="I500" s="28" t="str">
        <f t="shared" si="14"/>
        <v/>
      </c>
      <c r="J500" s="27"/>
      <c r="K500" s="28" t="str">
        <f t="shared" si="15"/>
        <v/>
      </c>
      <c r="L500" s="27"/>
      <c r="M500" s="27"/>
      <c r="N500" s="27"/>
      <c r="O500" s="27"/>
      <c r="P500" s="27" t="s">
        <v>2648</v>
      </c>
      <c r="Q500" s="27" t="s">
        <v>2649</v>
      </c>
    </row>
    <row r="501" spans="1:17" ht="15" customHeight="1" x14ac:dyDescent="0.3">
      <c r="A501" s="27" t="s">
        <v>2650</v>
      </c>
      <c r="B501" s="27" t="s">
        <v>2651</v>
      </c>
      <c r="C501" s="27" t="s">
        <v>2652</v>
      </c>
      <c r="D501" s="27">
        <v>2025</v>
      </c>
      <c r="E501" s="27" t="s">
        <v>142</v>
      </c>
      <c r="F501" s="27" t="s">
        <v>13</v>
      </c>
      <c r="G501" s="27"/>
      <c r="H501" s="27"/>
      <c r="I501" s="28" t="str">
        <f t="shared" si="14"/>
        <v/>
      </c>
      <c r="J501" s="27"/>
      <c r="K501" s="28" t="str">
        <f t="shared" si="15"/>
        <v/>
      </c>
      <c r="L501" s="27"/>
      <c r="M501" s="27"/>
      <c r="N501" s="27"/>
      <c r="O501" s="27"/>
      <c r="P501" s="27" t="s">
        <v>2653</v>
      </c>
      <c r="Q501" s="27" t="s">
        <v>2654</v>
      </c>
    </row>
    <row r="502" spans="1:17" ht="15" customHeight="1" x14ac:dyDescent="0.3">
      <c r="A502" s="27" t="s">
        <v>2655</v>
      </c>
      <c r="B502" s="27" t="s">
        <v>2656</v>
      </c>
      <c r="C502" s="27" t="s">
        <v>2657</v>
      </c>
      <c r="D502" s="27">
        <v>2026</v>
      </c>
      <c r="E502" s="27" t="s">
        <v>48</v>
      </c>
      <c r="F502" s="27" t="s">
        <v>15</v>
      </c>
      <c r="G502" s="27"/>
      <c r="H502" s="27"/>
      <c r="I502" s="28" t="str">
        <f t="shared" si="14"/>
        <v/>
      </c>
      <c r="J502" s="27"/>
      <c r="K502" s="28" t="str">
        <f t="shared" si="15"/>
        <v/>
      </c>
      <c r="L502" s="27"/>
      <c r="M502" s="27"/>
      <c r="N502" s="27"/>
      <c r="O502" s="27"/>
      <c r="P502" s="27" t="s">
        <v>2658</v>
      </c>
      <c r="Q502" s="27" t="s">
        <v>2659</v>
      </c>
    </row>
    <row r="503" spans="1:17" ht="15" customHeight="1" x14ac:dyDescent="0.3">
      <c r="A503" s="27" t="s">
        <v>2660</v>
      </c>
      <c r="B503" s="27" t="s">
        <v>2661</v>
      </c>
      <c r="C503" s="27" t="s">
        <v>640</v>
      </c>
      <c r="D503" s="27">
        <v>2025</v>
      </c>
      <c r="E503" s="27" t="s">
        <v>48</v>
      </c>
      <c r="F503" s="27" t="s">
        <v>11</v>
      </c>
      <c r="G503" s="27"/>
      <c r="H503" s="27"/>
      <c r="I503" s="28" t="str">
        <f t="shared" si="14"/>
        <v/>
      </c>
      <c r="J503" s="27"/>
      <c r="K503" s="28" t="str">
        <f t="shared" si="15"/>
        <v/>
      </c>
      <c r="L503" s="27"/>
      <c r="M503" s="27"/>
      <c r="N503" s="27"/>
      <c r="O503" s="27"/>
      <c r="P503" s="27" t="s">
        <v>2662</v>
      </c>
      <c r="Q503" s="27" t="s">
        <v>2663</v>
      </c>
    </row>
    <row r="504" spans="1:17" ht="15" customHeight="1" x14ac:dyDescent="0.3">
      <c r="A504" s="27" t="s">
        <v>2664</v>
      </c>
      <c r="B504" s="27" t="s">
        <v>2665</v>
      </c>
      <c r="C504" s="27" t="s">
        <v>2666</v>
      </c>
      <c r="D504" s="27">
        <v>2018</v>
      </c>
      <c r="E504" s="27" t="s">
        <v>48</v>
      </c>
      <c r="F504" s="27" t="s">
        <v>13</v>
      </c>
      <c r="G504" s="27"/>
      <c r="H504" s="27"/>
      <c r="I504" s="28" t="str">
        <f t="shared" si="14"/>
        <v/>
      </c>
      <c r="J504" s="27"/>
      <c r="K504" s="28" t="str">
        <f t="shared" si="15"/>
        <v/>
      </c>
      <c r="L504" s="27"/>
      <c r="M504" s="27"/>
      <c r="N504" s="27"/>
      <c r="O504" s="27"/>
      <c r="P504" s="27" t="s">
        <v>2667</v>
      </c>
      <c r="Q504" s="27" t="s">
        <v>2668</v>
      </c>
    </row>
    <row r="505" spans="1:17" ht="15" customHeight="1" x14ac:dyDescent="0.3">
      <c r="A505" s="27" t="s">
        <v>2669</v>
      </c>
      <c r="B505" s="27" t="s">
        <v>2670</v>
      </c>
      <c r="C505" s="27" t="s">
        <v>2671</v>
      </c>
      <c r="D505" s="27">
        <v>2020</v>
      </c>
      <c r="E505" s="27" t="s">
        <v>48</v>
      </c>
      <c r="F505" s="27" t="s">
        <v>15</v>
      </c>
      <c r="G505" s="27"/>
      <c r="H505" s="27"/>
      <c r="I505" s="28" t="str">
        <f t="shared" si="14"/>
        <v/>
      </c>
      <c r="J505" s="27"/>
      <c r="K505" s="28" t="str">
        <f t="shared" si="15"/>
        <v/>
      </c>
      <c r="L505" s="27"/>
      <c r="M505" s="27"/>
      <c r="N505" s="27"/>
      <c r="O505" s="27"/>
      <c r="P505" s="27" t="s">
        <v>2672</v>
      </c>
      <c r="Q505" s="27" t="s">
        <v>2673</v>
      </c>
    </row>
    <row r="506" spans="1:17" ht="15" customHeight="1" x14ac:dyDescent="0.3">
      <c r="A506" s="27" t="s">
        <v>2674</v>
      </c>
      <c r="B506" s="27" t="s">
        <v>2675</v>
      </c>
      <c r="C506" s="27" t="s">
        <v>2676</v>
      </c>
      <c r="D506" s="27">
        <v>2021</v>
      </c>
      <c r="E506" s="27" t="s">
        <v>48</v>
      </c>
      <c r="F506" s="27" t="s">
        <v>11</v>
      </c>
      <c r="G506" s="27"/>
      <c r="H506" s="27"/>
      <c r="I506" s="28" t="str">
        <f t="shared" si="14"/>
        <v/>
      </c>
      <c r="J506" s="27"/>
      <c r="K506" s="28" t="str">
        <f t="shared" si="15"/>
        <v/>
      </c>
      <c r="L506" s="27"/>
      <c r="M506" s="27"/>
      <c r="N506" s="27"/>
      <c r="O506" s="27"/>
      <c r="P506" s="27" t="s">
        <v>2677</v>
      </c>
      <c r="Q506" s="27" t="s">
        <v>2678</v>
      </c>
    </row>
    <row r="507" spans="1:17" ht="15" customHeight="1" x14ac:dyDescent="0.3">
      <c r="A507" s="27" t="s">
        <v>2679</v>
      </c>
      <c r="B507" s="27" t="s">
        <v>2680</v>
      </c>
      <c r="C507" s="27" t="s">
        <v>2681</v>
      </c>
      <c r="D507" s="27">
        <v>2025</v>
      </c>
      <c r="E507" s="27" t="s">
        <v>48</v>
      </c>
      <c r="F507" s="27" t="s">
        <v>13</v>
      </c>
      <c r="G507" s="27"/>
      <c r="H507" s="27"/>
      <c r="I507" s="28" t="str">
        <f t="shared" si="14"/>
        <v/>
      </c>
      <c r="J507" s="27"/>
      <c r="K507" s="28" t="str">
        <f t="shared" si="15"/>
        <v/>
      </c>
      <c r="L507" s="27"/>
      <c r="M507" s="27"/>
      <c r="N507" s="27"/>
      <c r="O507" s="27"/>
      <c r="P507" s="27" t="s">
        <v>2682</v>
      </c>
      <c r="Q507" s="27" t="s">
        <v>2683</v>
      </c>
    </row>
    <row r="508" spans="1:17" ht="15" customHeight="1" x14ac:dyDescent="0.3">
      <c r="A508" s="27" t="s">
        <v>2684</v>
      </c>
      <c r="B508" s="27" t="s">
        <v>2685</v>
      </c>
      <c r="C508" s="27" t="s">
        <v>2686</v>
      </c>
      <c r="D508" s="27">
        <v>2020</v>
      </c>
      <c r="E508" s="27" t="s">
        <v>48</v>
      </c>
      <c r="F508" s="27" t="s">
        <v>15</v>
      </c>
      <c r="G508" s="27"/>
      <c r="H508" s="27"/>
      <c r="I508" s="28" t="str">
        <f t="shared" si="14"/>
        <v/>
      </c>
      <c r="J508" s="27"/>
      <c r="K508" s="28" t="str">
        <f t="shared" si="15"/>
        <v/>
      </c>
      <c r="L508" s="27"/>
      <c r="M508" s="27"/>
      <c r="N508" s="27"/>
      <c r="O508" s="27"/>
      <c r="P508" s="27" t="s">
        <v>2687</v>
      </c>
      <c r="Q508" s="27" t="s">
        <v>2688</v>
      </c>
    </row>
    <row r="509" spans="1:17" ht="15" customHeight="1" x14ac:dyDescent="0.3">
      <c r="A509" s="27" t="s">
        <v>2689</v>
      </c>
      <c r="B509" s="27" t="s">
        <v>2690</v>
      </c>
      <c r="C509" s="27" t="s">
        <v>2691</v>
      </c>
      <c r="D509" s="27">
        <v>2025</v>
      </c>
      <c r="E509" s="27" t="s">
        <v>48</v>
      </c>
      <c r="F509" s="27" t="s">
        <v>11</v>
      </c>
      <c r="G509" s="27"/>
      <c r="H509" s="27"/>
      <c r="I509" s="28" t="str">
        <f t="shared" si="14"/>
        <v/>
      </c>
      <c r="J509" s="27"/>
      <c r="K509" s="28" t="str">
        <f t="shared" si="15"/>
        <v/>
      </c>
      <c r="L509" s="27"/>
      <c r="M509" s="27"/>
      <c r="N509" s="27"/>
      <c r="O509" s="27"/>
      <c r="P509" s="27" t="s">
        <v>2692</v>
      </c>
      <c r="Q509" s="27" t="s">
        <v>2693</v>
      </c>
    </row>
    <row r="510" spans="1:17" ht="15" customHeight="1" x14ac:dyDescent="0.3">
      <c r="A510" s="27" t="s">
        <v>2694</v>
      </c>
      <c r="B510" s="27" t="s">
        <v>2695</v>
      </c>
      <c r="C510" s="27" t="s">
        <v>2696</v>
      </c>
      <c r="D510" s="27">
        <v>2025</v>
      </c>
      <c r="E510" s="27" t="s">
        <v>48</v>
      </c>
      <c r="F510" s="27" t="s">
        <v>13</v>
      </c>
      <c r="G510" s="27"/>
      <c r="H510" s="27"/>
      <c r="I510" s="28" t="str">
        <f t="shared" si="14"/>
        <v/>
      </c>
      <c r="J510" s="27"/>
      <c r="K510" s="28" t="str">
        <f t="shared" si="15"/>
        <v/>
      </c>
      <c r="L510" s="27"/>
      <c r="M510" s="27"/>
      <c r="N510" s="27"/>
      <c r="O510" s="27"/>
      <c r="P510" s="27" t="s">
        <v>2697</v>
      </c>
      <c r="Q510" s="27" t="s">
        <v>2698</v>
      </c>
    </row>
    <row r="511" spans="1:17" ht="15" customHeight="1" x14ac:dyDescent="0.3">
      <c r="A511" s="27" t="s">
        <v>2699</v>
      </c>
      <c r="B511" s="27" t="s">
        <v>2700</v>
      </c>
      <c r="C511" s="27" t="s">
        <v>2701</v>
      </c>
      <c r="D511" s="27">
        <v>2022</v>
      </c>
      <c r="E511" s="27" t="s">
        <v>48</v>
      </c>
      <c r="F511" s="27" t="s">
        <v>15</v>
      </c>
      <c r="G511" s="27"/>
      <c r="H511" s="27"/>
      <c r="I511" s="28" t="str">
        <f t="shared" si="14"/>
        <v/>
      </c>
      <c r="J511" s="27"/>
      <c r="K511" s="28" t="str">
        <f t="shared" si="15"/>
        <v/>
      </c>
      <c r="L511" s="27"/>
      <c r="M511" s="27"/>
      <c r="N511" s="27"/>
      <c r="O511" s="27"/>
      <c r="P511" s="27" t="s">
        <v>2702</v>
      </c>
      <c r="Q511" s="27" t="s">
        <v>2703</v>
      </c>
    </row>
    <row r="512" spans="1:17" ht="15" customHeight="1" x14ac:dyDescent="0.3">
      <c r="A512" s="27" t="s">
        <v>2704</v>
      </c>
      <c r="B512" s="27" t="s">
        <v>2705</v>
      </c>
      <c r="C512" s="27" t="s">
        <v>2706</v>
      </c>
      <c r="D512" s="27">
        <v>2022</v>
      </c>
      <c r="E512" s="27" t="s">
        <v>48</v>
      </c>
      <c r="F512" s="27" t="s">
        <v>11</v>
      </c>
      <c r="G512" s="27"/>
      <c r="H512" s="27"/>
      <c r="I512" s="28" t="str">
        <f t="shared" si="14"/>
        <v/>
      </c>
      <c r="J512" s="27"/>
      <c r="K512" s="28" t="str">
        <f t="shared" si="15"/>
        <v/>
      </c>
      <c r="L512" s="27"/>
      <c r="M512" s="27"/>
      <c r="N512" s="27"/>
      <c r="O512" s="27"/>
      <c r="P512" s="27" t="s">
        <v>2707</v>
      </c>
      <c r="Q512" s="27" t="s">
        <v>2708</v>
      </c>
    </row>
    <row r="513" spans="1:17" ht="15" customHeight="1" x14ac:dyDescent="0.3">
      <c r="A513" s="27" t="s">
        <v>2709</v>
      </c>
      <c r="B513" s="27" t="s">
        <v>2710</v>
      </c>
      <c r="C513" s="27" t="s">
        <v>2711</v>
      </c>
      <c r="D513" s="27">
        <v>2024</v>
      </c>
      <c r="E513" s="27" t="s">
        <v>48</v>
      </c>
      <c r="F513" s="27" t="s">
        <v>13</v>
      </c>
      <c r="G513" s="27"/>
      <c r="H513" s="27"/>
      <c r="I513" s="28" t="str">
        <f t="shared" si="14"/>
        <v/>
      </c>
      <c r="J513" s="27"/>
      <c r="K513" s="28" t="str">
        <f t="shared" si="15"/>
        <v/>
      </c>
      <c r="L513" s="27"/>
      <c r="M513" s="27"/>
      <c r="N513" s="27"/>
      <c r="O513" s="27"/>
      <c r="P513" s="27" t="s">
        <v>2712</v>
      </c>
      <c r="Q513" s="27" t="s">
        <v>2713</v>
      </c>
    </row>
    <row r="514" spans="1:17" ht="15" customHeight="1" x14ac:dyDescent="0.3">
      <c r="A514" s="27" t="s">
        <v>2714</v>
      </c>
      <c r="B514" s="27" t="s">
        <v>2715</v>
      </c>
      <c r="C514" s="27" t="s">
        <v>2716</v>
      </c>
      <c r="D514" s="27">
        <v>2026</v>
      </c>
      <c r="E514" s="27" t="s">
        <v>48</v>
      </c>
      <c r="F514" s="27" t="s">
        <v>15</v>
      </c>
      <c r="G514" s="27"/>
      <c r="H514" s="27"/>
      <c r="I514" s="28" t="str">
        <f t="shared" ref="I514:I577" si="16">IF(OR(G514="",H514=""),"",IF(G514=H514,"Yes","No"))</f>
        <v/>
      </c>
      <c r="J514" s="27"/>
      <c r="K514" s="28" t="str">
        <f t="shared" ref="K514:K577" si="17">IF(OR(E514="Snowballing",E514="Other sources"),"n/a",IF(AND(G514="",H514=""),"",IF(OR(G514="",H514=""),"Waiting",IF(G514=H514,G514,IF(AND(G514&lt;&gt;"Exclude",H514&lt;&gt;"Exclude"),"Maybe",IF(J514&lt;&gt;"",J514,"Pending"))))))</f>
        <v/>
      </c>
      <c r="L514" s="27"/>
      <c r="M514" s="27"/>
      <c r="N514" s="27"/>
      <c r="O514" s="27"/>
      <c r="P514" s="27" t="s">
        <v>2717</v>
      </c>
      <c r="Q514" s="27" t="s">
        <v>2718</v>
      </c>
    </row>
    <row r="515" spans="1:17" ht="15" customHeight="1" x14ac:dyDescent="0.3">
      <c r="A515" s="27" t="s">
        <v>2719</v>
      </c>
      <c r="B515" s="27" t="s">
        <v>2720</v>
      </c>
      <c r="C515" s="27" t="s">
        <v>2721</v>
      </c>
      <c r="D515" s="27">
        <v>2016</v>
      </c>
      <c r="E515" s="27" t="s">
        <v>48</v>
      </c>
      <c r="F515" s="27" t="s">
        <v>11</v>
      </c>
      <c r="G515" s="27"/>
      <c r="H515" s="27"/>
      <c r="I515" s="28" t="str">
        <f t="shared" si="16"/>
        <v/>
      </c>
      <c r="J515" s="27"/>
      <c r="K515" s="28" t="str">
        <f t="shared" si="17"/>
        <v/>
      </c>
      <c r="L515" s="27"/>
      <c r="M515" s="27"/>
      <c r="N515" s="27"/>
      <c r="O515" s="27"/>
      <c r="P515" s="27" t="s">
        <v>2722</v>
      </c>
      <c r="Q515" s="27" t="s">
        <v>2723</v>
      </c>
    </row>
    <row r="516" spans="1:17" ht="15" customHeight="1" x14ac:dyDescent="0.3">
      <c r="A516" s="27" t="s">
        <v>2724</v>
      </c>
      <c r="B516" s="27" t="s">
        <v>2725</v>
      </c>
      <c r="C516" s="27" t="s">
        <v>2726</v>
      </c>
      <c r="D516" s="27">
        <v>2026</v>
      </c>
      <c r="E516" s="27" t="s">
        <v>48</v>
      </c>
      <c r="F516" s="27" t="s">
        <v>13</v>
      </c>
      <c r="G516" s="27"/>
      <c r="H516" s="27"/>
      <c r="I516" s="28" t="str">
        <f t="shared" si="16"/>
        <v/>
      </c>
      <c r="J516" s="27"/>
      <c r="K516" s="28" t="str">
        <f t="shared" si="17"/>
        <v/>
      </c>
      <c r="L516" s="27"/>
      <c r="M516" s="27"/>
      <c r="N516" s="27"/>
      <c r="O516" s="27"/>
      <c r="P516" s="27" t="s">
        <v>2727</v>
      </c>
      <c r="Q516" s="27" t="s">
        <v>2728</v>
      </c>
    </row>
    <row r="517" spans="1:17" ht="15" customHeight="1" x14ac:dyDescent="0.3">
      <c r="A517" s="27" t="s">
        <v>2729</v>
      </c>
      <c r="B517" s="27" t="s">
        <v>2730</v>
      </c>
      <c r="C517" s="27" t="s">
        <v>2731</v>
      </c>
      <c r="D517" s="27">
        <v>2026</v>
      </c>
      <c r="E517" s="27" t="s">
        <v>48</v>
      </c>
      <c r="F517" s="27" t="s">
        <v>15</v>
      </c>
      <c r="G517" s="27"/>
      <c r="H517" s="27"/>
      <c r="I517" s="28" t="str">
        <f t="shared" si="16"/>
        <v/>
      </c>
      <c r="J517" s="27"/>
      <c r="K517" s="28" t="str">
        <f t="shared" si="17"/>
        <v/>
      </c>
      <c r="L517" s="27"/>
      <c r="M517" s="27"/>
      <c r="N517" s="27"/>
      <c r="O517" s="27"/>
      <c r="P517" s="27" t="s">
        <v>2732</v>
      </c>
      <c r="Q517" s="27" t="s">
        <v>2733</v>
      </c>
    </row>
    <row r="518" spans="1:17" ht="15" customHeight="1" x14ac:dyDescent="0.3">
      <c r="A518" s="27" t="s">
        <v>2734</v>
      </c>
      <c r="B518" s="27" t="s">
        <v>2735</v>
      </c>
      <c r="C518" s="27" t="s">
        <v>2736</v>
      </c>
      <c r="D518" s="27">
        <v>2025</v>
      </c>
      <c r="E518" s="27" t="s">
        <v>48</v>
      </c>
      <c r="F518" s="27" t="s">
        <v>11</v>
      </c>
      <c r="G518" s="27"/>
      <c r="H518" s="27"/>
      <c r="I518" s="28" t="str">
        <f t="shared" si="16"/>
        <v/>
      </c>
      <c r="J518" s="27"/>
      <c r="K518" s="28" t="str">
        <f t="shared" si="17"/>
        <v/>
      </c>
      <c r="L518" s="27"/>
      <c r="M518" s="27"/>
      <c r="N518" s="27"/>
      <c r="O518" s="27"/>
      <c r="P518" s="27" t="s">
        <v>2737</v>
      </c>
      <c r="Q518" s="27" t="s">
        <v>2738</v>
      </c>
    </row>
    <row r="519" spans="1:17" ht="15" customHeight="1" x14ac:dyDescent="0.3">
      <c r="A519" s="27" t="s">
        <v>2739</v>
      </c>
      <c r="B519" s="27" t="s">
        <v>2740</v>
      </c>
      <c r="C519" s="27" t="s">
        <v>2741</v>
      </c>
      <c r="D519" s="27">
        <v>2023</v>
      </c>
      <c r="E519" s="27" t="s">
        <v>48</v>
      </c>
      <c r="F519" s="27" t="s">
        <v>13</v>
      </c>
      <c r="G519" s="27"/>
      <c r="H519" s="27"/>
      <c r="I519" s="28" t="str">
        <f t="shared" si="16"/>
        <v/>
      </c>
      <c r="J519" s="27"/>
      <c r="K519" s="28" t="str">
        <f t="shared" si="17"/>
        <v/>
      </c>
      <c r="L519" s="27"/>
      <c r="M519" s="27"/>
      <c r="N519" s="27"/>
      <c r="O519" s="27"/>
      <c r="P519" s="27" t="s">
        <v>2742</v>
      </c>
      <c r="Q519" s="27" t="s">
        <v>2743</v>
      </c>
    </row>
    <row r="520" spans="1:17" ht="15" customHeight="1" x14ac:dyDescent="0.3">
      <c r="A520" s="27" t="s">
        <v>2744</v>
      </c>
      <c r="B520" s="27" t="s">
        <v>2745</v>
      </c>
      <c r="C520" s="27" t="s">
        <v>2746</v>
      </c>
      <c r="D520" s="27">
        <v>2024</v>
      </c>
      <c r="E520" s="27" t="s">
        <v>48</v>
      </c>
      <c r="F520" s="27" t="s">
        <v>15</v>
      </c>
      <c r="G520" s="27"/>
      <c r="H520" s="27"/>
      <c r="I520" s="28" t="str">
        <f t="shared" si="16"/>
        <v/>
      </c>
      <c r="J520" s="27"/>
      <c r="K520" s="28" t="str">
        <f t="shared" si="17"/>
        <v/>
      </c>
      <c r="L520" s="27"/>
      <c r="M520" s="27"/>
      <c r="N520" s="27"/>
      <c r="O520" s="27"/>
      <c r="P520" s="27" t="s">
        <v>2747</v>
      </c>
      <c r="Q520" s="27" t="s">
        <v>2748</v>
      </c>
    </row>
    <row r="521" spans="1:17" ht="15" customHeight="1" x14ac:dyDescent="0.3">
      <c r="A521" s="27" t="s">
        <v>2749</v>
      </c>
      <c r="B521" s="27" t="s">
        <v>2750</v>
      </c>
      <c r="C521" s="27" t="s">
        <v>2751</v>
      </c>
      <c r="D521" s="27">
        <v>2023</v>
      </c>
      <c r="E521" s="27" t="s">
        <v>48</v>
      </c>
      <c r="F521" s="27" t="s">
        <v>11</v>
      </c>
      <c r="G521" s="27"/>
      <c r="H521" s="27"/>
      <c r="I521" s="28" t="str">
        <f t="shared" si="16"/>
        <v/>
      </c>
      <c r="J521" s="27"/>
      <c r="K521" s="28" t="str">
        <f t="shared" si="17"/>
        <v/>
      </c>
      <c r="L521" s="27"/>
      <c r="M521" s="27"/>
      <c r="N521" s="27"/>
      <c r="O521" s="27"/>
      <c r="P521" s="27" t="s">
        <v>2752</v>
      </c>
      <c r="Q521" s="27" t="s">
        <v>2753</v>
      </c>
    </row>
    <row r="522" spans="1:17" ht="15" customHeight="1" x14ac:dyDescent="0.3">
      <c r="A522" s="27" t="s">
        <v>2754</v>
      </c>
      <c r="B522" s="27" t="s">
        <v>2755</v>
      </c>
      <c r="C522" s="27" t="s">
        <v>2756</v>
      </c>
      <c r="D522" s="27">
        <v>2026</v>
      </c>
      <c r="E522" s="27" t="s">
        <v>48</v>
      </c>
      <c r="F522" s="27" t="s">
        <v>13</v>
      </c>
      <c r="G522" s="27"/>
      <c r="H522" s="27"/>
      <c r="I522" s="28" t="str">
        <f t="shared" si="16"/>
        <v/>
      </c>
      <c r="J522" s="27"/>
      <c r="K522" s="28" t="str">
        <f t="shared" si="17"/>
        <v/>
      </c>
      <c r="L522" s="27"/>
      <c r="M522" s="27"/>
      <c r="N522" s="27"/>
      <c r="O522" s="27"/>
      <c r="P522" s="27" t="s">
        <v>2757</v>
      </c>
      <c r="Q522" s="27" t="s">
        <v>2758</v>
      </c>
    </row>
    <row r="523" spans="1:17" ht="15" customHeight="1" x14ac:dyDescent="0.3">
      <c r="A523" s="27" t="s">
        <v>2759</v>
      </c>
      <c r="B523" s="27" t="s">
        <v>2760</v>
      </c>
      <c r="C523" s="27" t="s">
        <v>2761</v>
      </c>
      <c r="D523" s="27">
        <v>2025</v>
      </c>
      <c r="E523" s="27" t="s">
        <v>48</v>
      </c>
      <c r="F523" s="27" t="s">
        <v>15</v>
      </c>
      <c r="G523" s="27"/>
      <c r="H523" s="27"/>
      <c r="I523" s="28" t="str">
        <f t="shared" si="16"/>
        <v/>
      </c>
      <c r="J523" s="27"/>
      <c r="K523" s="28" t="str">
        <f t="shared" si="17"/>
        <v/>
      </c>
      <c r="L523" s="27"/>
      <c r="M523" s="27"/>
      <c r="N523" s="27"/>
      <c r="O523" s="27"/>
      <c r="P523" s="27" t="s">
        <v>2762</v>
      </c>
      <c r="Q523" s="27" t="s">
        <v>2763</v>
      </c>
    </row>
    <row r="524" spans="1:17" ht="15" customHeight="1" x14ac:dyDescent="0.3">
      <c r="A524" s="27" t="s">
        <v>2764</v>
      </c>
      <c r="B524" s="27" t="s">
        <v>2765</v>
      </c>
      <c r="C524" s="27" t="s">
        <v>2766</v>
      </c>
      <c r="D524" s="27">
        <v>2025</v>
      </c>
      <c r="E524" s="27" t="s">
        <v>48</v>
      </c>
      <c r="F524" s="27" t="s">
        <v>11</v>
      </c>
      <c r="G524" s="27"/>
      <c r="H524" s="27"/>
      <c r="I524" s="28" t="str">
        <f t="shared" si="16"/>
        <v/>
      </c>
      <c r="J524" s="27"/>
      <c r="K524" s="28" t="str">
        <f t="shared" si="17"/>
        <v/>
      </c>
      <c r="L524" s="27"/>
      <c r="M524" s="27"/>
      <c r="N524" s="27"/>
      <c r="O524" s="27"/>
      <c r="P524" s="27" t="s">
        <v>2767</v>
      </c>
      <c r="Q524" s="27" t="s">
        <v>2768</v>
      </c>
    </row>
    <row r="525" spans="1:17" ht="15" customHeight="1" x14ac:dyDescent="0.3">
      <c r="A525" s="27" t="s">
        <v>2769</v>
      </c>
      <c r="B525" s="27" t="s">
        <v>2770</v>
      </c>
      <c r="C525" s="27" t="s">
        <v>2771</v>
      </c>
      <c r="D525" s="27">
        <v>2019</v>
      </c>
      <c r="E525" s="27" t="s">
        <v>48</v>
      </c>
      <c r="F525" s="27" t="s">
        <v>13</v>
      </c>
      <c r="G525" s="27"/>
      <c r="H525" s="27"/>
      <c r="I525" s="28" t="str">
        <f t="shared" si="16"/>
        <v/>
      </c>
      <c r="J525" s="27"/>
      <c r="K525" s="28" t="str">
        <f t="shared" si="17"/>
        <v/>
      </c>
      <c r="L525" s="27"/>
      <c r="M525" s="27"/>
      <c r="N525" s="27"/>
      <c r="O525" s="27"/>
      <c r="P525" s="27" t="s">
        <v>2772</v>
      </c>
      <c r="Q525" s="27" t="s">
        <v>2773</v>
      </c>
    </row>
    <row r="526" spans="1:17" ht="15" customHeight="1" x14ac:dyDescent="0.3">
      <c r="A526" s="27" t="s">
        <v>2774</v>
      </c>
      <c r="B526" s="27" t="s">
        <v>2775</v>
      </c>
      <c r="C526" s="27" t="s">
        <v>2776</v>
      </c>
      <c r="D526" s="27">
        <v>2024</v>
      </c>
      <c r="E526" s="27" t="s">
        <v>48</v>
      </c>
      <c r="F526" s="27" t="s">
        <v>15</v>
      </c>
      <c r="G526" s="27"/>
      <c r="H526" s="27"/>
      <c r="I526" s="28" t="str">
        <f t="shared" si="16"/>
        <v/>
      </c>
      <c r="J526" s="27"/>
      <c r="K526" s="28" t="str">
        <f t="shared" si="17"/>
        <v/>
      </c>
      <c r="L526" s="27"/>
      <c r="M526" s="27"/>
      <c r="N526" s="27"/>
      <c r="O526" s="27"/>
      <c r="P526" s="27" t="s">
        <v>2777</v>
      </c>
      <c r="Q526" s="27" t="s">
        <v>2778</v>
      </c>
    </row>
    <row r="527" spans="1:17" ht="15" customHeight="1" x14ac:dyDescent="0.3">
      <c r="A527" s="27" t="s">
        <v>2779</v>
      </c>
      <c r="B527" s="27" t="s">
        <v>2780</v>
      </c>
      <c r="C527" s="27" t="s">
        <v>2781</v>
      </c>
      <c r="D527" s="27">
        <v>2025</v>
      </c>
      <c r="E527" s="27" t="s">
        <v>48</v>
      </c>
      <c r="F527" s="27" t="s">
        <v>11</v>
      </c>
      <c r="G527" s="27"/>
      <c r="H527" s="27"/>
      <c r="I527" s="28" t="str">
        <f t="shared" si="16"/>
        <v/>
      </c>
      <c r="J527" s="27"/>
      <c r="K527" s="28" t="str">
        <f t="shared" si="17"/>
        <v/>
      </c>
      <c r="L527" s="27"/>
      <c r="M527" s="27"/>
      <c r="N527" s="27"/>
      <c r="O527" s="27"/>
      <c r="P527" s="27" t="s">
        <v>2782</v>
      </c>
      <c r="Q527" s="27" t="s">
        <v>2783</v>
      </c>
    </row>
    <row r="528" spans="1:17" ht="15" customHeight="1" x14ac:dyDescent="0.3">
      <c r="A528" s="27" t="s">
        <v>2784</v>
      </c>
      <c r="B528" s="27" t="s">
        <v>2785</v>
      </c>
      <c r="C528" s="27" t="s">
        <v>2786</v>
      </c>
      <c r="D528" s="27">
        <v>2025</v>
      </c>
      <c r="E528" s="27" t="s">
        <v>48</v>
      </c>
      <c r="F528" s="27" t="s">
        <v>13</v>
      </c>
      <c r="G528" s="27"/>
      <c r="H528" s="27"/>
      <c r="I528" s="28" t="str">
        <f t="shared" si="16"/>
        <v/>
      </c>
      <c r="J528" s="27"/>
      <c r="K528" s="28" t="str">
        <f t="shared" si="17"/>
        <v/>
      </c>
      <c r="L528" s="27"/>
      <c r="M528" s="27"/>
      <c r="N528" s="27"/>
      <c r="O528" s="27"/>
      <c r="P528" s="27" t="s">
        <v>2787</v>
      </c>
      <c r="Q528" s="27" t="s">
        <v>2788</v>
      </c>
    </row>
    <row r="529" spans="1:17" ht="15" customHeight="1" x14ac:dyDescent="0.3">
      <c r="A529" s="27" t="s">
        <v>2789</v>
      </c>
      <c r="B529" s="27" t="s">
        <v>2790</v>
      </c>
      <c r="C529" s="27" t="s">
        <v>2791</v>
      </c>
      <c r="D529" s="27">
        <v>2019</v>
      </c>
      <c r="E529" s="27" t="s">
        <v>48</v>
      </c>
      <c r="F529" s="27" t="s">
        <v>15</v>
      </c>
      <c r="G529" s="27"/>
      <c r="H529" s="27"/>
      <c r="I529" s="28" t="str">
        <f t="shared" si="16"/>
        <v/>
      </c>
      <c r="J529" s="27"/>
      <c r="K529" s="28" t="str">
        <f t="shared" si="17"/>
        <v/>
      </c>
      <c r="L529" s="27"/>
      <c r="M529" s="27"/>
      <c r="N529" s="27"/>
      <c r="O529" s="27"/>
      <c r="P529" s="27" t="s">
        <v>2792</v>
      </c>
      <c r="Q529" s="27" t="s">
        <v>2793</v>
      </c>
    </row>
    <row r="530" spans="1:17" ht="15" customHeight="1" x14ac:dyDescent="0.3">
      <c r="A530" s="27" t="s">
        <v>2794</v>
      </c>
      <c r="B530" s="27" t="s">
        <v>2795</v>
      </c>
      <c r="C530" s="27" t="s">
        <v>2796</v>
      </c>
      <c r="D530" s="27">
        <v>2025</v>
      </c>
      <c r="E530" s="27" t="s">
        <v>48</v>
      </c>
      <c r="F530" s="27" t="s">
        <v>11</v>
      </c>
      <c r="G530" s="27"/>
      <c r="H530" s="27"/>
      <c r="I530" s="28" t="str">
        <f t="shared" si="16"/>
        <v/>
      </c>
      <c r="J530" s="27"/>
      <c r="K530" s="28" t="str">
        <f t="shared" si="17"/>
        <v/>
      </c>
      <c r="L530" s="27"/>
      <c r="M530" s="27"/>
      <c r="N530" s="27"/>
      <c r="O530" s="27"/>
      <c r="P530" s="27" t="s">
        <v>2797</v>
      </c>
      <c r="Q530" s="27" t="s">
        <v>2798</v>
      </c>
    </row>
    <row r="531" spans="1:17" ht="15" customHeight="1" x14ac:dyDescent="0.3">
      <c r="A531" s="27" t="s">
        <v>2799</v>
      </c>
      <c r="B531" s="27" t="s">
        <v>2800</v>
      </c>
      <c r="C531" s="27" t="s">
        <v>2801</v>
      </c>
      <c r="D531" s="27">
        <v>2025</v>
      </c>
      <c r="E531" s="27" t="s">
        <v>48</v>
      </c>
      <c r="F531" s="27" t="s">
        <v>13</v>
      </c>
      <c r="G531" s="27"/>
      <c r="H531" s="27"/>
      <c r="I531" s="28" t="str">
        <f t="shared" si="16"/>
        <v/>
      </c>
      <c r="J531" s="27"/>
      <c r="K531" s="28" t="str">
        <f t="shared" si="17"/>
        <v/>
      </c>
      <c r="L531" s="27"/>
      <c r="M531" s="27"/>
      <c r="N531" s="27"/>
      <c r="O531" s="27"/>
      <c r="P531" s="27" t="s">
        <v>2802</v>
      </c>
      <c r="Q531" s="27" t="s">
        <v>2803</v>
      </c>
    </row>
    <row r="532" spans="1:17" ht="15" customHeight="1" x14ac:dyDescent="0.3">
      <c r="A532" s="27" t="s">
        <v>2804</v>
      </c>
      <c r="B532" s="27" t="s">
        <v>2805</v>
      </c>
      <c r="C532" s="27" t="s">
        <v>2806</v>
      </c>
      <c r="D532" s="27">
        <v>2025</v>
      </c>
      <c r="E532" s="27" t="s">
        <v>48</v>
      </c>
      <c r="F532" s="27" t="s">
        <v>15</v>
      </c>
      <c r="G532" s="27"/>
      <c r="H532" s="27"/>
      <c r="I532" s="28" t="str">
        <f t="shared" si="16"/>
        <v/>
      </c>
      <c r="J532" s="27"/>
      <c r="K532" s="28" t="str">
        <f t="shared" si="17"/>
        <v/>
      </c>
      <c r="L532" s="27"/>
      <c r="M532" s="27"/>
      <c r="N532" s="27"/>
      <c r="O532" s="27"/>
      <c r="P532" s="27" t="s">
        <v>2807</v>
      </c>
      <c r="Q532" s="27" t="s">
        <v>2808</v>
      </c>
    </row>
    <row r="533" spans="1:17" ht="15" customHeight="1" x14ac:dyDescent="0.3">
      <c r="A533" s="27" t="s">
        <v>2809</v>
      </c>
      <c r="B533" s="27" t="s">
        <v>2810</v>
      </c>
      <c r="C533" s="27" t="s">
        <v>2811</v>
      </c>
      <c r="D533" s="27">
        <v>2026</v>
      </c>
      <c r="E533" s="27" t="s">
        <v>48</v>
      </c>
      <c r="F533" s="27" t="s">
        <v>11</v>
      </c>
      <c r="G533" s="27"/>
      <c r="H533" s="27"/>
      <c r="I533" s="28" t="str">
        <f t="shared" si="16"/>
        <v/>
      </c>
      <c r="J533" s="27"/>
      <c r="K533" s="28" t="str">
        <f t="shared" si="17"/>
        <v/>
      </c>
      <c r="L533" s="27"/>
      <c r="M533" s="27"/>
      <c r="N533" s="27"/>
      <c r="O533" s="27"/>
      <c r="P533" s="27" t="s">
        <v>2812</v>
      </c>
      <c r="Q533" s="27" t="s">
        <v>2813</v>
      </c>
    </row>
    <row r="534" spans="1:17" ht="15" customHeight="1" x14ac:dyDescent="0.3">
      <c r="A534" s="27" t="s">
        <v>2814</v>
      </c>
      <c r="B534" s="27" t="s">
        <v>2815</v>
      </c>
      <c r="C534" s="27" t="s">
        <v>2816</v>
      </c>
      <c r="D534" s="27">
        <v>2026</v>
      </c>
      <c r="E534" s="27" t="s">
        <v>48</v>
      </c>
      <c r="F534" s="27" t="s">
        <v>13</v>
      </c>
      <c r="G534" s="27"/>
      <c r="H534" s="27"/>
      <c r="I534" s="28" t="str">
        <f t="shared" si="16"/>
        <v/>
      </c>
      <c r="J534" s="27"/>
      <c r="K534" s="28" t="str">
        <f t="shared" si="17"/>
        <v/>
      </c>
      <c r="L534" s="27"/>
      <c r="M534" s="27"/>
      <c r="N534" s="27"/>
      <c r="O534" s="27"/>
      <c r="P534" s="27" t="s">
        <v>2817</v>
      </c>
      <c r="Q534" s="27" t="s">
        <v>2818</v>
      </c>
    </row>
    <row r="535" spans="1:17" ht="15" customHeight="1" x14ac:dyDescent="0.3">
      <c r="A535" s="27" t="s">
        <v>2819</v>
      </c>
      <c r="B535" s="27" t="s">
        <v>2820</v>
      </c>
      <c r="C535" s="27" t="s">
        <v>2821</v>
      </c>
      <c r="D535" s="27">
        <v>2026</v>
      </c>
      <c r="E535" s="27" t="s">
        <v>48</v>
      </c>
      <c r="F535" s="27" t="s">
        <v>15</v>
      </c>
      <c r="G535" s="27"/>
      <c r="H535" s="27"/>
      <c r="I535" s="28" t="str">
        <f t="shared" si="16"/>
        <v/>
      </c>
      <c r="J535" s="27"/>
      <c r="K535" s="28" t="str">
        <f t="shared" si="17"/>
        <v/>
      </c>
      <c r="L535" s="27"/>
      <c r="M535" s="27"/>
      <c r="N535" s="27"/>
      <c r="O535" s="27"/>
      <c r="P535" s="27" t="s">
        <v>2822</v>
      </c>
      <c r="Q535" s="27" t="s">
        <v>2823</v>
      </c>
    </row>
    <row r="536" spans="1:17" ht="15" customHeight="1" x14ac:dyDescent="0.3">
      <c r="A536" s="27" t="s">
        <v>2824</v>
      </c>
      <c r="B536" s="27" t="s">
        <v>2825</v>
      </c>
      <c r="C536" s="27" t="s">
        <v>2826</v>
      </c>
      <c r="D536" s="27">
        <v>2025</v>
      </c>
      <c r="E536" s="27" t="s">
        <v>48</v>
      </c>
      <c r="F536" s="27" t="s">
        <v>11</v>
      </c>
      <c r="G536" s="27"/>
      <c r="H536" s="27"/>
      <c r="I536" s="28" t="str">
        <f t="shared" si="16"/>
        <v/>
      </c>
      <c r="J536" s="27"/>
      <c r="K536" s="28" t="str">
        <f t="shared" si="17"/>
        <v/>
      </c>
      <c r="L536" s="27"/>
      <c r="M536" s="27"/>
      <c r="N536" s="27"/>
      <c r="O536" s="27"/>
      <c r="P536" s="27" t="s">
        <v>238</v>
      </c>
      <c r="Q536" s="27" t="s">
        <v>2827</v>
      </c>
    </row>
    <row r="537" spans="1:17" ht="15" customHeight="1" x14ac:dyDescent="0.3">
      <c r="A537" s="27" t="s">
        <v>2828</v>
      </c>
      <c r="B537" s="27" t="s">
        <v>2829</v>
      </c>
      <c r="C537" s="27" t="s">
        <v>1374</v>
      </c>
      <c r="D537" s="27">
        <v>2022</v>
      </c>
      <c r="E537" s="27" t="s">
        <v>48</v>
      </c>
      <c r="F537" s="27" t="s">
        <v>13</v>
      </c>
      <c r="G537" s="27"/>
      <c r="H537" s="27"/>
      <c r="I537" s="28" t="str">
        <f t="shared" si="16"/>
        <v/>
      </c>
      <c r="J537" s="27"/>
      <c r="K537" s="28" t="str">
        <f t="shared" si="17"/>
        <v/>
      </c>
      <c r="L537" s="27"/>
      <c r="M537" s="27"/>
      <c r="N537" s="27"/>
      <c r="O537" s="27"/>
      <c r="P537" s="27" t="s">
        <v>2830</v>
      </c>
      <c r="Q537" s="27" t="s">
        <v>2831</v>
      </c>
    </row>
    <row r="538" spans="1:17" ht="15" customHeight="1" x14ac:dyDescent="0.3">
      <c r="A538" s="27" t="s">
        <v>2832</v>
      </c>
      <c r="B538" s="27" t="s">
        <v>2833</v>
      </c>
      <c r="C538" s="27" t="s">
        <v>2834</v>
      </c>
      <c r="D538" s="27">
        <v>2025</v>
      </c>
      <c r="E538" s="27" t="s">
        <v>48</v>
      </c>
      <c r="F538" s="27" t="s">
        <v>15</v>
      </c>
      <c r="G538" s="27"/>
      <c r="H538" s="27"/>
      <c r="I538" s="28" t="str">
        <f t="shared" si="16"/>
        <v/>
      </c>
      <c r="J538" s="27"/>
      <c r="K538" s="28" t="str">
        <f t="shared" si="17"/>
        <v/>
      </c>
      <c r="L538" s="27"/>
      <c r="M538" s="27"/>
      <c r="N538" s="27"/>
      <c r="O538" s="27"/>
      <c r="P538" s="27" t="s">
        <v>2835</v>
      </c>
      <c r="Q538" s="27" t="s">
        <v>2836</v>
      </c>
    </row>
    <row r="539" spans="1:17" ht="15" customHeight="1" x14ac:dyDescent="0.3">
      <c r="A539" s="27" t="s">
        <v>2837</v>
      </c>
      <c r="B539" s="27" t="s">
        <v>2838</v>
      </c>
      <c r="C539" s="27" t="s">
        <v>2839</v>
      </c>
      <c r="D539" s="27">
        <v>2026</v>
      </c>
      <c r="E539" s="27" t="s">
        <v>48</v>
      </c>
      <c r="F539" s="27" t="s">
        <v>11</v>
      </c>
      <c r="G539" s="27"/>
      <c r="H539" s="27"/>
      <c r="I539" s="28" t="str">
        <f t="shared" si="16"/>
        <v/>
      </c>
      <c r="J539" s="27"/>
      <c r="K539" s="28" t="str">
        <f t="shared" si="17"/>
        <v/>
      </c>
      <c r="L539" s="27"/>
      <c r="M539" s="27"/>
      <c r="N539" s="27"/>
      <c r="O539" s="27"/>
      <c r="P539" s="27" t="s">
        <v>2840</v>
      </c>
      <c r="Q539" s="27" t="s">
        <v>2841</v>
      </c>
    </row>
    <row r="540" spans="1:17" ht="15" customHeight="1" x14ac:dyDescent="0.3">
      <c r="A540" s="27" t="s">
        <v>2842</v>
      </c>
      <c r="B540" s="27" t="s">
        <v>2843</v>
      </c>
      <c r="C540" s="27" t="s">
        <v>2844</v>
      </c>
      <c r="D540" s="27">
        <v>2025</v>
      </c>
      <c r="E540" s="27" t="s">
        <v>48</v>
      </c>
      <c r="F540" s="27" t="s">
        <v>13</v>
      </c>
      <c r="G540" s="27"/>
      <c r="H540" s="27"/>
      <c r="I540" s="28" t="str">
        <f t="shared" si="16"/>
        <v/>
      </c>
      <c r="J540" s="27"/>
      <c r="K540" s="28" t="str">
        <f t="shared" si="17"/>
        <v/>
      </c>
      <c r="L540" s="27"/>
      <c r="M540" s="27"/>
      <c r="N540" s="27"/>
      <c r="O540" s="27"/>
      <c r="P540" s="27" t="s">
        <v>238</v>
      </c>
      <c r="Q540" s="27" t="s">
        <v>2845</v>
      </c>
    </row>
    <row r="541" spans="1:17" ht="15" customHeight="1" x14ac:dyDescent="0.3">
      <c r="A541" s="27" t="s">
        <v>2846</v>
      </c>
      <c r="B541" s="27" t="s">
        <v>2847</v>
      </c>
      <c r="C541" s="27" t="s">
        <v>2848</v>
      </c>
      <c r="D541" s="27">
        <v>2026</v>
      </c>
      <c r="E541" s="27" t="s">
        <v>48</v>
      </c>
      <c r="F541" s="27" t="s">
        <v>15</v>
      </c>
      <c r="G541" s="27"/>
      <c r="H541" s="27"/>
      <c r="I541" s="28" t="str">
        <f t="shared" si="16"/>
        <v/>
      </c>
      <c r="J541" s="27"/>
      <c r="K541" s="28" t="str">
        <f t="shared" si="17"/>
        <v/>
      </c>
      <c r="L541" s="27"/>
      <c r="M541" s="27"/>
      <c r="N541" s="27"/>
      <c r="O541" s="27"/>
      <c r="P541" s="27" t="s">
        <v>2849</v>
      </c>
      <c r="Q541" s="27" t="s">
        <v>2850</v>
      </c>
    </row>
    <row r="542" spans="1:17" ht="15" customHeight="1" x14ac:dyDescent="0.3">
      <c r="A542" s="27" t="s">
        <v>2851</v>
      </c>
      <c r="B542" s="27" t="s">
        <v>2852</v>
      </c>
      <c r="C542" s="27" t="s">
        <v>2853</v>
      </c>
      <c r="D542" s="27">
        <v>2025</v>
      </c>
      <c r="E542" s="27" t="s">
        <v>48</v>
      </c>
      <c r="F542" s="27" t="s">
        <v>11</v>
      </c>
      <c r="G542" s="27"/>
      <c r="H542" s="27"/>
      <c r="I542" s="28" t="str">
        <f t="shared" si="16"/>
        <v/>
      </c>
      <c r="J542" s="27"/>
      <c r="K542" s="28" t="str">
        <f t="shared" si="17"/>
        <v/>
      </c>
      <c r="L542" s="27"/>
      <c r="M542" s="27"/>
      <c r="N542" s="27"/>
      <c r="O542" s="27"/>
      <c r="P542" s="27" t="s">
        <v>2854</v>
      </c>
      <c r="Q542" s="27" t="s">
        <v>2855</v>
      </c>
    </row>
    <row r="543" spans="1:17" ht="15" customHeight="1" x14ac:dyDescent="0.3">
      <c r="A543" s="27" t="s">
        <v>2856</v>
      </c>
      <c r="B543" s="27" t="s">
        <v>2857</v>
      </c>
      <c r="C543" s="27" t="s">
        <v>2858</v>
      </c>
      <c r="D543" s="27">
        <v>2025</v>
      </c>
      <c r="E543" s="27" t="s">
        <v>48</v>
      </c>
      <c r="F543" s="27" t="s">
        <v>13</v>
      </c>
      <c r="G543" s="27"/>
      <c r="H543" s="27"/>
      <c r="I543" s="28" t="str">
        <f t="shared" si="16"/>
        <v/>
      </c>
      <c r="J543" s="27"/>
      <c r="K543" s="28" t="str">
        <f t="shared" si="17"/>
        <v/>
      </c>
      <c r="L543" s="27"/>
      <c r="M543" s="27"/>
      <c r="N543" s="27"/>
      <c r="O543" s="27"/>
      <c r="P543" s="27" t="s">
        <v>2859</v>
      </c>
      <c r="Q543" s="27" t="s">
        <v>2860</v>
      </c>
    </row>
    <row r="544" spans="1:17" ht="15" customHeight="1" x14ac:dyDescent="0.3">
      <c r="A544" s="27" t="s">
        <v>2861</v>
      </c>
      <c r="B544" s="27" t="s">
        <v>2862</v>
      </c>
      <c r="C544" s="27" t="s">
        <v>2863</v>
      </c>
      <c r="D544" s="27">
        <v>2026</v>
      </c>
      <c r="E544" s="27" t="s">
        <v>48</v>
      </c>
      <c r="F544" s="27" t="s">
        <v>15</v>
      </c>
      <c r="G544" s="27"/>
      <c r="H544" s="27"/>
      <c r="I544" s="28" t="str">
        <f t="shared" si="16"/>
        <v/>
      </c>
      <c r="J544" s="27"/>
      <c r="K544" s="28" t="str">
        <f t="shared" si="17"/>
        <v/>
      </c>
      <c r="L544" s="27"/>
      <c r="M544" s="27"/>
      <c r="N544" s="27"/>
      <c r="O544" s="27"/>
      <c r="P544" s="27" t="s">
        <v>2864</v>
      </c>
      <c r="Q544" s="27" t="s">
        <v>2865</v>
      </c>
    </row>
    <row r="545" spans="1:17" ht="15" customHeight="1" x14ac:dyDescent="0.3">
      <c r="A545" s="27" t="s">
        <v>2866</v>
      </c>
      <c r="B545" s="27" t="s">
        <v>2867</v>
      </c>
      <c r="C545" s="27" t="s">
        <v>2868</v>
      </c>
      <c r="D545" s="27">
        <v>2025</v>
      </c>
      <c r="E545" s="27" t="s">
        <v>48</v>
      </c>
      <c r="F545" s="27" t="s">
        <v>11</v>
      </c>
      <c r="G545" s="27"/>
      <c r="H545" s="27"/>
      <c r="I545" s="28" t="str">
        <f t="shared" si="16"/>
        <v/>
      </c>
      <c r="J545" s="27"/>
      <c r="K545" s="28" t="str">
        <f t="shared" si="17"/>
        <v/>
      </c>
      <c r="L545" s="27"/>
      <c r="M545" s="27"/>
      <c r="N545" s="27"/>
      <c r="O545" s="27"/>
      <c r="P545" s="27" t="s">
        <v>2869</v>
      </c>
      <c r="Q545" s="27" t="s">
        <v>2870</v>
      </c>
    </row>
    <row r="546" spans="1:17" ht="15" customHeight="1" x14ac:dyDescent="0.3">
      <c r="A546" s="27" t="s">
        <v>2871</v>
      </c>
      <c r="B546" s="27" t="s">
        <v>2872</v>
      </c>
      <c r="C546" s="27" t="s">
        <v>2873</v>
      </c>
      <c r="D546" s="27">
        <v>2020</v>
      </c>
      <c r="E546" s="27" t="s">
        <v>48</v>
      </c>
      <c r="F546" s="27" t="s">
        <v>13</v>
      </c>
      <c r="G546" s="27"/>
      <c r="H546" s="27"/>
      <c r="I546" s="28" t="str">
        <f t="shared" si="16"/>
        <v/>
      </c>
      <c r="J546" s="27"/>
      <c r="K546" s="28" t="str">
        <f t="shared" si="17"/>
        <v/>
      </c>
      <c r="L546" s="27"/>
      <c r="M546" s="27"/>
      <c r="N546" s="27"/>
      <c r="O546" s="27"/>
      <c r="P546" s="27" t="s">
        <v>2874</v>
      </c>
      <c r="Q546" s="27" t="s">
        <v>2875</v>
      </c>
    </row>
    <row r="547" spans="1:17" ht="15" customHeight="1" x14ac:dyDescent="0.3">
      <c r="A547" s="27" t="s">
        <v>2876</v>
      </c>
      <c r="B547" s="27" t="s">
        <v>2877</v>
      </c>
      <c r="C547" s="27" t="s">
        <v>2878</v>
      </c>
      <c r="D547" s="27">
        <v>2026</v>
      </c>
      <c r="E547" s="27" t="s">
        <v>48</v>
      </c>
      <c r="F547" s="27" t="s">
        <v>15</v>
      </c>
      <c r="G547" s="27"/>
      <c r="H547" s="27"/>
      <c r="I547" s="28" t="str">
        <f t="shared" si="16"/>
        <v/>
      </c>
      <c r="J547" s="27"/>
      <c r="K547" s="28" t="str">
        <f t="shared" si="17"/>
        <v/>
      </c>
      <c r="L547" s="27"/>
      <c r="M547" s="27"/>
      <c r="N547" s="27"/>
      <c r="O547" s="27"/>
      <c r="P547" s="27" t="s">
        <v>2879</v>
      </c>
      <c r="Q547" s="27" t="s">
        <v>2880</v>
      </c>
    </row>
    <row r="548" spans="1:17" ht="15" customHeight="1" x14ac:dyDescent="0.3">
      <c r="A548" s="27" t="s">
        <v>2881</v>
      </c>
      <c r="B548" s="27" t="s">
        <v>2882</v>
      </c>
      <c r="C548" s="27" t="s">
        <v>2883</v>
      </c>
      <c r="D548" s="27">
        <v>2023</v>
      </c>
      <c r="E548" s="27" t="s">
        <v>48</v>
      </c>
      <c r="F548" s="27" t="s">
        <v>11</v>
      </c>
      <c r="G548" s="27"/>
      <c r="H548" s="27"/>
      <c r="I548" s="28" t="str">
        <f t="shared" si="16"/>
        <v/>
      </c>
      <c r="J548" s="27"/>
      <c r="K548" s="28" t="str">
        <f t="shared" si="17"/>
        <v/>
      </c>
      <c r="L548" s="27"/>
      <c r="M548" s="27"/>
      <c r="N548" s="27"/>
      <c r="O548" s="27"/>
      <c r="P548" s="27" t="s">
        <v>2884</v>
      </c>
      <c r="Q548" s="27" t="s">
        <v>2885</v>
      </c>
    </row>
    <row r="549" spans="1:17" ht="15" customHeight="1" x14ac:dyDescent="0.3">
      <c r="A549" s="27" t="s">
        <v>2886</v>
      </c>
      <c r="B549" s="27" t="s">
        <v>2887</v>
      </c>
      <c r="C549" s="27" t="s">
        <v>2888</v>
      </c>
      <c r="D549" s="27">
        <v>2025</v>
      </c>
      <c r="E549" s="27" t="s">
        <v>48</v>
      </c>
      <c r="F549" s="27" t="s">
        <v>13</v>
      </c>
      <c r="G549" s="27"/>
      <c r="H549" s="27"/>
      <c r="I549" s="28" t="str">
        <f t="shared" si="16"/>
        <v/>
      </c>
      <c r="J549" s="27"/>
      <c r="K549" s="28" t="str">
        <f t="shared" si="17"/>
        <v/>
      </c>
      <c r="L549" s="27"/>
      <c r="M549" s="27"/>
      <c r="N549" s="27"/>
      <c r="O549" s="27"/>
      <c r="P549" s="27" t="s">
        <v>2889</v>
      </c>
      <c r="Q549" s="27" t="s">
        <v>2890</v>
      </c>
    </row>
    <row r="550" spans="1:17" ht="15" customHeight="1" x14ac:dyDescent="0.3">
      <c r="A550" s="27" t="s">
        <v>2891</v>
      </c>
      <c r="B550" s="27" t="s">
        <v>2892</v>
      </c>
      <c r="C550" s="27" t="s">
        <v>2893</v>
      </c>
      <c r="D550" s="27">
        <v>2024</v>
      </c>
      <c r="E550" s="27" t="s">
        <v>48</v>
      </c>
      <c r="F550" s="27" t="s">
        <v>15</v>
      </c>
      <c r="G550" s="27"/>
      <c r="H550" s="27"/>
      <c r="I550" s="28" t="str">
        <f t="shared" si="16"/>
        <v/>
      </c>
      <c r="J550" s="27"/>
      <c r="K550" s="28" t="str">
        <f t="shared" si="17"/>
        <v/>
      </c>
      <c r="L550" s="27"/>
      <c r="M550" s="27"/>
      <c r="N550" s="27"/>
      <c r="O550" s="27"/>
      <c r="P550" s="27" t="s">
        <v>2894</v>
      </c>
      <c r="Q550" s="27" t="s">
        <v>2895</v>
      </c>
    </row>
    <row r="551" spans="1:17" ht="15" customHeight="1" x14ac:dyDescent="0.3">
      <c r="A551" s="27" t="s">
        <v>2896</v>
      </c>
      <c r="B551" s="27" t="s">
        <v>2897</v>
      </c>
      <c r="C551" s="27" t="s">
        <v>2898</v>
      </c>
      <c r="D551" s="27">
        <v>2024</v>
      </c>
      <c r="E551" s="27" t="s">
        <v>48</v>
      </c>
      <c r="F551" s="27" t="s">
        <v>11</v>
      </c>
      <c r="G551" s="27"/>
      <c r="H551" s="27"/>
      <c r="I551" s="28" t="str">
        <f t="shared" si="16"/>
        <v/>
      </c>
      <c r="J551" s="27"/>
      <c r="K551" s="28" t="str">
        <f t="shared" si="17"/>
        <v/>
      </c>
      <c r="L551" s="27"/>
      <c r="M551" s="27"/>
      <c r="N551" s="27"/>
      <c r="O551" s="27"/>
      <c r="P551" s="27" t="s">
        <v>2899</v>
      </c>
      <c r="Q551" s="27" t="s">
        <v>2900</v>
      </c>
    </row>
    <row r="552" spans="1:17" ht="15" customHeight="1" x14ac:dyDescent="0.3">
      <c r="A552" s="27" t="s">
        <v>2901</v>
      </c>
      <c r="B552" s="27" t="s">
        <v>2902</v>
      </c>
      <c r="C552" s="27" t="s">
        <v>2903</v>
      </c>
      <c r="D552" s="27">
        <v>2025</v>
      </c>
      <c r="E552" s="27" t="s">
        <v>48</v>
      </c>
      <c r="F552" s="27" t="s">
        <v>13</v>
      </c>
      <c r="G552" s="27"/>
      <c r="H552" s="27"/>
      <c r="I552" s="28" t="str">
        <f t="shared" si="16"/>
        <v/>
      </c>
      <c r="J552" s="27"/>
      <c r="K552" s="28" t="str">
        <f t="shared" si="17"/>
        <v/>
      </c>
      <c r="L552" s="27"/>
      <c r="M552" s="27"/>
      <c r="N552" s="27"/>
      <c r="O552" s="27"/>
      <c r="P552" s="27" t="s">
        <v>2904</v>
      </c>
      <c r="Q552" s="27" t="s">
        <v>2905</v>
      </c>
    </row>
    <row r="553" spans="1:17" ht="15" customHeight="1" x14ac:dyDescent="0.3">
      <c r="A553" s="27" t="s">
        <v>2906</v>
      </c>
      <c r="B553" s="27" t="s">
        <v>2907</v>
      </c>
      <c r="C553" s="27" t="s">
        <v>2908</v>
      </c>
      <c r="D553" s="27">
        <v>2025</v>
      </c>
      <c r="E553" s="27" t="s">
        <v>48</v>
      </c>
      <c r="F553" s="27" t="s">
        <v>15</v>
      </c>
      <c r="G553" s="27"/>
      <c r="H553" s="27"/>
      <c r="I553" s="28" t="str">
        <f t="shared" si="16"/>
        <v/>
      </c>
      <c r="J553" s="27"/>
      <c r="K553" s="28" t="str">
        <f t="shared" si="17"/>
        <v/>
      </c>
      <c r="L553" s="27"/>
      <c r="M553" s="27"/>
      <c r="N553" s="27"/>
      <c r="O553" s="27"/>
      <c r="P553" s="27" t="s">
        <v>2909</v>
      </c>
      <c r="Q553" s="27" t="s">
        <v>2910</v>
      </c>
    </row>
    <row r="554" spans="1:17" ht="15" customHeight="1" x14ac:dyDescent="0.3">
      <c r="A554" s="27" t="s">
        <v>2911</v>
      </c>
      <c r="B554" s="27" t="s">
        <v>2912</v>
      </c>
      <c r="C554" s="27" t="s">
        <v>2913</v>
      </c>
      <c r="D554" s="27">
        <v>2026</v>
      </c>
      <c r="E554" s="27" t="s">
        <v>48</v>
      </c>
      <c r="F554" s="27" t="s">
        <v>11</v>
      </c>
      <c r="G554" s="27"/>
      <c r="H554" s="27"/>
      <c r="I554" s="28" t="str">
        <f t="shared" si="16"/>
        <v/>
      </c>
      <c r="J554" s="27"/>
      <c r="K554" s="28" t="str">
        <f t="shared" si="17"/>
        <v/>
      </c>
      <c r="L554" s="27"/>
      <c r="M554" s="27"/>
      <c r="N554" s="27"/>
      <c r="O554" s="27"/>
      <c r="P554" s="27" t="s">
        <v>2914</v>
      </c>
      <c r="Q554" s="27" t="s">
        <v>2915</v>
      </c>
    </row>
    <row r="555" spans="1:17" ht="15" customHeight="1" x14ac:dyDescent="0.3">
      <c r="A555" s="27" t="s">
        <v>2916</v>
      </c>
      <c r="B555" s="27" t="s">
        <v>2917</v>
      </c>
      <c r="C555" s="27" t="s">
        <v>2918</v>
      </c>
      <c r="D555" s="27">
        <v>2025</v>
      </c>
      <c r="E555" s="27" t="s">
        <v>48</v>
      </c>
      <c r="F555" s="27" t="s">
        <v>13</v>
      </c>
      <c r="G555" s="27"/>
      <c r="H555" s="27"/>
      <c r="I555" s="28" t="str">
        <f t="shared" si="16"/>
        <v/>
      </c>
      <c r="J555" s="27"/>
      <c r="K555" s="28" t="str">
        <f t="shared" si="17"/>
        <v/>
      </c>
      <c r="L555" s="27"/>
      <c r="M555" s="27"/>
      <c r="N555" s="27"/>
      <c r="O555" s="27"/>
      <c r="P555" s="27" t="s">
        <v>2919</v>
      </c>
      <c r="Q555" s="27" t="s">
        <v>2920</v>
      </c>
    </row>
    <row r="556" spans="1:17" ht="15" customHeight="1" x14ac:dyDescent="0.3">
      <c r="A556" s="27" t="s">
        <v>2921</v>
      </c>
      <c r="B556" s="27" t="s">
        <v>2922</v>
      </c>
      <c r="C556" s="27" t="s">
        <v>2923</v>
      </c>
      <c r="D556" s="27">
        <v>2022</v>
      </c>
      <c r="E556" s="27" t="s">
        <v>48</v>
      </c>
      <c r="F556" s="27" t="s">
        <v>15</v>
      </c>
      <c r="G556" s="27"/>
      <c r="H556" s="27"/>
      <c r="I556" s="28" t="str">
        <f t="shared" si="16"/>
        <v/>
      </c>
      <c r="J556" s="27"/>
      <c r="K556" s="28" t="str">
        <f t="shared" si="17"/>
        <v/>
      </c>
      <c r="L556" s="27"/>
      <c r="M556" s="27"/>
      <c r="N556" s="27"/>
      <c r="O556" s="27"/>
      <c r="P556" s="27" t="s">
        <v>2924</v>
      </c>
      <c r="Q556" s="27" t="s">
        <v>2925</v>
      </c>
    </row>
    <row r="557" spans="1:17" ht="15" customHeight="1" x14ac:dyDescent="0.3">
      <c r="A557" s="27" t="s">
        <v>2926</v>
      </c>
      <c r="B557" s="27" t="s">
        <v>2927</v>
      </c>
      <c r="C557" s="27" t="s">
        <v>2928</v>
      </c>
      <c r="D557" s="27">
        <v>2026</v>
      </c>
      <c r="E557" s="27" t="s">
        <v>48</v>
      </c>
      <c r="F557" s="27" t="s">
        <v>11</v>
      </c>
      <c r="G557" s="27"/>
      <c r="H557" s="27"/>
      <c r="I557" s="28" t="str">
        <f t="shared" si="16"/>
        <v/>
      </c>
      <c r="J557" s="27"/>
      <c r="K557" s="28" t="str">
        <f t="shared" si="17"/>
        <v/>
      </c>
      <c r="L557" s="27"/>
      <c r="M557" s="27"/>
      <c r="N557" s="27"/>
      <c r="O557" s="27"/>
      <c r="P557" s="27" t="s">
        <v>2929</v>
      </c>
      <c r="Q557" s="27" t="s">
        <v>2930</v>
      </c>
    </row>
    <row r="558" spans="1:17" ht="15" customHeight="1" x14ac:dyDescent="0.3">
      <c r="A558" s="27" t="s">
        <v>2931</v>
      </c>
      <c r="B558" s="27" t="s">
        <v>2932</v>
      </c>
      <c r="C558" s="27" t="s">
        <v>2933</v>
      </c>
      <c r="D558" s="27">
        <v>2026</v>
      </c>
      <c r="E558" s="27" t="s">
        <v>48</v>
      </c>
      <c r="F558" s="27" t="s">
        <v>13</v>
      </c>
      <c r="G558" s="27"/>
      <c r="H558" s="27"/>
      <c r="I558" s="28" t="str">
        <f t="shared" si="16"/>
        <v/>
      </c>
      <c r="J558" s="27"/>
      <c r="K558" s="28" t="str">
        <f t="shared" si="17"/>
        <v/>
      </c>
      <c r="L558" s="27"/>
      <c r="M558" s="27"/>
      <c r="N558" s="27"/>
      <c r="O558" s="27"/>
      <c r="P558" s="27" t="s">
        <v>2934</v>
      </c>
      <c r="Q558" s="27" t="s">
        <v>2935</v>
      </c>
    </row>
    <row r="559" spans="1:17" ht="15" customHeight="1" x14ac:dyDescent="0.3">
      <c r="A559" s="27" t="s">
        <v>2936</v>
      </c>
      <c r="B559" s="27" t="s">
        <v>2937</v>
      </c>
      <c r="C559" s="27" t="s">
        <v>2938</v>
      </c>
      <c r="D559" s="27">
        <v>2026</v>
      </c>
      <c r="E559" s="27" t="s">
        <v>48</v>
      </c>
      <c r="F559" s="27" t="s">
        <v>15</v>
      </c>
      <c r="G559" s="27"/>
      <c r="H559" s="27"/>
      <c r="I559" s="28" t="str">
        <f t="shared" si="16"/>
        <v/>
      </c>
      <c r="J559" s="27"/>
      <c r="K559" s="28" t="str">
        <f t="shared" si="17"/>
        <v/>
      </c>
      <c r="L559" s="27"/>
      <c r="M559" s="27"/>
      <c r="N559" s="27"/>
      <c r="O559" s="27"/>
      <c r="P559" s="27" t="s">
        <v>2939</v>
      </c>
      <c r="Q559" s="27" t="s">
        <v>2940</v>
      </c>
    </row>
    <row r="560" spans="1:17" ht="15" customHeight="1" x14ac:dyDescent="0.3">
      <c r="A560" s="27" t="s">
        <v>2941</v>
      </c>
      <c r="B560" s="27" t="s">
        <v>2942</v>
      </c>
      <c r="C560" s="27" t="s">
        <v>2943</v>
      </c>
      <c r="D560" s="27">
        <v>2025</v>
      </c>
      <c r="E560" s="27" t="s">
        <v>48</v>
      </c>
      <c r="F560" s="27" t="s">
        <v>11</v>
      </c>
      <c r="G560" s="27"/>
      <c r="H560" s="27"/>
      <c r="I560" s="28" t="str">
        <f t="shared" si="16"/>
        <v/>
      </c>
      <c r="J560" s="27"/>
      <c r="K560" s="28" t="str">
        <f t="shared" si="17"/>
        <v/>
      </c>
      <c r="L560" s="27"/>
      <c r="M560" s="27"/>
      <c r="N560" s="27"/>
      <c r="O560" s="27"/>
      <c r="P560" s="27" t="s">
        <v>2944</v>
      </c>
      <c r="Q560" s="27" t="s">
        <v>2945</v>
      </c>
    </row>
    <row r="561" spans="1:17" ht="15" customHeight="1" x14ac:dyDescent="0.3">
      <c r="A561" s="27" t="s">
        <v>2946</v>
      </c>
      <c r="B561" s="27" t="s">
        <v>2947</v>
      </c>
      <c r="C561" s="27" t="s">
        <v>2948</v>
      </c>
      <c r="D561" s="27">
        <v>2024</v>
      </c>
      <c r="E561" s="27" t="s">
        <v>48</v>
      </c>
      <c r="F561" s="27" t="s">
        <v>13</v>
      </c>
      <c r="G561" s="27"/>
      <c r="H561" s="27"/>
      <c r="I561" s="28" t="str">
        <f t="shared" si="16"/>
        <v/>
      </c>
      <c r="J561" s="27"/>
      <c r="K561" s="28" t="str">
        <f t="shared" si="17"/>
        <v/>
      </c>
      <c r="L561" s="27"/>
      <c r="M561" s="27"/>
      <c r="N561" s="27"/>
      <c r="O561" s="27"/>
      <c r="P561" s="27" t="s">
        <v>2949</v>
      </c>
      <c r="Q561" s="27" t="s">
        <v>2950</v>
      </c>
    </row>
    <row r="562" spans="1:17" ht="15" customHeight="1" x14ac:dyDescent="0.3">
      <c r="A562" s="27" t="s">
        <v>2951</v>
      </c>
      <c r="B562" s="27" t="s">
        <v>2952</v>
      </c>
      <c r="C562" s="27" t="s">
        <v>2953</v>
      </c>
      <c r="D562" s="27">
        <v>2025</v>
      </c>
      <c r="E562" s="27" t="s">
        <v>48</v>
      </c>
      <c r="F562" s="27" t="s">
        <v>15</v>
      </c>
      <c r="G562" s="27"/>
      <c r="H562" s="27"/>
      <c r="I562" s="28" t="str">
        <f t="shared" si="16"/>
        <v/>
      </c>
      <c r="J562" s="27"/>
      <c r="K562" s="28" t="str">
        <f t="shared" si="17"/>
        <v/>
      </c>
      <c r="L562" s="27"/>
      <c r="M562" s="27"/>
      <c r="N562" s="27"/>
      <c r="O562" s="27"/>
      <c r="P562" s="27" t="s">
        <v>2954</v>
      </c>
      <c r="Q562" s="27" t="s">
        <v>2955</v>
      </c>
    </row>
    <row r="563" spans="1:17" ht="15" customHeight="1" x14ac:dyDescent="0.3">
      <c r="A563" s="27" t="s">
        <v>2956</v>
      </c>
      <c r="B563" s="27" t="s">
        <v>2957</v>
      </c>
      <c r="C563" s="27" t="s">
        <v>2958</v>
      </c>
      <c r="D563" s="27">
        <v>2023</v>
      </c>
      <c r="E563" s="27" t="s">
        <v>48</v>
      </c>
      <c r="F563" s="27" t="s">
        <v>11</v>
      </c>
      <c r="G563" s="27"/>
      <c r="H563" s="27"/>
      <c r="I563" s="28" t="str">
        <f t="shared" si="16"/>
        <v/>
      </c>
      <c r="J563" s="27"/>
      <c r="K563" s="28" t="str">
        <f t="shared" si="17"/>
        <v/>
      </c>
      <c r="L563" s="27"/>
      <c r="M563" s="27"/>
      <c r="N563" s="27"/>
      <c r="O563" s="27"/>
      <c r="P563" s="27" t="s">
        <v>2959</v>
      </c>
      <c r="Q563" s="27" t="s">
        <v>2960</v>
      </c>
    </row>
    <row r="564" spans="1:17" ht="15" customHeight="1" x14ac:dyDescent="0.3">
      <c r="A564" s="27" t="s">
        <v>2961</v>
      </c>
      <c r="B564" s="27" t="s">
        <v>2962</v>
      </c>
      <c r="C564" s="27" t="s">
        <v>2963</v>
      </c>
      <c r="D564" s="27">
        <v>2019</v>
      </c>
      <c r="E564" s="27" t="s">
        <v>48</v>
      </c>
      <c r="F564" s="27" t="s">
        <v>13</v>
      </c>
      <c r="G564" s="27"/>
      <c r="H564" s="27"/>
      <c r="I564" s="28" t="str">
        <f t="shared" si="16"/>
        <v/>
      </c>
      <c r="J564" s="27"/>
      <c r="K564" s="28" t="str">
        <f t="shared" si="17"/>
        <v/>
      </c>
      <c r="L564" s="27"/>
      <c r="M564" s="27"/>
      <c r="N564" s="27"/>
      <c r="O564" s="27"/>
      <c r="P564" s="27" t="s">
        <v>2964</v>
      </c>
      <c r="Q564" s="27" t="s">
        <v>2965</v>
      </c>
    </row>
    <row r="565" spans="1:17" ht="15" customHeight="1" x14ac:dyDescent="0.3">
      <c r="A565" s="27" t="s">
        <v>2966</v>
      </c>
      <c r="B565" s="27" t="s">
        <v>2967</v>
      </c>
      <c r="C565" s="27" t="s">
        <v>2968</v>
      </c>
      <c r="D565" s="27">
        <v>2022</v>
      </c>
      <c r="E565" s="27" t="s">
        <v>48</v>
      </c>
      <c r="F565" s="27" t="s">
        <v>15</v>
      </c>
      <c r="G565" s="27"/>
      <c r="H565" s="27"/>
      <c r="I565" s="28" t="str">
        <f t="shared" si="16"/>
        <v/>
      </c>
      <c r="J565" s="27"/>
      <c r="K565" s="28" t="str">
        <f t="shared" si="17"/>
        <v/>
      </c>
      <c r="L565" s="27"/>
      <c r="M565" s="27"/>
      <c r="N565" s="27"/>
      <c r="O565" s="27"/>
      <c r="P565" s="27" t="s">
        <v>2969</v>
      </c>
      <c r="Q565" s="27" t="s">
        <v>2970</v>
      </c>
    </row>
    <row r="566" spans="1:17" ht="15" customHeight="1" x14ac:dyDescent="0.3">
      <c r="A566" s="27" t="s">
        <v>2971</v>
      </c>
      <c r="B566" s="27" t="s">
        <v>2972</v>
      </c>
      <c r="C566" s="27" t="s">
        <v>2973</v>
      </c>
      <c r="D566" s="27">
        <v>2026</v>
      </c>
      <c r="E566" s="27" t="s">
        <v>48</v>
      </c>
      <c r="F566" s="27" t="s">
        <v>11</v>
      </c>
      <c r="G566" s="27"/>
      <c r="H566" s="27"/>
      <c r="I566" s="28" t="str">
        <f t="shared" si="16"/>
        <v/>
      </c>
      <c r="J566" s="27"/>
      <c r="K566" s="28" t="str">
        <f t="shared" si="17"/>
        <v/>
      </c>
      <c r="L566" s="27"/>
      <c r="M566" s="27"/>
      <c r="N566" s="27"/>
      <c r="O566" s="27"/>
      <c r="P566" s="27" t="s">
        <v>2974</v>
      </c>
      <c r="Q566" s="27" t="s">
        <v>2975</v>
      </c>
    </row>
    <row r="567" spans="1:17" ht="15" customHeight="1" x14ac:dyDescent="0.3">
      <c r="A567" s="27" t="s">
        <v>2976</v>
      </c>
      <c r="B567" s="27" t="s">
        <v>2977</v>
      </c>
      <c r="C567" s="27" t="s">
        <v>2978</v>
      </c>
      <c r="D567" s="27">
        <v>2026</v>
      </c>
      <c r="E567" s="27" t="s">
        <v>48</v>
      </c>
      <c r="F567" s="27" t="s">
        <v>13</v>
      </c>
      <c r="G567" s="27"/>
      <c r="H567" s="27"/>
      <c r="I567" s="28" t="str">
        <f t="shared" si="16"/>
        <v/>
      </c>
      <c r="J567" s="27"/>
      <c r="K567" s="28" t="str">
        <f t="shared" si="17"/>
        <v/>
      </c>
      <c r="L567" s="27"/>
      <c r="M567" s="27"/>
      <c r="N567" s="27"/>
      <c r="O567" s="27"/>
      <c r="P567" s="27" t="s">
        <v>2979</v>
      </c>
      <c r="Q567" s="27" t="s">
        <v>2980</v>
      </c>
    </row>
    <row r="568" spans="1:17" ht="15" customHeight="1" x14ac:dyDescent="0.3">
      <c r="A568" s="27" t="s">
        <v>2981</v>
      </c>
      <c r="B568" s="27" t="s">
        <v>2982</v>
      </c>
      <c r="C568" s="27" t="s">
        <v>2983</v>
      </c>
      <c r="D568" s="27">
        <v>2026</v>
      </c>
      <c r="E568" s="27" t="s">
        <v>48</v>
      </c>
      <c r="F568" s="27" t="s">
        <v>15</v>
      </c>
      <c r="G568" s="27"/>
      <c r="H568" s="27"/>
      <c r="I568" s="28" t="str">
        <f t="shared" si="16"/>
        <v/>
      </c>
      <c r="J568" s="27"/>
      <c r="K568" s="28" t="str">
        <f t="shared" si="17"/>
        <v/>
      </c>
      <c r="L568" s="27"/>
      <c r="M568" s="27"/>
      <c r="N568" s="27"/>
      <c r="O568" s="27"/>
      <c r="P568" s="27" t="s">
        <v>2984</v>
      </c>
      <c r="Q568" s="27" t="s">
        <v>2985</v>
      </c>
    </row>
    <row r="569" spans="1:17" ht="15" customHeight="1" x14ac:dyDescent="0.3">
      <c r="A569" s="27" t="s">
        <v>2986</v>
      </c>
      <c r="B569" s="27" t="s">
        <v>2987</v>
      </c>
      <c r="C569" s="27" t="s">
        <v>2988</v>
      </c>
      <c r="D569" s="27">
        <v>2025</v>
      </c>
      <c r="E569" s="27" t="s">
        <v>48</v>
      </c>
      <c r="F569" s="27" t="s">
        <v>11</v>
      </c>
      <c r="G569" s="27"/>
      <c r="H569" s="27"/>
      <c r="I569" s="28" t="str">
        <f t="shared" si="16"/>
        <v/>
      </c>
      <c r="J569" s="27"/>
      <c r="K569" s="28" t="str">
        <f t="shared" si="17"/>
        <v/>
      </c>
      <c r="L569" s="27"/>
      <c r="M569" s="27"/>
      <c r="N569" s="27"/>
      <c r="O569" s="27"/>
      <c r="P569" s="27" t="s">
        <v>2989</v>
      </c>
      <c r="Q569" s="27" t="s">
        <v>2990</v>
      </c>
    </row>
    <row r="570" spans="1:17" ht="15" customHeight="1" x14ac:dyDescent="0.3">
      <c r="A570" s="27" t="s">
        <v>2991</v>
      </c>
      <c r="B570" s="27" t="s">
        <v>2992</v>
      </c>
      <c r="C570" s="27" t="s">
        <v>2993</v>
      </c>
      <c r="D570" s="27">
        <v>2017</v>
      </c>
      <c r="E570" s="27" t="s">
        <v>48</v>
      </c>
      <c r="F570" s="27" t="s">
        <v>13</v>
      </c>
      <c r="G570" s="27"/>
      <c r="H570" s="27"/>
      <c r="I570" s="28" t="str">
        <f t="shared" si="16"/>
        <v/>
      </c>
      <c r="J570" s="27"/>
      <c r="K570" s="28" t="str">
        <f t="shared" si="17"/>
        <v/>
      </c>
      <c r="L570" s="27"/>
      <c r="M570" s="27"/>
      <c r="N570" s="27"/>
      <c r="O570" s="27"/>
      <c r="P570" s="27" t="s">
        <v>2994</v>
      </c>
      <c r="Q570" s="27" t="s">
        <v>2995</v>
      </c>
    </row>
    <row r="571" spans="1:17" ht="15" customHeight="1" x14ac:dyDescent="0.3">
      <c r="A571" s="27" t="s">
        <v>2996</v>
      </c>
      <c r="B571" s="27" t="s">
        <v>2997</v>
      </c>
      <c r="C571" s="27" t="s">
        <v>2998</v>
      </c>
      <c r="D571" s="27">
        <v>2026</v>
      </c>
      <c r="E571" s="27" t="s">
        <v>48</v>
      </c>
      <c r="F571" s="27" t="s">
        <v>15</v>
      </c>
      <c r="G571" s="27"/>
      <c r="H571" s="27"/>
      <c r="I571" s="28" t="str">
        <f t="shared" si="16"/>
        <v/>
      </c>
      <c r="J571" s="27"/>
      <c r="K571" s="28" t="str">
        <f t="shared" si="17"/>
        <v/>
      </c>
      <c r="L571" s="27"/>
      <c r="M571" s="27"/>
      <c r="N571" s="27"/>
      <c r="O571" s="27"/>
      <c r="P571" s="27" t="s">
        <v>2999</v>
      </c>
      <c r="Q571" s="27" t="s">
        <v>3000</v>
      </c>
    </row>
    <row r="572" spans="1:17" ht="15" customHeight="1" x14ac:dyDescent="0.3">
      <c r="A572" s="27" t="s">
        <v>3001</v>
      </c>
      <c r="B572" s="27" t="s">
        <v>3002</v>
      </c>
      <c r="C572" s="27" t="s">
        <v>3003</v>
      </c>
      <c r="D572" s="27">
        <v>2025</v>
      </c>
      <c r="E572" s="27" t="s">
        <v>48</v>
      </c>
      <c r="F572" s="27" t="s">
        <v>11</v>
      </c>
      <c r="G572" s="27"/>
      <c r="H572" s="27"/>
      <c r="I572" s="28" t="str">
        <f t="shared" si="16"/>
        <v/>
      </c>
      <c r="J572" s="27"/>
      <c r="K572" s="28" t="str">
        <f t="shared" si="17"/>
        <v/>
      </c>
      <c r="L572" s="27"/>
      <c r="M572" s="27"/>
      <c r="N572" s="27"/>
      <c r="O572" s="27"/>
      <c r="P572" s="27" t="s">
        <v>3004</v>
      </c>
      <c r="Q572" s="27" t="s">
        <v>3005</v>
      </c>
    </row>
    <row r="573" spans="1:17" ht="15" customHeight="1" x14ac:dyDescent="0.3">
      <c r="A573" s="27" t="s">
        <v>3006</v>
      </c>
      <c r="B573" s="27" t="s">
        <v>3007</v>
      </c>
      <c r="C573" s="27" t="s">
        <v>3008</v>
      </c>
      <c r="D573" s="27">
        <v>2024</v>
      </c>
      <c r="E573" s="27" t="s">
        <v>48</v>
      </c>
      <c r="F573" s="27" t="s">
        <v>13</v>
      </c>
      <c r="G573" s="27"/>
      <c r="H573" s="27"/>
      <c r="I573" s="28" t="str">
        <f t="shared" si="16"/>
        <v/>
      </c>
      <c r="J573" s="27"/>
      <c r="K573" s="28" t="str">
        <f t="shared" si="17"/>
        <v/>
      </c>
      <c r="L573" s="27"/>
      <c r="M573" s="27"/>
      <c r="N573" s="27"/>
      <c r="O573" s="27"/>
      <c r="P573" s="27" t="s">
        <v>3009</v>
      </c>
      <c r="Q573" s="27" t="s">
        <v>3010</v>
      </c>
    </row>
    <row r="574" spans="1:17" ht="15" customHeight="1" x14ac:dyDescent="0.3">
      <c r="A574" s="27" t="s">
        <v>3011</v>
      </c>
      <c r="B574" s="27" t="s">
        <v>3012</v>
      </c>
      <c r="C574" s="27" t="s">
        <v>3013</v>
      </c>
      <c r="D574" s="27">
        <v>2026</v>
      </c>
      <c r="E574" s="27" t="s">
        <v>48</v>
      </c>
      <c r="F574" s="27" t="s">
        <v>15</v>
      </c>
      <c r="G574" s="27"/>
      <c r="H574" s="27"/>
      <c r="I574" s="28" t="str">
        <f t="shared" si="16"/>
        <v/>
      </c>
      <c r="J574" s="27"/>
      <c r="K574" s="28" t="str">
        <f t="shared" si="17"/>
        <v/>
      </c>
      <c r="L574" s="27"/>
      <c r="M574" s="27"/>
      <c r="N574" s="27"/>
      <c r="O574" s="27"/>
      <c r="P574" s="27" t="s">
        <v>3014</v>
      </c>
      <c r="Q574" s="27" t="s">
        <v>3015</v>
      </c>
    </row>
    <row r="575" spans="1:17" ht="15" customHeight="1" x14ac:dyDescent="0.3">
      <c r="A575" s="27" t="s">
        <v>3016</v>
      </c>
      <c r="B575" s="27" t="s">
        <v>3017</v>
      </c>
      <c r="C575" s="27" t="s">
        <v>3018</v>
      </c>
      <c r="D575" s="27">
        <v>2025</v>
      </c>
      <c r="E575" s="27" t="s">
        <v>48</v>
      </c>
      <c r="F575" s="27" t="s">
        <v>11</v>
      </c>
      <c r="G575" s="27"/>
      <c r="H575" s="27"/>
      <c r="I575" s="28" t="str">
        <f t="shared" si="16"/>
        <v/>
      </c>
      <c r="J575" s="27"/>
      <c r="K575" s="28" t="str">
        <f t="shared" si="17"/>
        <v/>
      </c>
      <c r="L575" s="27"/>
      <c r="M575" s="27"/>
      <c r="N575" s="27"/>
      <c r="O575" s="27"/>
      <c r="P575" s="27" t="s">
        <v>3019</v>
      </c>
      <c r="Q575" s="27" t="s">
        <v>3020</v>
      </c>
    </row>
    <row r="576" spans="1:17" ht="15" customHeight="1" x14ac:dyDescent="0.3">
      <c r="A576" s="27" t="s">
        <v>3021</v>
      </c>
      <c r="B576" s="27" t="s">
        <v>3022</v>
      </c>
      <c r="C576" s="27" t="s">
        <v>3023</v>
      </c>
      <c r="D576" s="27">
        <v>2023</v>
      </c>
      <c r="E576" s="27" t="s">
        <v>48</v>
      </c>
      <c r="F576" s="27" t="s">
        <v>13</v>
      </c>
      <c r="G576" s="27"/>
      <c r="H576" s="27"/>
      <c r="I576" s="28" t="str">
        <f t="shared" si="16"/>
        <v/>
      </c>
      <c r="J576" s="27"/>
      <c r="K576" s="28" t="str">
        <f t="shared" si="17"/>
        <v/>
      </c>
      <c r="L576" s="27"/>
      <c r="M576" s="27"/>
      <c r="N576" s="27"/>
      <c r="O576" s="27"/>
      <c r="P576" s="27" t="s">
        <v>3024</v>
      </c>
      <c r="Q576" s="27" t="s">
        <v>3025</v>
      </c>
    </row>
    <row r="577" spans="1:17" ht="15" customHeight="1" x14ac:dyDescent="0.3">
      <c r="A577" s="27" t="s">
        <v>3026</v>
      </c>
      <c r="B577" s="27" t="s">
        <v>3027</v>
      </c>
      <c r="C577" s="27" t="s">
        <v>3028</v>
      </c>
      <c r="D577" s="27">
        <v>2024</v>
      </c>
      <c r="E577" s="27" t="s">
        <v>48</v>
      </c>
      <c r="F577" s="27" t="s">
        <v>15</v>
      </c>
      <c r="G577" s="27"/>
      <c r="H577" s="27"/>
      <c r="I577" s="28" t="str">
        <f t="shared" si="16"/>
        <v/>
      </c>
      <c r="J577" s="27"/>
      <c r="K577" s="28" t="str">
        <f t="shared" si="17"/>
        <v/>
      </c>
      <c r="L577" s="27"/>
      <c r="M577" s="27"/>
      <c r="N577" s="27"/>
      <c r="O577" s="27"/>
      <c r="P577" s="27" t="s">
        <v>3029</v>
      </c>
      <c r="Q577" s="27" t="s">
        <v>3030</v>
      </c>
    </row>
    <row r="578" spans="1:17" ht="15" customHeight="1" x14ac:dyDescent="0.3">
      <c r="A578" s="27" t="s">
        <v>3031</v>
      </c>
      <c r="B578" s="27" t="s">
        <v>3032</v>
      </c>
      <c r="C578" s="27" t="s">
        <v>3033</v>
      </c>
      <c r="D578" s="27">
        <v>2025</v>
      </c>
      <c r="E578" s="27" t="s">
        <v>48</v>
      </c>
      <c r="F578" s="27" t="s">
        <v>11</v>
      </c>
      <c r="G578" s="27"/>
      <c r="H578" s="27"/>
      <c r="I578" s="28" t="str">
        <f t="shared" ref="I578:I641" si="18">IF(OR(G578="",H578=""),"",IF(G578=H578,"Yes","No"))</f>
        <v/>
      </c>
      <c r="J578" s="27"/>
      <c r="K578" s="28" t="str">
        <f t="shared" ref="K578:K641" si="19">IF(OR(E578="Snowballing",E578="Other sources"),"n/a",IF(AND(G578="",H578=""),"",IF(OR(G578="",H578=""),"Waiting",IF(G578=H578,G578,IF(AND(G578&lt;&gt;"Exclude",H578&lt;&gt;"Exclude"),"Maybe",IF(J578&lt;&gt;"",J578,"Pending"))))))</f>
        <v/>
      </c>
      <c r="L578" s="27"/>
      <c r="M578" s="27"/>
      <c r="N578" s="27"/>
      <c r="O578" s="27"/>
      <c r="P578" s="27" t="s">
        <v>3034</v>
      </c>
      <c r="Q578" s="27" t="s">
        <v>3035</v>
      </c>
    </row>
    <row r="579" spans="1:17" ht="15" customHeight="1" x14ac:dyDescent="0.3">
      <c r="A579" s="27" t="s">
        <v>3036</v>
      </c>
      <c r="B579" s="27" t="s">
        <v>3037</v>
      </c>
      <c r="C579" s="27" t="s">
        <v>3038</v>
      </c>
      <c r="D579" s="27">
        <v>2023</v>
      </c>
      <c r="E579" s="27" t="s">
        <v>48</v>
      </c>
      <c r="F579" s="27" t="s">
        <v>13</v>
      </c>
      <c r="G579" s="27"/>
      <c r="H579" s="27"/>
      <c r="I579" s="28" t="str">
        <f t="shared" si="18"/>
        <v/>
      </c>
      <c r="J579" s="27"/>
      <c r="K579" s="28" t="str">
        <f t="shared" si="19"/>
        <v/>
      </c>
      <c r="L579" s="27"/>
      <c r="M579" s="27"/>
      <c r="N579" s="27"/>
      <c r="O579" s="27"/>
      <c r="P579" s="27" t="s">
        <v>3039</v>
      </c>
      <c r="Q579" s="27" t="s">
        <v>3040</v>
      </c>
    </row>
    <row r="580" spans="1:17" ht="15" customHeight="1" x14ac:dyDescent="0.3">
      <c r="A580" s="27" t="s">
        <v>3041</v>
      </c>
      <c r="B580" s="27" t="s">
        <v>3042</v>
      </c>
      <c r="C580" s="27" t="s">
        <v>3043</v>
      </c>
      <c r="D580" s="27">
        <v>2024</v>
      </c>
      <c r="E580" s="27" t="s">
        <v>48</v>
      </c>
      <c r="F580" s="27" t="s">
        <v>15</v>
      </c>
      <c r="G580" s="27"/>
      <c r="H580" s="27"/>
      <c r="I580" s="28" t="str">
        <f t="shared" si="18"/>
        <v/>
      </c>
      <c r="J580" s="27"/>
      <c r="K580" s="28" t="str">
        <f t="shared" si="19"/>
        <v/>
      </c>
      <c r="L580" s="27"/>
      <c r="M580" s="27"/>
      <c r="N580" s="27"/>
      <c r="O580" s="27"/>
      <c r="P580" s="27" t="s">
        <v>3044</v>
      </c>
      <c r="Q580" s="27" t="s">
        <v>3045</v>
      </c>
    </row>
    <row r="581" spans="1:17" ht="15" customHeight="1" x14ac:dyDescent="0.3">
      <c r="A581" s="27" t="s">
        <v>3046</v>
      </c>
      <c r="B581" s="27" t="s">
        <v>3047</v>
      </c>
      <c r="C581" s="27" t="s">
        <v>3048</v>
      </c>
      <c r="D581" s="27">
        <v>2025</v>
      </c>
      <c r="E581" s="27" t="s">
        <v>48</v>
      </c>
      <c r="F581" s="27" t="s">
        <v>11</v>
      </c>
      <c r="G581" s="27"/>
      <c r="H581" s="27"/>
      <c r="I581" s="28" t="str">
        <f t="shared" si="18"/>
        <v/>
      </c>
      <c r="J581" s="27"/>
      <c r="K581" s="28" t="str">
        <f t="shared" si="19"/>
        <v/>
      </c>
      <c r="L581" s="27"/>
      <c r="M581" s="27"/>
      <c r="N581" s="27"/>
      <c r="O581" s="27"/>
      <c r="P581" s="27" t="s">
        <v>3049</v>
      </c>
      <c r="Q581" s="27" t="s">
        <v>3050</v>
      </c>
    </row>
    <row r="582" spans="1:17" ht="15" customHeight="1" x14ac:dyDescent="0.3">
      <c r="A582" s="27" t="s">
        <v>3051</v>
      </c>
      <c r="B582" s="27" t="s">
        <v>3052</v>
      </c>
      <c r="C582" s="27" t="s">
        <v>3053</v>
      </c>
      <c r="D582" s="27">
        <v>2023</v>
      </c>
      <c r="E582" s="27" t="s">
        <v>48</v>
      </c>
      <c r="F582" s="27" t="s">
        <v>13</v>
      </c>
      <c r="G582" s="27"/>
      <c r="H582" s="27"/>
      <c r="I582" s="28" t="str">
        <f t="shared" si="18"/>
        <v/>
      </c>
      <c r="J582" s="27"/>
      <c r="K582" s="28" t="str">
        <f t="shared" si="19"/>
        <v/>
      </c>
      <c r="L582" s="27"/>
      <c r="M582" s="27"/>
      <c r="N582" s="27"/>
      <c r="O582" s="27"/>
      <c r="P582" s="27" t="s">
        <v>3054</v>
      </c>
      <c r="Q582" s="27" t="s">
        <v>3055</v>
      </c>
    </row>
    <row r="583" spans="1:17" ht="15" customHeight="1" x14ac:dyDescent="0.3">
      <c r="A583" s="27" t="s">
        <v>3056</v>
      </c>
      <c r="B583" s="27" t="s">
        <v>3057</v>
      </c>
      <c r="C583" s="27" t="s">
        <v>3058</v>
      </c>
      <c r="D583" s="27">
        <v>2026</v>
      </c>
      <c r="E583" s="27" t="s">
        <v>48</v>
      </c>
      <c r="F583" s="27" t="s">
        <v>15</v>
      </c>
      <c r="G583" s="27"/>
      <c r="H583" s="27"/>
      <c r="I583" s="28" t="str">
        <f t="shared" si="18"/>
        <v/>
      </c>
      <c r="J583" s="27"/>
      <c r="K583" s="28" t="str">
        <f t="shared" si="19"/>
        <v/>
      </c>
      <c r="L583" s="27"/>
      <c r="M583" s="27"/>
      <c r="N583" s="27"/>
      <c r="O583" s="27"/>
      <c r="P583" s="27" t="s">
        <v>3059</v>
      </c>
      <c r="Q583" s="27" t="s">
        <v>3060</v>
      </c>
    </row>
    <row r="584" spans="1:17" ht="15" customHeight="1" x14ac:dyDescent="0.3">
      <c r="A584" s="27" t="s">
        <v>3061</v>
      </c>
      <c r="B584" s="27" t="s">
        <v>3062</v>
      </c>
      <c r="C584" s="27" t="s">
        <v>3063</v>
      </c>
      <c r="D584" s="27">
        <v>2025</v>
      </c>
      <c r="E584" s="27" t="s">
        <v>48</v>
      </c>
      <c r="F584" s="27" t="s">
        <v>11</v>
      </c>
      <c r="G584" s="27"/>
      <c r="H584" s="27"/>
      <c r="I584" s="28" t="str">
        <f t="shared" si="18"/>
        <v/>
      </c>
      <c r="J584" s="27"/>
      <c r="K584" s="28" t="str">
        <f t="shared" si="19"/>
        <v/>
      </c>
      <c r="L584" s="27"/>
      <c r="M584" s="27"/>
      <c r="N584" s="27"/>
      <c r="O584" s="27"/>
      <c r="P584" s="27" t="s">
        <v>3064</v>
      </c>
      <c r="Q584" s="27" t="s">
        <v>3065</v>
      </c>
    </row>
    <row r="585" spans="1:17" ht="15" customHeight="1" x14ac:dyDescent="0.3">
      <c r="A585" s="27" t="s">
        <v>3066</v>
      </c>
      <c r="B585" s="27" t="s">
        <v>3067</v>
      </c>
      <c r="C585" s="27" t="s">
        <v>3068</v>
      </c>
      <c r="D585" s="27">
        <v>2024</v>
      </c>
      <c r="E585" s="27" t="s">
        <v>48</v>
      </c>
      <c r="F585" s="27" t="s">
        <v>13</v>
      </c>
      <c r="G585" s="27"/>
      <c r="H585" s="27"/>
      <c r="I585" s="28" t="str">
        <f t="shared" si="18"/>
        <v/>
      </c>
      <c r="J585" s="27"/>
      <c r="K585" s="28" t="str">
        <f t="shared" si="19"/>
        <v/>
      </c>
      <c r="L585" s="27"/>
      <c r="M585" s="27"/>
      <c r="N585" s="27"/>
      <c r="O585" s="27"/>
      <c r="P585" s="27" t="s">
        <v>3069</v>
      </c>
      <c r="Q585" s="27" t="s">
        <v>3070</v>
      </c>
    </row>
    <row r="586" spans="1:17" ht="15" customHeight="1" x14ac:dyDescent="0.3">
      <c r="A586" s="27" t="s">
        <v>3071</v>
      </c>
      <c r="B586" s="27" t="s">
        <v>3072</v>
      </c>
      <c r="C586" s="27" t="s">
        <v>3073</v>
      </c>
      <c r="D586" s="27">
        <v>2026</v>
      </c>
      <c r="E586" s="27" t="s">
        <v>48</v>
      </c>
      <c r="F586" s="27" t="s">
        <v>15</v>
      </c>
      <c r="G586" s="27"/>
      <c r="H586" s="27"/>
      <c r="I586" s="28" t="str">
        <f t="shared" si="18"/>
        <v/>
      </c>
      <c r="J586" s="27"/>
      <c r="K586" s="28" t="str">
        <f t="shared" si="19"/>
        <v/>
      </c>
      <c r="L586" s="27"/>
      <c r="M586" s="27"/>
      <c r="N586" s="27"/>
      <c r="O586" s="27"/>
      <c r="P586" s="27" t="s">
        <v>3074</v>
      </c>
      <c r="Q586" s="27" t="s">
        <v>3075</v>
      </c>
    </row>
    <row r="587" spans="1:17" ht="15" customHeight="1" x14ac:dyDescent="0.3">
      <c r="A587" s="27" t="s">
        <v>3076</v>
      </c>
      <c r="B587" s="27" t="s">
        <v>3077</v>
      </c>
      <c r="C587" s="27" t="s">
        <v>3078</v>
      </c>
      <c r="D587" s="27">
        <v>2025</v>
      </c>
      <c r="E587" s="27" t="s">
        <v>48</v>
      </c>
      <c r="F587" s="27" t="s">
        <v>11</v>
      </c>
      <c r="G587" s="27"/>
      <c r="H587" s="27"/>
      <c r="I587" s="28" t="str">
        <f t="shared" si="18"/>
        <v/>
      </c>
      <c r="J587" s="27"/>
      <c r="K587" s="28" t="str">
        <f t="shared" si="19"/>
        <v/>
      </c>
      <c r="L587" s="27"/>
      <c r="M587" s="27"/>
      <c r="N587" s="27"/>
      <c r="O587" s="27"/>
      <c r="P587" s="27" t="s">
        <v>3079</v>
      </c>
      <c r="Q587" s="27" t="s">
        <v>3080</v>
      </c>
    </row>
    <row r="588" spans="1:17" ht="15" customHeight="1" x14ac:dyDescent="0.3">
      <c r="A588" s="27" t="s">
        <v>3081</v>
      </c>
      <c r="B588" s="27" t="s">
        <v>3082</v>
      </c>
      <c r="C588" s="27" t="s">
        <v>3083</v>
      </c>
      <c r="D588" s="27">
        <v>2025</v>
      </c>
      <c r="E588" s="27" t="s">
        <v>48</v>
      </c>
      <c r="F588" s="27" t="s">
        <v>13</v>
      </c>
      <c r="G588" s="27"/>
      <c r="H588" s="27"/>
      <c r="I588" s="28" t="str">
        <f t="shared" si="18"/>
        <v/>
      </c>
      <c r="J588" s="27"/>
      <c r="K588" s="28" t="str">
        <f t="shared" si="19"/>
        <v/>
      </c>
      <c r="L588" s="27"/>
      <c r="M588" s="27"/>
      <c r="N588" s="27"/>
      <c r="O588" s="27"/>
      <c r="P588" s="27" t="s">
        <v>3084</v>
      </c>
      <c r="Q588" s="27" t="s">
        <v>3085</v>
      </c>
    </row>
    <row r="589" spans="1:17" ht="15" customHeight="1" x14ac:dyDescent="0.3">
      <c r="A589" s="27" t="s">
        <v>3086</v>
      </c>
      <c r="B589" s="27" t="s">
        <v>3087</v>
      </c>
      <c r="C589" s="27" t="s">
        <v>3088</v>
      </c>
      <c r="D589" s="27">
        <v>2026</v>
      </c>
      <c r="E589" s="27" t="s">
        <v>48</v>
      </c>
      <c r="F589" s="27" t="s">
        <v>15</v>
      </c>
      <c r="G589" s="27"/>
      <c r="H589" s="27"/>
      <c r="I589" s="28" t="str">
        <f t="shared" si="18"/>
        <v/>
      </c>
      <c r="J589" s="27"/>
      <c r="K589" s="28" t="str">
        <f t="shared" si="19"/>
        <v/>
      </c>
      <c r="L589" s="27"/>
      <c r="M589" s="27"/>
      <c r="N589" s="27"/>
      <c r="O589" s="27"/>
      <c r="P589" s="27" t="s">
        <v>3089</v>
      </c>
      <c r="Q589" s="27" t="s">
        <v>3090</v>
      </c>
    </row>
    <row r="590" spans="1:17" ht="15" customHeight="1" x14ac:dyDescent="0.3">
      <c r="A590" s="27" t="s">
        <v>3091</v>
      </c>
      <c r="B590" s="27" t="s">
        <v>3092</v>
      </c>
      <c r="C590" s="27" t="s">
        <v>3093</v>
      </c>
      <c r="D590" s="27">
        <v>2025</v>
      </c>
      <c r="E590" s="27" t="s">
        <v>48</v>
      </c>
      <c r="F590" s="27" t="s">
        <v>11</v>
      </c>
      <c r="G590" s="27"/>
      <c r="H590" s="27"/>
      <c r="I590" s="28" t="str">
        <f t="shared" si="18"/>
        <v/>
      </c>
      <c r="J590" s="27"/>
      <c r="K590" s="28" t="str">
        <f t="shared" si="19"/>
        <v/>
      </c>
      <c r="L590" s="27"/>
      <c r="M590" s="27"/>
      <c r="N590" s="27"/>
      <c r="O590" s="27"/>
      <c r="P590" s="27" t="s">
        <v>3094</v>
      </c>
      <c r="Q590" s="27" t="s">
        <v>3095</v>
      </c>
    </row>
    <row r="591" spans="1:17" ht="15" customHeight="1" x14ac:dyDescent="0.3">
      <c r="A591" s="27" t="s">
        <v>3096</v>
      </c>
      <c r="B591" s="27" t="s">
        <v>3097</v>
      </c>
      <c r="C591" s="27" t="s">
        <v>3098</v>
      </c>
      <c r="D591" s="27">
        <v>2025</v>
      </c>
      <c r="E591" s="27" t="s">
        <v>48</v>
      </c>
      <c r="F591" s="27" t="s">
        <v>13</v>
      </c>
      <c r="G591" s="27"/>
      <c r="H591" s="27"/>
      <c r="I591" s="28" t="str">
        <f t="shared" si="18"/>
        <v/>
      </c>
      <c r="J591" s="27"/>
      <c r="K591" s="28" t="str">
        <f t="shared" si="19"/>
        <v/>
      </c>
      <c r="L591" s="27"/>
      <c r="M591" s="27"/>
      <c r="N591" s="27"/>
      <c r="O591" s="27"/>
      <c r="P591" s="27" t="s">
        <v>3099</v>
      </c>
      <c r="Q591" s="27" t="s">
        <v>3100</v>
      </c>
    </row>
    <row r="592" spans="1:17" ht="15" customHeight="1" x14ac:dyDescent="0.3">
      <c r="A592" s="27" t="s">
        <v>3101</v>
      </c>
      <c r="B592" s="27" t="s">
        <v>3102</v>
      </c>
      <c r="C592" s="27" t="s">
        <v>3103</v>
      </c>
      <c r="D592" s="27">
        <v>2023</v>
      </c>
      <c r="E592" s="27" t="s">
        <v>48</v>
      </c>
      <c r="F592" s="27" t="s">
        <v>15</v>
      </c>
      <c r="G592" s="27"/>
      <c r="H592" s="27"/>
      <c r="I592" s="28" t="str">
        <f t="shared" si="18"/>
        <v/>
      </c>
      <c r="J592" s="27"/>
      <c r="K592" s="28" t="str">
        <f t="shared" si="19"/>
        <v/>
      </c>
      <c r="L592" s="27"/>
      <c r="M592" s="27"/>
      <c r="N592" s="27"/>
      <c r="O592" s="27"/>
      <c r="P592" s="27" t="s">
        <v>3104</v>
      </c>
      <c r="Q592" s="27" t="s">
        <v>3105</v>
      </c>
    </row>
    <row r="593" spans="1:17" ht="15" customHeight="1" x14ac:dyDescent="0.3">
      <c r="A593" s="27" t="s">
        <v>3106</v>
      </c>
      <c r="B593" s="27" t="s">
        <v>3107</v>
      </c>
      <c r="C593" s="27" t="s">
        <v>3108</v>
      </c>
      <c r="D593" s="27">
        <v>2022</v>
      </c>
      <c r="E593" s="27" t="s">
        <v>48</v>
      </c>
      <c r="F593" s="27" t="s">
        <v>11</v>
      </c>
      <c r="G593" s="27"/>
      <c r="H593" s="27"/>
      <c r="I593" s="28" t="str">
        <f t="shared" si="18"/>
        <v/>
      </c>
      <c r="J593" s="27"/>
      <c r="K593" s="28" t="str">
        <f t="shared" si="19"/>
        <v/>
      </c>
      <c r="L593" s="27"/>
      <c r="M593" s="27"/>
      <c r="N593" s="27"/>
      <c r="O593" s="27"/>
      <c r="P593" s="27" t="s">
        <v>3109</v>
      </c>
      <c r="Q593" s="27" t="s">
        <v>3110</v>
      </c>
    </row>
    <row r="594" spans="1:17" ht="15" customHeight="1" x14ac:dyDescent="0.3">
      <c r="A594" s="27" t="s">
        <v>3111</v>
      </c>
      <c r="B594" s="27" t="s">
        <v>3112</v>
      </c>
      <c r="C594" s="27" t="s">
        <v>3113</v>
      </c>
      <c r="D594" s="27">
        <v>2025</v>
      </c>
      <c r="E594" s="27" t="s">
        <v>48</v>
      </c>
      <c r="F594" s="27" t="s">
        <v>13</v>
      </c>
      <c r="G594" s="27"/>
      <c r="H594" s="27"/>
      <c r="I594" s="28" t="str">
        <f t="shared" si="18"/>
        <v/>
      </c>
      <c r="J594" s="27"/>
      <c r="K594" s="28" t="str">
        <f t="shared" si="19"/>
        <v/>
      </c>
      <c r="L594" s="27"/>
      <c r="M594" s="27"/>
      <c r="N594" s="27"/>
      <c r="O594" s="27"/>
      <c r="P594" s="27" t="s">
        <v>3114</v>
      </c>
      <c r="Q594" s="27" t="s">
        <v>3115</v>
      </c>
    </row>
    <row r="595" spans="1:17" ht="15" customHeight="1" x14ac:dyDescent="0.3">
      <c r="A595" s="27" t="s">
        <v>3116</v>
      </c>
      <c r="B595" s="27" t="s">
        <v>3117</v>
      </c>
      <c r="C595" s="27" t="s">
        <v>3118</v>
      </c>
      <c r="D595" s="27">
        <v>2025</v>
      </c>
      <c r="E595" s="27" t="s">
        <v>48</v>
      </c>
      <c r="F595" s="27" t="s">
        <v>15</v>
      </c>
      <c r="G595" s="27"/>
      <c r="H595" s="27"/>
      <c r="I595" s="28" t="str">
        <f t="shared" si="18"/>
        <v/>
      </c>
      <c r="J595" s="27"/>
      <c r="K595" s="28" t="str">
        <f t="shared" si="19"/>
        <v/>
      </c>
      <c r="L595" s="27"/>
      <c r="M595" s="27"/>
      <c r="N595" s="27"/>
      <c r="O595" s="27"/>
      <c r="P595" s="27" t="s">
        <v>3119</v>
      </c>
      <c r="Q595" s="27" t="s">
        <v>3120</v>
      </c>
    </row>
    <row r="596" spans="1:17" ht="15" customHeight="1" x14ac:dyDescent="0.3">
      <c r="A596" s="27" t="s">
        <v>3121</v>
      </c>
      <c r="B596" s="27" t="s">
        <v>3122</v>
      </c>
      <c r="C596" s="27" t="s">
        <v>3123</v>
      </c>
      <c r="D596" s="27">
        <v>2024</v>
      </c>
      <c r="E596" s="27" t="s">
        <v>48</v>
      </c>
      <c r="F596" s="27" t="s">
        <v>11</v>
      </c>
      <c r="G596" s="27"/>
      <c r="H596" s="27"/>
      <c r="I596" s="28" t="str">
        <f t="shared" si="18"/>
        <v/>
      </c>
      <c r="J596" s="27"/>
      <c r="K596" s="28" t="str">
        <f t="shared" si="19"/>
        <v/>
      </c>
      <c r="L596" s="27"/>
      <c r="M596" s="27"/>
      <c r="N596" s="27"/>
      <c r="O596" s="27"/>
      <c r="P596" s="27" t="s">
        <v>3124</v>
      </c>
      <c r="Q596" s="27" t="s">
        <v>3125</v>
      </c>
    </row>
    <row r="597" spans="1:17" ht="15" customHeight="1" x14ac:dyDescent="0.3">
      <c r="A597" s="27" t="s">
        <v>3126</v>
      </c>
      <c r="B597" s="27" t="s">
        <v>3127</v>
      </c>
      <c r="C597" s="27" t="s">
        <v>3128</v>
      </c>
      <c r="D597" s="27">
        <v>2019</v>
      </c>
      <c r="E597" s="27" t="s">
        <v>48</v>
      </c>
      <c r="F597" s="27" t="s">
        <v>13</v>
      </c>
      <c r="G597" s="27"/>
      <c r="H597" s="27"/>
      <c r="I597" s="28" t="str">
        <f t="shared" si="18"/>
        <v/>
      </c>
      <c r="J597" s="27"/>
      <c r="K597" s="28" t="str">
        <f t="shared" si="19"/>
        <v/>
      </c>
      <c r="L597" s="27"/>
      <c r="M597" s="27"/>
      <c r="N597" s="27"/>
      <c r="O597" s="27"/>
      <c r="P597" s="27" t="s">
        <v>3129</v>
      </c>
      <c r="Q597" s="27" t="s">
        <v>3130</v>
      </c>
    </row>
    <row r="598" spans="1:17" ht="15" customHeight="1" x14ac:dyDescent="0.3">
      <c r="A598" s="27" t="s">
        <v>3131</v>
      </c>
      <c r="B598" s="27" t="s">
        <v>3132</v>
      </c>
      <c r="C598" s="27" t="s">
        <v>3133</v>
      </c>
      <c r="D598" s="27">
        <v>2025</v>
      </c>
      <c r="E598" s="27" t="s">
        <v>48</v>
      </c>
      <c r="F598" s="27" t="s">
        <v>15</v>
      </c>
      <c r="G598" s="27"/>
      <c r="H598" s="27"/>
      <c r="I598" s="28" t="str">
        <f t="shared" si="18"/>
        <v/>
      </c>
      <c r="J598" s="27"/>
      <c r="K598" s="28" t="str">
        <f t="shared" si="19"/>
        <v/>
      </c>
      <c r="L598" s="27"/>
      <c r="M598" s="27"/>
      <c r="N598" s="27"/>
      <c r="O598" s="27"/>
      <c r="P598" s="27" t="s">
        <v>3134</v>
      </c>
      <c r="Q598" s="27" t="s">
        <v>3135</v>
      </c>
    </row>
    <row r="599" spans="1:17" ht="15" customHeight="1" x14ac:dyDescent="0.3">
      <c r="A599" s="27" t="s">
        <v>3136</v>
      </c>
      <c r="B599" s="27" t="s">
        <v>3137</v>
      </c>
      <c r="C599" s="27" t="s">
        <v>3138</v>
      </c>
      <c r="D599" s="27">
        <v>2025</v>
      </c>
      <c r="E599" s="27" t="s">
        <v>48</v>
      </c>
      <c r="F599" s="27" t="s">
        <v>11</v>
      </c>
      <c r="G599" s="27"/>
      <c r="H599" s="27"/>
      <c r="I599" s="28" t="str">
        <f t="shared" si="18"/>
        <v/>
      </c>
      <c r="J599" s="27"/>
      <c r="K599" s="28" t="str">
        <f t="shared" si="19"/>
        <v/>
      </c>
      <c r="L599" s="27"/>
      <c r="M599" s="27"/>
      <c r="N599" s="27"/>
      <c r="O599" s="27"/>
      <c r="P599" s="27" t="s">
        <v>3139</v>
      </c>
      <c r="Q599" s="27" t="s">
        <v>3140</v>
      </c>
    </row>
    <row r="600" spans="1:17" ht="15" customHeight="1" x14ac:dyDescent="0.3">
      <c r="A600" s="27" t="s">
        <v>3141</v>
      </c>
      <c r="B600" s="27" t="s">
        <v>3142</v>
      </c>
      <c r="C600" s="27" t="s">
        <v>3143</v>
      </c>
      <c r="D600" s="27">
        <v>2026</v>
      </c>
      <c r="E600" s="27" t="s">
        <v>48</v>
      </c>
      <c r="F600" s="27" t="s">
        <v>13</v>
      </c>
      <c r="G600" s="27"/>
      <c r="H600" s="27"/>
      <c r="I600" s="28" t="str">
        <f t="shared" si="18"/>
        <v/>
      </c>
      <c r="J600" s="27"/>
      <c r="K600" s="28" t="str">
        <f t="shared" si="19"/>
        <v/>
      </c>
      <c r="L600" s="27"/>
      <c r="M600" s="27"/>
      <c r="N600" s="27"/>
      <c r="O600" s="27"/>
      <c r="P600" s="27" t="s">
        <v>3144</v>
      </c>
      <c r="Q600" s="27" t="s">
        <v>3145</v>
      </c>
    </row>
    <row r="601" spans="1:17" ht="15" customHeight="1" x14ac:dyDescent="0.3">
      <c r="A601" s="27" t="s">
        <v>3146</v>
      </c>
      <c r="B601" s="27" t="s">
        <v>3147</v>
      </c>
      <c r="C601" s="27" t="s">
        <v>3148</v>
      </c>
      <c r="D601" s="27">
        <v>2024</v>
      </c>
      <c r="E601" s="27" t="s">
        <v>48</v>
      </c>
      <c r="F601" s="27" t="s">
        <v>15</v>
      </c>
      <c r="G601" s="27"/>
      <c r="H601" s="27"/>
      <c r="I601" s="28" t="str">
        <f t="shared" si="18"/>
        <v/>
      </c>
      <c r="J601" s="27"/>
      <c r="K601" s="28" t="str">
        <f t="shared" si="19"/>
        <v/>
      </c>
      <c r="L601" s="27"/>
      <c r="M601" s="27"/>
      <c r="N601" s="27"/>
      <c r="O601" s="27"/>
      <c r="P601" s="27" t="s">
        <v>3149</v>
      </c>
      <c r="Q601" s="27" t="s">
        <v>3150</v>
      </c>
    </row>
    <row r="602" spans="1:17" ht="15" customHeight="1" x14ac:dyDescent="0.3">
      <c r="A602" s="27" t="s">
        <v>3151</v>
      </c>
      <c r="B602" s="27" t="s">
        <v>3152</v>
      </c>
      <c r="C602" s="27" t="s">
        <v>3153</v>
      </c>
      <c r="D602" s="27">
        <v>2025</v>
      </c>
      <c r="E602" s="27" t="s">
        <v>48</v>
      </c>
      <c r="F602" s="27" t="s">
        <v>11</v>
      </c>
      <c r="G602" s="27"/>
      <c r="H602" s="27"/>
      <c r="I602" s="28" t="str">
        <f t="shared" si="18"/>
        <v/>
      </c>
      <c r="J602" s="27"/>
      <c r="K602" s="28" t="str">
        <f t="shared" si="19"/>
        <v/>
      </c>
      <c r="L602" s="27"/>
      <c r="M602" s="27"/>
      <c r="N602" s="27"/>
      <c r="O602" s="27"/>
      <c r="P602" s="27" t="s">
        <v>3154</v>
      </c>
      <c r="Q602" s="27" t="s">
        <v>3155</v>
      </c>
    </row>
    <row r="603" spans="1:17" ht="15" customHeight="1" x14ac:dyDescent="0.3">
      <c r="A603" s="27" t="s">
        <v>3156</v>
      </c>
      <c r="B603" s="27" t="s">
        <v>3157</v>
      </c>
      <c r="C603" s="27" t="s">
        <v>3158</v>
      </c>
      <c r="D603" s="27">
        <v>2026</v>
      </c>
      <c r="E603" s="27" t="s">
        <v>48</v>
      </c>
      <c r="F603" s="27" t="s">
        <v>13</v>
      </c>
      <c r="G603" s="27"/>
      <c r="H603" s="27"/>
      <c r="I603" s="28" t="str">
        <f t="shared" si="18"/>
        <v/>
      </c>
      <c r="J603" s="27"/>
      <c r="K603" s="28" t="str">
        <f t="shared" si="19"/>
        <v/>
      </c>
      <c r="L603" s="27"/>
      <c r="M603" s="27"/>
      <c r="N603" s="27"/>
      <c r="O603" s="27"/>
      <c r="P603" s="27" t="s">
        <v>3159</v>
      </c>
      <c r="Q603" s="27" t="s">
        <v>3160</v>
      </c>
    </row>
    <row r="604" spans="1:17" ht="15" customHeight="1" x14ac:dyDescent="0.3">
      <c r="A604" s="27" t="s">
        <v>3161</v>
      </c>
      <c r="B604" s="27" t="s">
        <v>3162</v>
      </c>
      <c r="C604" s="27" t="s">
        <v>848</v>
      </c>
      <c r="D604" s="27">
        <v>2026</v>
      </c>
      <c r="E604" s="27" t="s">
        <v>48</v>
      </c>
      <c r="F604" s="27" t="s">
        <v>15</v>
      </c>
      <c r="G604" s="27"/>
      <c r="H604" s="27"/>
      <c r="I604" s="28" t="str">
        <f t="shared" si="18"/>
        <v/>
      </c>
      <c r="J604" s="27"/>
      <c r="K604" s="28" t="str">
        <f t="shared" si="19"/>
        <v/>
      </c>
      <c r="L604" s="27"/>
      <c r="M604" s="27"/>
      <c r="N604" s="27"/>
      <c r="O604" s="27"/>
      <c r="P604" s="27" t="s">
        <v>3163</v>
      </c>
      <c r="Q604" s="27" t="s">
        <v>3164</v>
      </c>
    </row>
    <row r="605" spans="1:17" ht="15" customHeight="1" x14ac:dyDescent="0.3">
      <c r="A605" s="27" t="s">
        <v>3165</v>
      </c>
      <c r="B605" s="27" t="s">
        <v>3166</v>
      </c>
      <c r="C605" s="27" t="s">
        <v>3167</v>
      </c>
      <c r="D605" s="27">
        <v>2025</v>
      </c>
      <c r="E605" s="27" t="s">
        <v>48</v>
      </c>
      <c r="F605" s="27" t="s">
        <v>11</v>
      </c>
      <c r="G605" s="27"/>
      <c r="H605" s="27"/>
      <c r="I605" s="28" t="str">
        <f t="shared" si="18"/>
        <v/>
      </c>
      <c r="J605" s="27"/>
      <c r="K605" s="28" t="str">
        <f t="shared" si="19"/>
        <v/>
      </c>
      <c r="L605" s="27"/>
      <c r="M605" s="27"/>
      <c r="N605" s="27"/>
      <c r="O605" s="27"/>
      <c r="P605" s="27" t="s">
        <v>3168</v>
      </c>
      <c r="Q605" s="27" t="s">
        <v>3169</v>
      </c>
    </row>
    <row r="606" spans="1:17" ht="15" customHeight="1" x14ac:dyDescent="0.3">
      <c r="A606" s="27" t="s">
        <v>3170</v>
      </c>
      <c r="B606" s="27" t="s">
        <v>3171</v>
      </c>
      <c r="C606" s="27" t="s">
        <v>3172</v>
      </c>
      <c r="D606" s="27">
        <v>2022</v>
      </c>
      <c r="E606" s="27" t="s">
        <v>48</v>
      </c>
      <c r="F606" s="27" t="s">
        <v>13</v>
      </c>
      <c r="G606" s="27"/>
      <c r="H606" s="27"/>
      <c r="I606" s="28" t="str">
        <f t="shared" si="18"/>
        <v/>
      </c>
      <c r="J606" s="27"/>
      <c r="K606" s="28" t="str">
        <f t="shared" si="19"/>
        <v/>
      </c>
      <c r="L606" s="27"/>
      <c r="M606" s="27"/>
      <c r="N606" s="27"/>
      <c r="O606" s="27"/>
      <c r="P606" s="27" t="s">
        <v>3173</v>
      </c>
      <c r="Q606" s="27" t="s">
        <v>3174</v>
      </c>
    </row>
    <row r="607" spans="1:17" ht="15" customHeight="1" x14ac:dyDescent="0.3">
      <c r="A607" s="27" t="s">
        <v>3175</v>
      </c>
      <c r="B607" s="27" t="s">
        <v>3176</v>
      </c>
      <c r="C607" s="27" t="s">
        <v>3177</v>
      </c>
      <c r="D607" s="27">
        <v>2022</v>
      </c>
      <c r="E607" s="27" t="s">
        <v>48</v>
      </c>
      <c r="F607" s="27" t="s">
        <v>15</v>
      </c>
      <c r="G607" s="27"/>
      <c r="H607" s="27"/>
      <c r="I607" s="28" t="str">
        <f t="shared" si="18"/>
        <v/>
      </c>
      <c r="J607" s="27"/>
      <c r="K607" s="28" t="str">
        <f t="shared" si="19"/>
        <v/>
      </c>
      <c r="L607" s="27"/>
      <c r="M607" s="27"/>
      <c r="N607" s="27"/>
      <c r="O607" s="27"/>
      <c r="P607" s="27" t="s">
        <v>3178</v>
      </c>
      <c r="Q607" s="27" t="s">
        <v>3179</v>
      </c>
    </row>
    <row r="608" spans="1:17" ht="15" customHeight="1" x14ac:dyDescent="0.3">
      <c r="A608" s="27" t="s">
        <v>3180</v>
      </c>
      <c r="B608" s="27" t="s">
        <v>3181</v>
      </c>
      <c r="C608" s="27" t="s">
        <v>3182</v>
      </c>
      <c r="D608" s="27">
        <v>2026</v>
      </c>
      <c r="E608" s="27" t="s">
        <v>48</v>
      </c>
      <c r="F608" s="27" t="s">
        <v>11</v>
      </c>
      <c r="G608" s="27"/>
      <c r="H608" s="27"/>
      <c r="I608" s="28" t="str">
        <f t="shared" si="18"/>
        <v/>
      </c>
      <c r="J608" s="27"/>
      <c r="K608" s="28" t="str">
        <f t="shared" si="19"/>
        <v/>
      </c>
      <c r="L608" s="27"/>
      <c r="M608" s="27"/>
      <c r="N608" s="27"/>
      <c r="O608" s="27"/>
      <c r="P608" s="27" t="s">
        <v>3183</v>
      </c>
      <c r="Q608" s="27" t="s">
        <v>3184</v>
      </c>
    </row>
    <row r="609" spans="1:17" ht="15" customHeight="1" x14ac:dyDescent="0.3">
      <c r="A609" s="27" t="s">
        <v>3185</v>
      </c>
      <c r="B609" s="27" t="s">
        <v>3186</v>
      </c>
      <c r="C609" s="27" t="s">
        <v>3187</v>
      </c>
      <c r="D609" s="27">
        <v>2026</v>
      </c>
      <c r="E609" s="27" t="s">
        <v>48</v>
      </c>
      <c r="F609" s="27" t="s">
        <v>13</v>
      </c>
      <c r="G609" s="27"/>
      <c r="H609" s="27"/>
      <c r="I609" s="28" t="str">
        <f t="shared" si="18"/>
        <v/>
      </c>
      <c r="J609" s="27"/>
      <c r="K609" s="28" t="str">
        <f t="shared" si="19"/>
        <v/>
      </c>
      <c r="L609" s="27"/>
      <c r="M609" s="27"/>
      <c r="N609" s="27"/>
      <c r="O609" s="27"/>
      <c r="P609" s="27" t="s">
        <v>3188</v>
      </c>
      <c r="Q609" s="27" t="s">
        <v>3189</v>
      </c>
    </row>
    <row r="610" spans="1:17" ht="15" customHeight="1" x14ac:dyDescent="0.3">
      <c r="A610" s="27" t="s">
        <v>3190</v>
      </c>
      <c r="B610" s="27" t="s">
        <v>3191</v>
      </c>
      <c r="C610" s="27" t="s">
        <v>3192</v>
      </c>
      <c r="D610" s="27">
        <v>2016</v>
      </c>
      <c r="E610" s="27" t="s">
        <v>48</v>
      </c>
      <c r="F610" s="27" t="s">
        <v>15</v>
      </c>
      <c r="G610" s="27"/>
      <c r="H610" s="27"/>
      <c r="I610" s="28" t="str">
        <f t="shared" si="18"/>
        <v/>
      </c>
      <c r="J610" s="27"/>
      <c r="K610" s="28" t="str">
        <f t="shared" si="19"/>
        <v/>
      </c>
      <c r="L610" s="27"/>
      <c r="M610" s="27"/>
      <c r="N610" s="27"/>
      <c r="O610" s="27"/>
      <c r="P610" s="27" t="s">
        <v>3193</v>
      </c>
      <c r="Q610" s="27" t="s">
        <v>3194</v>
      </c>
    </row>
    <row r="611" spans="1:17" ht="15" customHeight="1" x14ac:dyDescent="0.3">
      <c r="A611" s="27" t="s">
        <v>3195</v>
      </c>
      <c r="B611" s="27" t="s">
        <v>3196</v>
      </c>
      <c r="C611" s="27" t="s">
        <v>3197</v>
      </c>
      <c r="D611" s="27">
        <v>2026</v>
      </c>
      <c r="E611" s="27" t="s">
        <v>48</v>
      </c>
      <c r="F611" s="27" t="s">
        <v>11</v>
      </c>
      <c r="G611" s="27"/>
      <c r="H611" s="27"/>
      <c r="I611" s="28" t="str">
        <f t="shared" si="18"/>
        <v/>
      </c>
      <c r="J611" s="27"/>
      <c r="K611" s="28" t="str">
        <f t="shared" si="19"/>
        <v/>
      </c>
      <c r="L611" s="27"/>
      <c r="M611" s="27"/>
      <c r="N611" s="27"/>
      <c r="O611" s="27"/>
      <c r="P611" s="27" t="s">
        <v>3198</v>
      </c>
      <c r="Q611" s="27" t="s">
        <v>3199</v>
      </c>
    </row>
    <row r="612" spans="1:17" ht="15" customHeight="1" x14ac:dyDescent="0.3">
      <c r="A612" s="27" t="s">
        <v>3200</v>
      </c>
      <c r="B612" s="27" t="s">
        <v>3201</v>
      </c>
      <c r="C612" s="27" t="s">
        <v>3202</v>
      </c>
      <c r="D612" s="27">
        <v>2020</v>
      </c>
      <c r="E612" s="27" t="s">
        <v>48</v>
      </c>
      <c r="F612" s="27" t="s">
        <v>13</v>
      </c>
      <c r="G612" s="27"/>
      <c r="H612" s="27"/>
      <c r="I612" s="28" t="str">
        <f t="shared" si="18"/>
        <v/>
      </c>
      <c r="J612" s="27"/>
      <c r="K612" s="28" t="str">
        <f t="shared" si="19"/>
        <v/>
      </c>
      <c r="L612" s="27"/>
      <c r="M612" s="27"/>
      <c r="N612" s="27"/>
      <c r="O612" s="27"/>
      <c r="P612" s="27" t="s">
        <v>3203</v>
      </c>
      <c r="Q612" s="27" t="s">
        <v>3204</v>
      </c>
    </row>
    <row r="613" spans="1:17" ht="15" customHeight="1" x14ac:dyDescent="0.3">
      <c r="A613" s="27" t="s">
        <v>3205</v>
      </c>
      <c r="B613" s="27" t="s">
        <v>3206</v>
      </c>
      <c r="C613" s="27" t="s">
        <v>3207</v>
      </c>
      <c r="D613" s="27">
        <v>2025</v>
      </c>
      <c r="E613" s="27" t="s">
        <v>142</v>
      </c>
      <c r="F613" s="27" t="s">
        <v>15</v>
      </c>
      <c r="G613" s="27"/>
      <c r="H613" s="27"/>
      <c r="I613" s="28" t="str">
        <f t="shared" si="18"/>
        <v/>
      </c>
      <c r="J613" s="27"/>
      <c r="K613" s="28" t="str">
        <f t="shared" si="19"/>
        <v/>
      </c>
      <c r="L613" s="27"/>
      <c r="M613" s="27"/>
      <c r="N613" s="27"/>
      <c r="O613" s="27"/>
      <c r="P613" s="27" t="s">
        <v>3208</v>
      </c>
      <c r="Q613" s="27" t="s">
        <v>3209</v>
      </c>
    </row>
    <row r="614" spans="1:17" ht="15" customHeight="1" x14ac:dyDescent="0.3">
      <c r="A614" s="27" t="s">
        <v>3210</v>
      </c>
      <c r="B614" s="27" t="s">
        <v>3211</v>
      </c>
      <c r="C614" s="27" t="s">
        <v>3212</v>
      </c>
      <c r="D614" s="27">
        <v>2025</v>
      </c>
      <c r="E614" s="27" t="s">
        <v>48</v>
      </c>
      <c r="F614" s="27" t="s">
        <v>11</v>
      </c>
      <c r="G614" s="27"/>
      <c r="H614" s="27"/>
      <c r="I614" s="28" t="str">
        <f t="shared" si="18"/>
        <v/>
      </c>
      <c r="J614" s="27"/>
      <c r="K614" s="28" t="str">
        <f t="shared" si="19"/>
        <v/>
      </c>
      <c r="L614" s="27"/>
      <c r="M614" s="27"/>
      <c r="N614" s="27"/>
      <c r="O614" s="27"/>
      <c r="P614" s="27" t="s">
        <v>3213</v>
      </c>
      <c r="Q614" s="27" t="s">
        <v>3214</v>
      </c>
    </row>
    <row r="615" spans="1:17" ht="15" customHeight="1" x14ac:dyDescent="0.3">
      <c r="A615" s="27" t="s">
        <v>3215</v>
      </c>
      <c r="B615" s="27" t="s">
        <v>3216</v>
      </c>
      <c r="C615" s="27" t="s">
        <v>3217</v>
      </c>
      <c r="D615" s="27">
        <v>2021</v>
      </c>
      <c r="E615" s="27" t="s">
        <v>48</v>
      </c>
      <c r="F615" s="27" t="s">
        <v>13</v>
      </c>
      <c r="G615" s="27"/>
      <c r="H615" s="27"/>
      <c r="I615" s="28" t="str">
        <f t="shared" si="18"/>
        <v/>
      </c>
      <c r="J615" s="27"/>
      <c r="K615" s="28" t="str">
        <f t="shared" si="19"/>
        <v/>
      </c>
      <c r="L615" s="27"/>
      <c r="M615" s="27"/>
      <c r="N615" s="27"/>
      <c r="O615" s="27"/>
      <c r="P615" s="27" t="s">
        <v>3218</v>
      </c>
      <c r="Q615" s="27" t="s">
        <v>3219</v>
      </c>
    </row>
    <row r="616" spans="1:17" ht="15" customHeight="1" x14ac:dyDescent="0.3">
      <c r="A616" s="27" t="s">
        <v>3220</v>
      </c>
      <c r="B616" s="27" t="s">
        <v>3221</v>
      </c>
      <c r="C616" s="27" t="s">
        <v>3222</v>
      </c>
      <c r="D616" s="27">
        <v>2025</v>
      </c>
      <c r="E616" s="27" t="s">
        <v>48</v>
      </c>
      <c r="F616" s="27" t="s">
        <v>15</v>
      </c>
      <c r="G616" s="27"/>
      <c r="H616" s="27"/>
      <c r="I616" s="28" t="str">
        <f t="shared" si="18"/>
        <v/>
      </c>
      <c r="J616" s="27"/>
      <c r="K616" s="28" t="str">
        <f t="shared" si="19"/>
        <v/>
      </c>
      <c r="L616" s="27"/>
      <c r="M616" s="27"/>
      <c r="N616" s="27"/>
      <c r="O616" s="27"/>
      <c r="P616" s="27" t="s">
        <v>3223</v>
      </c>
      <c r="Q616" s="27" t="s">
        <v>3224</v>
      </c>
    </row>
    <row r="617" spans="1:17" ht="15" customHeight="1" x14ac:dyDescent="0.3">
      <c r="A617" s="27" t="s">
        <v>3225</v>
      </c>
      <c r="B617" s="27" t="s">
        <v>3226</v>
      </c>
      <c r="C617" s="27" t="s">
        <v>3227</v>
      </c>
      <c r="D617" s="27">
        <v>2020</v>
      </c>
      <c r="E617" s="27" t="s">
        <v>48</v>
      </c>
      <c r="F617" s="27" t="s">
        <v>11</v>
      </c>
      <c r="G617" s="27"/>
      <c r="H617" s="27"/>
      <c r="I617" s="28" t="str">
        <f t="shared" si="18"/>
        <v/>
      </c>
      <c r="J617" s="27"/>
      <c r="K617" s="28" t="str">
        <f t="shared" si="19"/>
        <v/>
      </c>
      <c r="L617" s="27"/>
      <c r="M617" s="27"/>
      <c r="N617" s="27"/>
      <c r="O617" s="27"/>
      <c r="P617" s="27" t="s">
        <v>3228</v>
      </c>
      <c r="Q617" s="27" t="s">
        <v>3229</v>
      </c>
    </row>
    <row r="618" spans="1:17" ht="15" customHeight="1" x14ac:dyDescent="0.3">
      <c r="A618" s="27" t="s">
        <v>3230</v>
      </c>
      <c r="B618" s="27" t="s">
        <v>3231</v>
      </c>
      <c r="C618" s="27" t="s">
        <v>3232</v>
      </c>
      <c r="D618" s="27">
        <v>2024</v>
      </c>
      <c r="E618" s="27" t="s">
        <v>48</v>
      </c>
      <c r="F618" s="27" t="s">
        <v>13</v>
      </c>
      <c r="G618" s="27"/>
      <c r="H618" s="27"/>
      <c r="I618" s="28" t="str">
        <f t="shared" si="18"/>
        <v/>
      </c>
      <c r="J618" s="27"/>
      <c r="K618" s="28" t="str">
        <f t="shared" si="19"/>
        <v/>
      </c>
      <c r="L618" s="27"/>
      <c r="M618" s="27"/>
      <c r="N618" s="27"/>
      <c r="O618" s="27"/>
      <c r="P618" s="27" t="s">
        <v>3233</v>
      </c>
      <c r="Q618" s="27" t="s">
        <v>3234</v>
      </c>
    </row>
    <row r="619" spans="1:17" ht="15" customHeight="1" x14ac:dyDescent="0.3">
      <c r="A619" s="27" t="s">
        <v>3235</v>
      </c>
      <c r="B619" s="27" t="s">
        <v>3236</v>
      </c>
      <c r="C619" s="27" t="s">
        <v>3237</v>
      </c>
      <c r="D619" s="27">
        <v>2023</v>
      </c>
      <c r="E619" s="27" t="s">
        <v>48</v>
      </c>
      <c r="F619" s="27" t="s">
        <v>15</v>
      </c>
      <c r="G619" s="27"/>
      <c r="H619" s="27"/>
      <c r="I619" s="28" t="str">
        <f t="shared" si="18"/>
        <v/>
      </c>
      <c r="J619" s="27"/>
      <c r="K619" s="28" t="str">
        <f t="shared" si="19"/>
        <v/>
      </c>
      <c r="L619" s="27"/>
      <c r="M619" s="27"/>
      <c r="N619" s="27"/>
      <c r="O619" s="27"/>
      <c r="P619" s="27" t="s">
        <v>3238</v>
      </c>
      <c r="Q619" s="27" t="s">
        <v>3239</v>
      </c>
    </row>
    <row r="620" spans="1:17" ht="15" customHeight="1" x14ac:dyDescent="0.3">
      <c r="A620" s="27" t="s">
        <v>3240</v>
      </c>
      <c r="B620" s="27" t="s">
        <v>3241</v>
      </c>
      <c r="C620" s="27" t="s">
        <v>3242</v>
      </c>
      <c r="D620" s="27">
        <v>2022</v>
      </c>
      <c r="E620" s="27" t="s">
        <v>48</v>
      </c>
      <c r="F620" s="27" t="s">
        <v>11</v>
      </c>
      <c r="G620" s="27"/>
      <c r="H620" s="27"/>
      <c r="I620" s="28" t="str">
        <f t="shared" si="18"/>
        <v/>
      </c>
      <c r="J620" s="27"/>
      <c r="K620" s="28" t="str">
        <f t="shared" si="19"/>
        <v/>
      </c>
      <c r="L620" s="27"/>
      <c r="M620" s="27"/>
      <c r="N620" s="27"/>
      <c r="O620" s="27"/>
      <c r="P620" s="27" t="s">
        <v>3243</v>
      </c>
      <c r="Q620" s="27" t="s">
        <v>3244</v>
      </c>
    </row>
    <row r="621" spans="1:17" ht="15" customHeight="1" x14ac:dyDescent="0.3">
      <c r="A621" s="27" t="s">
        <v>3245</v>
      </c>
      <c r="B621" s="27" t="s">
        <v>3246</v>
      </c>
      <c r="C621" s="27" t="s">
        <v>3247</v>
      </c>
      <c r="D621" s="27">
        <v>2024</v>
      </c>
      <c r="E621" s="27" t="s">
        <v>48</v>
      </c>
      <c r="F621" s="27" t="s">
        <v>13</v>
      </c>
      <c r="G621" s="27"/>
      <c r="H621" s="27"/>
      <c r="I621" s="28" t="str">
        <f t="shared" si="18"/>
        <v/>
      </c>
      <c r="J621" s="27"/>
      <c r="K621" s="28" t="str">
        <f t="shared" si="19"/>
        <v/>
      </c>
      <c r="L621" s="27"/>
      <c r="M621" s="27"/>
      <c r="N621" s="27"/>
      <c r="O621" s="27"/>
      <c r="P621" s="27" t="s">
        <v>3248</v>
      </c>
      <c r="Q621" s="27" t="s">
        <v>3249</v>
      </c>
    </row>
    <row r="622" spans="1:17" ht="15" customHeight="1" x14ac:dyDescent="0.3">
      <c r="A622" s="27" t="s">
        <v>3250</v>
      </c>
      <c r="B622" s="27" t="s">
        <v>3251</v>
      </c>
      <c r="C622" s="27" t="s">
        <v>3252</v>
      </c>
      <c r="D622" s="27">
        <v>2024</v>
      </c>
      <c r="E622" s="27" t="s">
        <v>48</v>
      </c>
      <c r="F622" s="27" t="s">
        <v>15</v>
      </c>
      <c r="G622" s="27"/>
      <c r="H622" s="27"/>
      <c r="I622" s="28" t="str">
        <f t="shared" si="18"/>
        <v/>
      </c>
      <c r="J622" s="27"/>
      <c r="K622" s="28" t="str">
        <f t="shared" si="19"/>
        <v/>
      </c>
      <c r="L622" s="27"/>
      <c r="M622" s="27"/>
      <c r="N622" s="27"/>
      <c r="O622" s="27"/>
      <c r="P622" s="27" t="s">
        <v>3253</v>
      </c>
      <c r="Q622" s="27" t="s">
        <v>3254</v>
      </c>
    </row>
    <row r="623" spans="1:17" ht="15" customHeight="1" x14ac:dyDescent="0.3">
      <c r="A623" s="27" t="s">
        <v>3255</v>
      </c>
      <c r="B623" s="27" t="s">
        <v>3256</v>
      </c>
      <c r="C623" s="27" t="s">
        <v>3257</v>
      </c>
      <c r="D623" s="27">
        <v>2022</v>
      </c>
      <c r="E623" s="27" t="s">
        <v>48</v>
      </c>
      <c r="F623" s="27" t="s">
        <v>11</v>
      </c>
      <c r="G623" s="27"/>
      <c r="H623" s="27"/>
      <c r="I623" s="28" t="str">
        <f t="shared" si="18"/>
        <v/>
      </c>
      <c r="J623" s="27"/>
      <c r="K623" s="28" t="str">
        <f t="shared" si="19"/>
        <v/>
      </c>
      <c r="L623" s="27"/>
      <c r="M623" s="27"/>
      <c r="N623" s="27"/>
      <c r="O623" s="27"/>
      <c r="P623" s="27" t="s">
        <v>3258</v>
      </c>
      <c r="Q623" s="27" t="s">
        <v>3259</v>
      </c>
    </row>
    <row r="624" spans="1:17" ht="15" customHeight="1" x14ac:dyDescent="0.3">
      <c r="A624" s="27" t="s">
        <v>3260</v>
      </c>
      <c r="B624" s="27" t="s">
        <v>3261</v>
      </c>
      <c r="C624" s="27" t="s">
        <v>3262</v>
      </c>
      <c r="D624" s="27">
        <v>2019</v>
      </c>
      <c r="E624" s="27" t="s">
        <v>48</v>
      </c>
      <c r="F624" s="27" t="s">
        <v>13</v>
      </c>
      <c r="G624" s="27"/>
      <c r="H624" s="27"/>
      <c r="I624" s="28" t="str">
        <f t="shared" si="18"/>
        <v/>
      </c>
      <c r="J624" s="27"/>
      <c r="K624" s="28" t="str">
        <f t="shared" si="19"/>
        <v/>
      </c>
      <c r="L624" s="27"/>
      <c r="M624" s="27"/>
      <c r="N624" s="27"/>
      <c r="O624" s="27"/>
      <c r="P624" s="27" t="s">
        <v>3263</v>
      </c>
      <c r="Q624" s="27" t="s">
        <v>3264</v>
      </c>
    </row>
    <row r="625" spans="1:17" ht="15" customHeight="1" x14ac:dyDescent="0.3">
      <c r="A625" s="27" t="s">
        <v>3265</v>
      </c>
      <c r="B625" s="27" t="s">
        <v>3266</v>
      </c>
      <c r="C625" s="27" t="s">
        <v>3267</v>
      </c>
      <c r="D625" s="27">
        <v>2023</v>
      </c>
      <c r="E625" s="27" t="s">
        <v>48</v>
      </c>
      <c r="F625" s="27" t="s">
        <v>15</v>
      </c>
      <c r="G625" s="27"/>
      <c r="H625" s="27"/>
      <c r="I625" s="28" t="str">
        <f t="shared" si="18"/>
        <v/>
      </c>
      <c r="J625" s="27"/>
      <c r="K625" s="28" t="str">
        <f t="shared" si="19"/>
        <v/>
      </c>
      <c r="L625" s="27"/>
      <c r="M625" s="27"/>
      <c r="N625" s="27"/>
      <c r="O625" s="27"/>
      <c r="P625" s="27" t="s">
        <v>3268</v>
      </c>
      <c r="Q625" s="27" t="s">
        <v>3269</v>
      </c>
    </row>
    <row r="626" spans="1:17" ht="15" customHeight="1" x14ac:dyDescent="0.3">
      <c r="A626" s="27" t="s">
        <v>3270</v>
      </c>
      <c r="B626" s="27" t="s">
        <v>3271</v>
      </c>
      <c r="C626" s="27" t="s">
        <v>3272</v>
      </c>
      <c r="D626" s="27">
        <v>2021</v>
      </c>
      <c r="E626" s="27" t="s">
        <v>48</v>
      </c>
      <c r="F626" s="27" t="s">
        <v>11</v>
      </c>
      <c r="G626" s="27"/>
      <c r="H626" s="27"/>
      <c r="I626" s="28" t="str">
        <f t="shared" si="18"/>
        <v/>
      </c>
      <c r="J626" s="27"/>
      <c r="K626" s="28" t="str">
        <f t="shared" si="19"/>
        <v/>
      </c>
      <c r="L626" s="27"/>
      <c r="M626" s="27"/>
      <c r="N626" s="27"/>
      <c r="O626" s="27"/>
      <c r="P626" s="27" t="s">
        <v>3273</v>
      </c>
      <c r="Q626" s="27" t="s">
        <v>3274</v>
      </c>
    </row>
    <row r="627" spans="1:17" ht="15" customHeight="1" x14ac:dyDescent="0.3">
      <c r="A627" s="27" t="s">
        <v>3275</v>
      </c>
      <c r="B627" s="27" t="s">
        <v>3276</v>
      </c>
      <c r="C627" s="27" t="s">
        <v>3277</v>
      </c>
      <c r="D627" s="27">
        <v>2024</v>
      </c>
      <c r="E627" s="27" t="s">
        <v>48</v>
      </c>
      <c r="F627" s="27" t="s">
        <v>13</v>
      </c>
      <c r="G627" s="27"/>
      <c r="H627" s="27"/>
      <c r="I627" s="28" t="str">
        <f t="shared" si="18"/>
        <v/>
      </c>
      <c r="J627" s="27"/>
      <c r="K627" s="28" t="str">
        <f t="shared" si="19"/>
        <v/>
      </c>
      <c r="L627" s="27"/>
      <c r="M627" s="27"/>
      <c r="N627" s="27"/>
      <c r="O627" s="27"/>
      <c r="P627" s="27" t="s">
        <v>3278</v>
      </c>
      <c r="Q627" s="27" t="s">
        <v>3279</v>
      </c>
    </row>
    <row r="628" spans="1:17" ht="15" customHeight="1" x14ac:dyDescent="0.3">
      <c r="A628" s="27" t="s">
        <v>3280</v>
      </c>
      <c r="B628" s="27" t="s">
        <v>3281</v>
      </c>
      <c r="C628" s="27" t="s">
        <v>3282</v>
      </c>
      <c r="D628" s="27">
        <v>2024</v>
      </c>
      <c r="E628" s="27" t="s">
        <v>48</v>
      </c>
      <c r="F628" s="27" t="s">
        <v>15</v>
      </c>
      <c r="G628" s="27"/>
      <c r="H628" s="27"/>
      <c r="I628" s="28" t="str">
        <f t="shared" si="18"/>
        <v/>
      </c>
      <c r="J628" s="27"/>
      <c r="K628" s="28" t="str">
        <f t="shared" si="19"/>
        <v/>
      </c>
      <c r="L628" s="27"/>
      <c r="M628" s="27"/>
      <c r="N628" s="27"/>
      <c r="O628" s="27"/>
      <c r="P628" s="27" t="s">
        <v>3283</v>
      </c>
      <c r="Q628" s="27" t="s">
        <v>3284</v>
      </c>
    </row>
    <row r="629" spans="1:17" ht="15" customHeight="1" x14ac:dyDescent="0.3">
      <c r="A629" s="27" t="s">
        <v>3285</v>
      </c>
      <c r="B629" s="27" t="s">
        <v>3286</v>
      </c>
      <c r="C629" s="27" t="s">
        <v>3287</v>
      </c>
      <c r="D629" s="27">
        <v>2024</v>
      </c>
      <c r="E629" s="27" t="s">
        <v>48</v>
      </c>
      <c r="F629" s="27" t="s">
        <v>11</v>
      </c>
      <c r="G629" s="27"/>
      <c r="H629" s="27"/>
      <c r="I629" s="28" t="str">
        <f t="shared" si="18"/>
        <v/>
      </c>
      <c r="J629" s="27"/>
      <c r="K629" s="28" t="str">
        <f t="shared" si="19"/>
        <v/>
      </c>
      <c r="L629" s="27"/>
      <c r="M629" s="27"/>
      <c r="N629" s="27"/>
      <c r="O629" s="27"/>
      <c r="P629" s="27" t="s">
        <v>3288</v>
      </c>
      <c r="Q629" s="27" t="s">
        <v>3289</v>
      </c>
    </row>
    <row r="630" spans="1:17" ht="15" customHeight="1" x14ac:dyDescent="0.3">
      <c r="A630" s="27" t="s">
        <v>3290</v>
      </c>
      <c r="B630" s="27" t="s">
        <v>3291</v>
      </c>
      <c r="C630" s="27" t="s">
        <v>3292</v>
      </c>
      <c r="D630" s="27">
        <v>2018</v>
      </c>
      <c r="E630" s="27" t="s">
        <v>48</v>
      </c>
      <c r="F630" s="27" t="s">
        <v>13</v>
      </c>
      <c r="G630" s="27"/>
      <c r="H630" s="27"/>
      <c r="I630" s="28" t="str">
        <f t="shared" si="18"/>
        <v/>
      </c>
      <c r="J630" s="27"/>
      <c r="K630" s="28" t="str">
        <f t="shared" si="19"/>
        <v/>
      </c>
      <c r="L630" s="27"/>
      <c r="M630" s="27"/>
      <c r="N630" s="27"/>
      <c r="O630" s="27"/>
      <c r="P630" s="27" t="s">
        <v>3293</v>
      </c>
      <c r="Q630" s="27" t="s">
        <v>3294</v>
      </c>
    </row>
    <row r="631" spans="1:17" ht="15" customHeight="1" x14ac:dyDescent="0.3">
      <c r="A631" s="27" t="s">
        <v>3295</v>
      </c>
      <c r="B631" s="27" t="s">
        <v>3296</v>
      </c>
      <c r="C631" s="27" t="s">
        <v>3297</v>
      </c>
      <c r="D631" s="27">
        <v>2022</v>
      </c>
      <c r="E631" s="27" t="s">
        <v>48</v>
      </c>
      <c r="F631" s="27" t="s">
        <v>15</v>
      </c>
      <c r="G631" s="27"/>
      <c r="H631" s="27"/>
      <c r="I631" s="28" t="str">
        <f t="shared" si="18"/>
        <v/>
      </c>
      <c r="J631" s="27"/>
      <c r="K631" s="28" t="str">
        <f t="shared" si="19"/>
        <v/>
      </c>
      <c r="L631" s="27"/>
      <c r="M631" s="27"/>
      <c r="N631" s="27"/>
      <c r="O631" s="27"/>
      <c r="P631" s="27" t="s">
        <v>3298</v>
      </c>
      <c r="Q631" s="27" t="s">
        <v>3299</v>
      </c>
    </row>
    <row r="632" spans="1:17" ht="15" customHeight="1" x14ac:dyDescent="0.3">
      <c r="A632" s="27" t="s">
        <v>3300</v>
      </c>
      <c r="B632" s="27" t="s">
        <v>3301</v>
      </c>
      <c r="C632" s="27" t="s">
        <v>3302</v>
      </c>
      <c r="D632" s="27">
        <v>2024</v>
      </c>
      <c r="E632" s="27" t="s">
        <v>48</v>
      </c>
      <c r="F632" s="27" t="s">
        <v>11</v>
      </c>
      <c r="G632" s="27"/>
      <c r="H632" s="27"/>
      <c r="I632" s="28" t="str">
        <f t="shared" si="18"/>
        <v/>
      </c>
      <c r="J632" s="27"/>
      <c r="K632" s="28" t="str">
        <f t="shared" si="19"/>
        <v/>
      </c>
      <c r="L632" s="27"/>
      <c r="M632" s="27"/>
      <c r="N632" s="27"/>
      <c r="O632" s="27"/>
      <c r="P632" s="27" t="s">
        <v>3303</v>
      </c>
      <c r="Q632" s="27" t="s">
        <v>3304</v>
      </c>
    </row>
    <row r="633" spans="1:17" ht="15" customHeight="1" x14ac:dyDescent="0.3">
      <c r="A633" s="27" t="s">
        <v>3305</v>
      </c>
      <c r="B633" s="27" t="s">
        <v>3306</v>
      </c>
      <c r="C633" s="27" t="s">
        <v>3307</v>
      </c>
      <c r="D633" s="27">
        <v>2024</v>
      </c>
      <c r="E633" s="27" t="s">
        <v>48</v>
      </c>
      <c r="F633" s="27" t="s">
        <v>13</v>
      </c>
      <c r="G633" s="27"/>
      <c r="H633" s="27"/>
      <c r="I633" s="28" t="str">
        <f t="shared" si="18"/>
        <v/>
      </c>
      <c r="J633" s="27"/>
      <c r="K633" s="28" t="str">
        <f t="shared" si="19"/>
        <v/>
      </c>
      <c r="L633" s="27"/>
      <c r="M633" s="27"/>
      <c r="N633" s="27"/>
      <c r="O633" s="27"/>
      <c r="P633" s="27" t="s">
        <v>3308</v>
      </c>
      <c r="Q633" s="27" t="s">
        <v>3309</v>
      </c>
    </row>
    <row r="634" spans="1:17" ht="15" customHeight="1" x14ac:dyDescent="0.3">
      <c r="A634" s="27" t="s">
        <v>3310</v>
      </c>
      <c r="B634" s="27" t="s">
        <v>3311</v>
      </c>
      <c r="C634" s="27" t="s">
        <v>3312</v>
      </c>
      <c r="D634" s="27">
        <v>2021</v>
      </c>
      <c r="E634" s="27" t="s">
        <v>48</v>
      </c>
      <c r="F634" s="27" t="s">
        <v>15</v>
      </c>
      <c r="G634" s="27"/>
      <c r="H634" s="27"/>
      <c r="I634" s="28" t="str">
        <f t="shared" si="18"/>
        <v/>
      </c>
      <c r="J634" s="27"/>
      <c r="K634" s="28" t="str">
        <f t="shared" si="19"/>
        <v/>
      </c>
      <c r="L634" s="27"/>
      <c r="M634" s="27"/>
      <c r="N634" s="27"/>
      <c r="O634" s="27"/>
      <c r="P634" s="27" t="s">
        <v>3313</v>
      </c>
      <c r="Q634" s="27" t="s">
        <v>3314</v>
      </c>
    </row>
    <row r="635" spans="1:17" ht="15" customHeight="1" x14ac:dyDescent="0.3">
      <c r="A635" s="27" t="s">
        <v>3315</v>
      </c>
      <c r="B635" s="27" t="s">
        <v>3316</v>
      </c>
      <c r="C635" s="27" t="s">
        <v>3317</v>
      </c>
      <c r="D635" s="27">
        <v>2026</v>
      </c>
      <c r="E635" s="27" t="s">
        <v>48</v>
      </c>
      <c r="F635" s="27" t="s">
        <v>11</v>
      </c>
      <c r="G635" s="27"/>
      <c r="H635" s="27"/>
      <c r="I635" s="28" t="str">
        <f t="shared" si="18"/>
        <v/>
      </c>
      <c r="J635" s="27"/>
      <c r="K635" s="28" t="str">
        <f t="shared" si="19"/>
        <v/>
      </c>
      <c r="L635" s="27"/>
      <c r="M635" s="27"/>
      <c r="N635" s="27"/>
      <c r="O635" s="27"/>
      <c r="P635" s="27" t="s">
        <v>3318</v>
      </c>
      <c r="Q635" s="27" t="s">
        <v>3319</v>
      </c>
    </row>
    <row r="636" spans="1:17" ht="15" customHeight="1" x14ac:dyDescent="0.3">
      <c r="A636" s="27" t="s">
        <v>3320</v>
      </c>
      <c r="B636" s="27" t="s">
        <v>3321</v>
      </c>
      <c r="C636" s="27" t="s">
        <v>3322</v>
      </c>
      <c r="D636" s="27">
        <v>2022</v>
      </c>
      <c r="E636" s="27" t="s">
        <v>48</v>
      </c>
      <c r="F636" s="27" t="s">
        <v>13</v>
      </c>
      <c r="G636" s="27"/>
      <c r="H636" s="27"/>
      <c r="I636" s="28" t="str">
        <f t="shared" si="18"/>
        <v/>
      </c>
      <c r="J636" s="27"/>
      <c r="K636" s="28" t="str">
        <f t="shared" si="19"/>
        <v/>
      </c>
      <c r="L636" s="27"/>
      <c r="M636" s="27"/>
      <c r="N636" s="27"/>
      <c r="O636" s="27"/>
      <c r="P636" s="27" t="s">
        <v>3323</v>
      </c>
      <c r="Q636" s="27" t="s">
        <v>3324</v>
      </c>
    </row>
    <row r="637" spans="1:17" ht="15" customHeight="1" x14ac:dyDescent="0.3">
      <c r="A637" s="27" t="s">
        <v>3325</v>
      </c>
      <c r="B637" s="27" t="s">
        <v>3326</v>
      </c>
      <c r="C637" s="27" t="s">
        <v>3327</v>
      </c>
      <c r="D637" s="27">
        <v>2026</v>
      </c>
      <c r="E637" s="27" t="s">
        <v>48</v>
      </c>
      <c r="F637" s="27" t="s">
        <v>15</v>
      </c>
      <c r="G637" s="27"/>
      <c r="H637" s="27"/>
      <c r="I637" s="28" t="str">
        <f t="shared" si="18"/>
        <v/>
      </c>
      <c r="J637" s="27"/>
      <c r="K637" s="28" t="str">
        <f t="shared" si="19"/>
        <v/>
      </c>
      <c r="L637" s="27"/>
      <c r="M637" s="27"/>
      <c r="N637" s="27"/>
      <c r="O637" s="27"/>
      <c r="P637" s="27" t="s">
        <v>3328</v>
      </c>
      <c r="Q637" s="27" t="s">
        <v>3329</v>
      </c>
    </row>
    <row r="638" spans="1:17" ht="15" customHeight="1" x14ac:dyDescent="0.3">
      <c r="A638" s="27" t="s">
        <v>3330</v>
      </c>
      <c r="B638" s="27" t="s">
        <v>3331</v>
      </c>
      <c r="C638" s="27" t="s">
        <v>3332</v>
      </c>
      <c r="D638" s="27">
        <v>2023</v>
      </c>
      <c r="E638" s="27" t="s">
        <v>48</v>
      </c>
      <c r="F638" s="27" t="s">
        <v>11</v>
      </c>
      <c r="G638" s="27"/>
      <c r="H638" s="27"/>
      <c r="I638" s="28" t="str">
        <f t="shared" si="18"/>
        <v/>
      </c>
      <c r="J638" s="27"/>
      <c r="K638" s="28" t="str">
        <f t="shared" si="19"/>
        <v/>
      </c>
      <c r="L638" s="27"/>
      <c r="M638" s="27"/>
      <c r="N638" s="27"/>
      <c r="O638" s="27"/>
      <c r="P638" s="27" t="s">
        <v>3333</v>
      </c>
      <c r="Q638" s="27" t="s">
        <v>3334</v>
      </c>
    </row>
    <row r="639" spans="1:17" ht="15" customHeight="1" x14ac:dyDescent="0.3">
      <c r="A639" s="27" t="s">
        <v>3335</v>
      </c>
      <c r="B639" s="27" t="s">
        <v>3336</v>
      </c>
      <c r="C639" s="27" t="s">
        <v>3337</v>
      </c>
      <c r="D639" s="27">
        <v>2025</v>
      </c>
      <c r="E639" s="27" t="s">
        <v>48</v>
      </c>
      <c r="F639" s="27" t="s">
        <v>13</v>
      </c>
      <c r="G639" s="27"/>
      <c r="H639" s="27"/>
      <c r="I639" s="28" t="str">
        <f t="shared" si="18"/>
        <v/>
      </c>
      <c r="J639" s="27"/>
      <c r="K639" s="28" t="str">
        <f t="shared" si="19"/>
        <v/>
      </c>
      <c r="L639" s="27"/>
      <c r="M639" s="27"/>
      <c r="N639" s="27"/>
      <c r="O639" s="27"/>
      <c r="P639" s="27" t="s">
        <v>3338</v>
      </c>
      <c r="Q639" s="27" t="s">
        <v>3339</v>
      </c>
    </row>
    <row r="640" spans="1:17" ht="15" customHeight="1" x14ac:dyDescent="0.3">
      <c r="A640" s="27" t="s">
        <v>3340</v>
      </c>
      <c r="B640" s="27" t="s">
        <v>3341</v>
      </c>
      <c r="C640" s="27" t="s">
        <v>3342</v>
      </c>
      <c r="D640" s="27">
        <v>2026</v>
      </c>
      <c r="E640" s="27" t="s">
        <v>48</v>
      </c>
      <c r="F640" s="27" t="s">
        <v>15</v>
      </c>
      <c r="G640" s="27"/>
      <c r="H640" s="27"/>
      <c r="I640" s="28" t="str">
        <f t="shared" si="18"/>
        <v/>
      </c>
      <c r="J640" s="27"/>
      <c r="K640" s="28" t="str">
        <f t="shared" si="19"/>
        <v/>
      </c>
      <c r="L640" s="27"/>
      <c r="M640" s="27"/>
      <c r="N640" s="27"/>
      <c r="O640" s="27"/>
      <c r="P640" s="27" t="s">
        <v>3343</v>
      </c>
      <c r="Q640" s="27" t="s">
        <v>3344</v>
      </c>
    </row>
    <row r="641" spans="1:17" ht="15" customHeight="1" x14ac:dyDescent="0.3">
      <c r="A641" s="27" t="s">
        <v>3345</v>
      </c>
      <c r="B641" s="27" t="s">
        <v>3346</v>
      </c>
      <c r="C641" s="27" t="s">
        <v>3347</v>
      </c>
      <c r="D641" s="27">
        <v>2026</v>
      </c>
      <c r="E641" s="27" t="s">
        <v>48</v>
      </c>
      <c r="F641" s="27" t="s">
        <v>11</v>
      </c>
      <c r="G641" s="27"/>
      <c r="H641" s="27"/>
      <c r="I641" s="28" t="str">
        <f t="shared" si="18"/>
        <v/>
      </c>
      <c r="J641" s="27"/>
      <c r="K641" s="28" t="str">
        <f t="shared" si="19"/>
        <v/>
      </c>
      <c r="L641" s="27"/>
      <c r="M641" s="27"/>
      <c r="N641" s="27"/>
      <c r="O641" s="27"/>
      <c r="P641" s="27" t="s">
        <v>3348</v>
      </c>
      <c r="Q641" s="27" t="s">
        <v>3349</v>
      </c>
    </row>
    <row r="642" spans="1:17" ht="15" customHeight="1" x14ac:dyDescent="0.3">
      <c r="A642" s="27" t="s">
        <v>3350</v>
      </c>
      <c r="B642" s="27" t="s">
        <v>3351</v>
      </c>
      <c r="C642" s="27" t="s">
        <v>3352</v>
      </c>
      <c r="D642" s="27">
        <v>2026</v>
      </c>
      <c r="E642" s="27" t="s">
        <v>48</v>
      </c>
      <c r="F642" s="27" t="s">
        <v>13</v>
      </c>
      <c r="G642" s="27"/>
      <c r="H642" s="27"/>
      <c r="I642" s="28" t="str">
        <f t="shared" ref="I642:I705" si="20">IF(OR(G642="",H642=""),"",IF(G642=H642,"Yes","No"))</f>
        <v/>
      </c>
      <c r="J642" s="27"/>
      <c r="K642" s="28" t="str">
        <f t="shared" ref="K642:K705" si="21">IF(OR(E642="Snowballing",E642="Other sources"),"n/a",IF(AND(G642="",H642=""),"",IF(OR(G642="",H642=""),"Waiting",IF(G642=H642,G642,IF(AND(G642&lt;&gt;"Exclude",H642&lt;&gt;"Exclude"),"Maybe",IF(J642&lt;&gt;"",J642,"Pending"))))))</f>
        <v/>
      </c>
      <c r="L642" s="27"/>
      <c r="M642" s="27"/>
      <c r="N642" s="27"/>
      <c r="O642" s="27"/>
      <c r="P642" s="27" t="s">
        <v>3353</v>
      </c>
      <c r="Q642" s="27" t="s">
        <v>3354</v>
      </c>
    </row>
    <row r="643" spans="1:17" ht="15" customHeight="1" x14ac:dyDescent="0.3">
      <c r="A643" s="27" t="s">
        <v>3355</v>
      </c>
      <c r="B643" s="27" t="s">
        <v>3356</v>
      </c>
      <c r="C643" s="27" t="s">
        <v>3357</v>
      </c>
      <c r="D643" s="27">
        <v>2025</v>
      </c>
      <c r="E643" s="27" t="s">
        <v>48</v>
      </c>
      <c r="F643" s="27" t="s">
        <v>15</v>
      </c>
      <c r="G643" s="27"/>
      <c r="H643" s="27"/>
      <c r="I643" s="28" t="str">
        <f t="shared" si="20"/>
        <v/>
      </c>
      <c r="J643" s="27"/>
      <c r="K643" s="28" t="str">
        <f t="shared" si="21"/>
        <v/>
      </c>
      <c r="L643" s="27"/>
      <c r="M643" s="27"/>
      <c r="N643" s="27"/>
      <c r="O643" s="27"/>
      <c r="P643" s="27" t="s">
        <v>3358</v>
      </c>
      <c r="Q643" s="27" t="s">
        <v>3359</v>
      </c>
    </row>
    <row r="644" spans="1:17" ht="15" customHeight="1" x14ac:dyDescent="0.3">
      <c r="A644" s="27" t="s">
        <v>3360</v>
      </c>
      <c r="B644" s="27" t="s">
        <v>3361</v>
      </c>
      <c r="C644" s="27" t="s">
        <v>3362</v>
      </c>
      <c r="D644" s="27">
        <v>2023</v>
      </c>
      <c r="E644" s="27" t="s">
        <v>48</v>
      </c>
      <c r="F644" s="27" t="s">
        <v>11</v>
      </c>
      <c r="G644" s="27"/>
      <c r="H644" s="27"/>
      <c r="I644" s="28" t="str">
        <f t="shared" si="20"/>
        <v/>
      </c>
      <c r="J644" s="27"/>
      <c r="K644" s="28" t="str">
        <f t="shared" si="21"/>
        <v/>
      </c>
      <c r="L644" s="27"/>
      <c r="M644" s="27"/>
      <c r="N644" s="27"/>
      <c r="O644" s="27"/>
      <c r="P644" s="27" t="s">
        <v>3363</v>
      </c>
      <c r="Q644" s="27" t="s">
        <v>3364</v>
      </c>
    </row>
    <row r="645" spans="1:17" ht="15" customHeight="1" x14ac:dyDescent="0.3">
      <c r="A645" s="27" t="s">
        <v>3365</v>
      </c>
      <c r="B645" s="27" t="s">
        <v>3366</v>
      </c>
      <c r="C645" s="27" t="s">
        <v>3367</v>
      </c>
      <c r="D645" s="27">
        <v>2023</v>
      </c>
      <c r="E645" s="27" t="s">
        <v>48</v>
      </c>
      <c r="F645" s="27" t="s">
        <v>13</v>
      </c>
      <c r="G645" s="27"/>
      <c r="H645" s="27"/>
      <c r="I645" s="28" t="str">
        <f t="shared" si="20"/>
        <v/>
      </c>
      <c r="J645" s="27"/>
      <c r="K645" s="28" t="str">
        <f t="shared" si="21"/>
        <v/>
      </c>
      <c r="L645" s="27"/>
      <c r="M645" s="27"/>
      <c r="N645" s="27"/>
      <c r="O645" s="27"/>
      <c r="P645" s="27" t="s">
        <v>3368</v>
      </c>
      <c r="Q645" s="27" t="s">
        <v>3369</v>
      </c>
    </row>
    <row r="646" spans="1:17" ht="15" customHeight="1" x14ac:dyDescent="0.3">
      <c r="A646" s="27" t="s">
        <v>3370</v>
      </c>
      <c r="B646" s="27" t="s">
        <v>3371</v>
      </c>
      <c r="C646" s="27" t="s">
        <v>3372</v>
      </c>
      <c r="D646" s="27">
        <v>2025</v>
      </c>
      <c r="E646" s="27" t="s">
        <v>48</v>
      </c>
      <c r="F646" s="27" t="s">
        <v>15</v>
      </c>
      <c r="G646" s="27"/>
      <c r="H646" s="27"/>
      <c r="I646" s="28" t="str">
        <f t="shared" si="20"/>
        <v/>
      </c>
      <c r="J646" s="27"/>
      <c r="K646" s="28" t="str">
        <f t="shared" si="21"/>
        <v/>
      </c>
      <c r="L646" s="27"/>
      <c r="M646" s="27"/>
      <c r="N646" s="27"/>
      <c r="O646" s="27"/>
      <c r="P646" s="27" t="s">
        <v>3373</v>
      </c>
      <c r="Q646" s="27" t="s">
        <v>3374</v>
      </c>
    </row>
    <row r="647" spans="1:17" ht="15" customHeight="1" x14ac:dyDescent="0.3">
      <c r="A647" s="27" t="s">
        <v>3375</v>
      </c>
      <c r="B647" s="27" t="s">
        <v>3376</v>
      </c>
      <c r="C647" s="27" t="s">
        <v>3377</v>
      </c>
      <c r="D647" s="27">
        <v>2020</v>
      </c>
      <c r="E647" s="27" t="s">
        <v>48</v>
      </c>
      <c r="F647" s="27" t="s">
        <v>11</v>
      </c>
      <c r="G647" s="27"/>
      <c r="H647" s="27"/>
      <c r="I647" s="28" t="str">
        <f t="shared" si="20"/>
        <v/>
      </c>
      <c r="J647" s="27"/>
      <c r="K647" s="28" t="str">
        <f t="shared" si="21"/>
        <v/>
      </c>
      <c r="L647" s="27"/>
      <c r="M647" s="27"/>
      <c r="N647" s="27"/>
      <c r="O647" s="27"/>
      <c r="P647" s="27" t="s">
        <v>3378</v>
      </c>
      <c r="Q647" s="27" t="s">
        <v>3379</v>
      </c>
    </row>
    <row r="648" spans="1:17" ht="15" customHeight="1" x14ac:dyDescent="0.3">
      <c r="A648" s="27" t="s">
        <v>3380</v>
      </c>
      <c r="B648" s="27" t="s">
        <v>3381</v>
      </c>
      <c r="C648" s="27" t="s">
        <v>3382</v>
      </c>
      <c r="D648" s="27">
        <v>2025</v>
      </c>
      <c r="E648" s="27" t="s">
        <v>48</v>
      </c>
      <c r="F648" s="27" t="s">
        <v>13</v>
      </c>
      <c r="G648" s="27"/>
      <c r="H648" s="27"/>
      <c r="I648" s="28" t="str">
        <f t="shared" si="20"/>
        <v/>
      </c>
      <c r="J648" s="27"/>
      <c r="K648" s="28" t="str">
        <f t="shared" si="21"/>
        <v/>
      </c>
      <c r="L648" s="27"/>
      <c r="M648" s="27"/>
      <c r="N648" s="27"/>
      <c r="O648" s="27"/>
      <c r="P648" s="27" t="s">
        <v>3383</v>
      </c>
      <c r="Q648" s="27" t="s">
        <v>3384</v>
      </c>
    </row>
    <row r="649" spans="1:17" ht="15" customHeight="1" x14ac:dyDescent="0.3">
      <c r="A649" s="27" t="s">
        <v>3385</v>
      </c>
      <c r="B649" s="27" t="s">
        <v>3386</v>
      </c>
      <c r="C649" s="27" t="s">
        <v>3387</v>
      </c>
      <c r="D649" s="27">
        <v>2026</v>
      </c>
      <c r="E649" s="27" t="s">
        <v>48</v>
      </c>
      <c r="F649" s="27" t="s">
        <v>15</v>
      </c>
      <c r="G649" s="27"/>
      <c r="H649" s="27"/>
      <c r="I649" s="28" t="str">
        <f t="shared" si="20"/>
        <v/>
      </c>
      <c r="J649" s="27"/>
      <c r="K649" s="28" t="str">
        <f t="shared" si="21"/>
        <v/>
      </c>
      <c r="L649" s="27"/>
      <c r="M649" s="27"/>
      <c r="N649" s="27"/>
      <c r="O649" s="27"/>
      <c r="P649" s="27" t="s">
        <v>3388</v>
      </c>
      <c r="Q649" s="27" t="s">
        <v>3389</v>
      </c>
    </row>
    <row r="650" spans="1:17" ht="15" customHeight="1" x14ac:dyDescent="0.3">
      <c r="A650" s="27" t="s">
        <v>3390</v>
      </c>
      <c r="B650" s="27" t="s">
        <v>3391</v>
      </c>
      <c r="C650" s="27" t="s">
        <v>3392</v>
      </c>
      <c r="D650" s="27">
        <v>2025</v>
      </c>
      <c r="E650" s="27" t="s">
        <v>48</v>
      </c>
      <c r="F650" s="27" t="s">
        <v>11</v>
      </c>
      <c r="G650" s="27"/>
      <c r="H650" s="27"/>
      <c r="I650" s="28" t="str">
        <f t="shared" si="20"/>
        <v/>
      </c>
      <c r="J650" s="27"/>
      <c r="K650" s="28" t="str">
        <f t="shared" si="21"/>
        <v/>
      </c>
      <c r="L650" s="27"/>
      <c r="M650" s="27"/>
      <c r="N650" s="27"/>
      <c r="O650" s="27"/>
      <c r="P650" s="27" t="s">
        <v>3393</v>
      </c>
      <c r="Q650" s="27" t="s">
        <v>3394</v>
      </c>
    </row>
    <row r="651" spans="1:17" ht="15" customHeight="1" x14ac:dyDescent="0.3">
      <c r="A651" s="27" t="s">
        <v>3395</v>
      </c>
      <c r="B651" s="27" t="s">
        <v>3396</v>
      </c>
      <c r="C651" s="27" t="s">
        <v>3397</v>
      </c>
      <c r="D651" s="27">
        <v>2025</v>
      </c>
      <c r="E651" s="27" t="s">
        <v>48</v>
      </c>
      <c r="F651" s="27" t="s">
        <v>13</v>
      </c>
      <c r="G651" s="27"/>
      <c r="H651" s="27"/>
      <c r="I651" s="28" t="str">
        <f t="shared" si="20"/>
        <v/>
      </c>
      <c r="J651" s="27"/>
      <c r="K651" s="28" t="str">
        <f t="shared" si="21"/>
        <v/>
      </c>
      <c r="L651" s="27"/>
      <c r="M651" s="27"/>
      <c r="N651" s="27"/>
      <c r="O651" s="27"/>
      <c r="P651" s="27" t="s">
        <v>3398</v>
      </c>
      <c r="Q651" s="27" t="s">
        <v>3399</v>
      </c>
    </row>
    <row r="652" spans="1:17" ht="15" customHeight="1" x14ac:dyDescent="0.3">
      <c r="A652" s="27" t="s">
        <v>3400</v>
      </c>
      <c r="B652" s="27" t="s">
        <v>3401</v>
      </c>
      <c r="C652" s="27" t="s">
        <v>3402</v>
      </c>
      <c r="D652" s="27">
        <v>2026</v>
      </c>
      <c r="E652" s="27" t="s">
        <v>48</v>
      </c>
      <c r="F652" s="27" t="s">
        <v>15</v>
      </c>
      <c r="G652" s="27"/>
      <c r="H652" s="27"/>
      <c r="I652" s="28" t="str">
        <f t="shared" si="20"/>
        <v/>
      </c>
      <c r="J652" s="27"/>
      <c r="K652" s="28" t="str">
        <f t="shared" si="21"/>
        <v/>
      </c>
      <c r="L652" s="27"/>
      <c r="M652" s="27"/>
      <c r="N652" s="27"/>
      <c r="O652" s="27"/>
      <c r="P652" s="27" t="s">
        <v>3403</v>
      </c>
      <c r="Q652" s="27" t="s">
        <v>3404</v>
      </c>
    </row>
    <row r="653" spans="1:17" ht="15" customHeight="1" x14ac:dyDescent="0.3">
      <c r="A653" s="27" t="s">
        <v>3405</v>
      </c>
      <c r="B653" s="27" t="s">
        <v>3406</v>
      </c>
      <c r="C653" s="27" t="s">
        <v>3407</v>
      </c>
      <c r="D653" s="27">
        <v>2023</v>
      </c>
      <c r="E653" s="27" t="s">
        <v>48</v>
      </c>
      <c r="F653" s="27" t="s">
        <v>11</v>
      </c>
      <c r="G653" s="27"/>
      <c r="H653" s="27"/>
      <c r="I653" s="28" t="str">
        <f t="shared" si="20"/>
        <v/>
      </c>
      <c r="J653" s="27"/>
      <c r="K653" s="28" t="str">
        <f t="shared" si="21"/>
        <v/>
      </c>
      <c r="L653" s="27"/>
      <c r="M653" s="27"/>
      <c r="N653" s="27"/>
      <c r="O653" s="27"/>
      <c r="P653" s="27" t="s">
        <v>3408</v>
      </c>
      <c r="Q653" s="27" t="s">
        <v>3409</v>
      </c>
    </row>
    <row r="654" spans="1:17" ht="15" customHeight="1" x14ac:dyDescent="0.3">
      <c r="A654" s="27" t="s">
        <v>3410</v>
      </c>
      <c r="B654" s="27" t="s">
        <v>3411</v>
      </c>
      <c r="C654" s="27" t="s">
        <v>3412</v>
      </c>
      <c r="D654" s="27">
        <v>2025</v>
      </c>
      <c r="E654" s="27" t="s">
        <v>48</v>
      </c>
      <c r="F654" s="27" t="s">
        <v>13</v>
      </c>
      <c r="G654" s="27"/>
      <c r="H654" s="27"/>
      <c r="I654" s="28" t="str">
        <f t="shared" si="20"/>
        <v/>
      </c>
      <c r="J654" s="27"/>
      <c r="K654" s="28" t="str">
        <f t="shared" si="21"/>
        <v/>
      </c>
      <c r="L654" s="27"/>
      <c r="M654" s="27"/>
      <c r="N654" s="27"/>
      <c r="O654" s="27"/>
      <c r="P654" s="27" t="s">
        <v>3413</v>
      </c>
      <c r="Q654" s="27" t="s">
        <v>3414</v>
      </c>
    </row>
    <row r="655" spans="1:17" ht="15" customHeight="1" x14ac:dyDescent="0.3">
      <c r="A655" s="27" t="s">
        <v>3415</v>
      </c>
      <c r="B655" s="27" t="s">
        <v>3416</v>
      </c>
      <c r="C655" s="27" t="s">
        <v>3417</v>
      </c>
      <c r="D655" s="27">
        <v>2025</v>
      </c>
      <c r="E655" s="27" t="s">
        <v>48</v>
      </c>
      <c r="F655" s="27" t="s">
        <v>15</v>
      </c>
      <c r="G655" s="27"/>
      <c r="H655" s="27"/>
      <c r="I655" s="28" t="str">
        <f t="shared" si="20"/>
        <v/>
      </c>
      <c r="J655" s="27"/>
      <c r="K655" s="28" t="str">
        <f t="shared" si="21"/>
        <v/>
      </c>
      <c r="L655" s="27"/>
      <c r="M655" s="27"/>
      <c r="N655" s="27"/>
      <c r="O655" s="27"/>
      <c r="P655" s="27" t="s">
        <v>3418</v>
      </c>
      <c r="Q655" s="27" t="s">
        <v>3419</v>
      </c>
    </row>
    <row r="656" spans="1:17" ht="15" customHeight="1" x14ac:dyDescent="0.3">
      <c r="A656" s="27" t="s">
        <v>3420</v>
      </c>
      <c r="B656" s="27" t="s">
        <v>3421</v>
      </c>
      <c r="C656" s="27" t="s">
        <v>3422</v>
      </c>
      <c r="D656" s="27">
        <v>2025</v>
      </c>
      <c r="E656" s="27" t="s">
        <v>48</v>
      </c>
      <c r="F656" s="27" t="s">
        <v>11</v>
      </c>
      <c r="G656" s="27"/>
      <c r="H656" s="27"/>
      <c r="I656" s="28" t="str">
        <f t="shared" si="20"/>
        <v/>
      </c>
      <c r="J656" s="27"/>
      <c r="K656" s="28" t="str">
        <f t="shared" si="21"/>
        <v/>
      </c>
      <c r="L656" s="27"/>
      <c r="M656" s="27"/>
      <c r="N656" s="27"/>
      <c r="O656" s="27"/>
      <c r="P656" s="27" t="s">
        <v>3423</v>
      </c>
      <c r="Q656" s="27" t="s">
        <v>3424</v>
      </c>
    </row>
    <row r="657" spans="1:17" ht="15" customHeight="1" x14ac:dyDescent="0.3">
      <c r="A657" s="27" t="s">
        <v>3425</v>
      </c>
      <c r="B657" s="27" t="s">
        <v>3426</v>
      </c>
      <c r="C657" s="27" t="s">
        <v>3427</v>
      </c>
      <c r="D657" s="27">
        <v>2023</v>
      </c>
      <c r="E657" s="27" t="s">
        <v>48</v>
      </c>
      <c r="F657" s="27" t="s">
        <v>13</v>
      </c>
      <c r="G657" s="27"/>
      <c r="H657" s="27"/>
      <c r="I657" s="28" t="str">
        <f t="shared" si="20"/>
        <v/>
      </c>
      <c r="J657" s="27"/>
      <c r="K657" s="28" t="str">
        <f t="shared" si="21"/>
        <v/>
      </c>
      <c r="L657" s="27"/>
      <c r="M657" s="27"/>
      <c r="N657" s="27"/>
      <c r="O657" s="27"/>
      <c r="P657" s="27" t="s">
        <v>3428</v>
      </c>
      <c r="Q657" s="27" t="s">
        <v>3429</v>
      </c>
    </row>
    <row r="658" spans="1:17" ht="15" customHeight="1" x14ac:dyDescent="0.3">
      <c r="A658" s="27" t="s">
        <v>3430</v>
      </c>
      <c r="B658" s="27" t="s">
        <v>3431</v>
      </c>
      <c r="C658" s="27" t="s">
        <v>3432</v>
      </c>
      <c r="D658" s="27">
        <v>2025</v>
      </c>
      <c r="E658" s="27" t="s">
        <v>48</v>
      </c>
      <c r="F658" s="27" t="s">
        <v>15</v>
      </c>
      <c r="G658" s="27"/>
      <c r="H658" s="27"/>
      <c r="I658" s="28" t="str">
        <f t="shared" si="20"/>
        <v/>
      </c>
      <c r="J658" s="27"/>
      <c r="K658" s="28" t="str">
        <f t="shared" si="21"/>
        <v/>
      </c>
      <c r="L658" s="27"/>
      <c r="M658" s="27"/>
      <c r="N658" s="27"/>
      <c r="O658" s="27"/>
      <c r="P658" s="27" t="s">
        <v>3433</v>
      </c>
      <c r="Q658" s="27" t="s">
        <v>3434</v>
      </c>
    </row>
    <row r="659" spans="1:17" ht="15" customHeight="1" x14ac:dyDescent="0.3">
      <c r="A659" s="27" t="s">
        <v>3435</v>
      </c>
      <c r="B659" s="27" t="s">
        <v>3436</v>
      </c>
      <c r="C659" s="27" t="s">
        <v>3437</v>
      </c>
      <c r="D659" s="27">
        <v>2020</v>
      </c>
      <c r="E659" s="27" t="s">
        <v>48</v>
      </c>
      <c r="F659" s="27" t="s">
        <v>11</v>
      </c>
      <c r="G659" s="27"/>
      <c r="H659" s="27"/>
      <c r="I659" s="28" t="str">
        <f t="shared" si="20"/>
        <v/>
      </c>
      <c r="J659" s="27"/>
      <c r="K659" s="28" t="str">
        <f t="shared" si="21"/>
        <v/>
      </c>
      <c r="L659" s="27"/>
      <c r="M659" s="27"/>
      <c r="N659" s="27"/>
      <c r="O659" s="27"/>
      <c r="P659" s="27" t="s">
        <v>3438</v>
      </c>
      <c r="Q659" s="27" t="s">
        <v>3439</v>
      </c>
    </row>
    <row r="660" spans="1:17" ht="15" customHeight="1" x14ac:dyDescent="0.3">
      <c r="A660" s="27" t="s">
        <v>3440</v>
      </c>
      <c r="B660" s="27" t="s">
        <v>3441</v>
      </c>
      <c r="C660" s="27" t="s">
        <v>3442</v>
      </c>
      <c r="D660" s="27">
        <v>2021</v>
      </c>
      <c r="E660" s="27" t="s">
        <v>48</v>
      </c>
      <c r="F660" s="27" t="s">
        <v>13</v>
      </c>
      <c r="G660" s="27"/>
      <c r="H660" s="27"/>
      <c r="I660" s="28" t="str">
        <f t="shared" si="20"/>
        <v/>
      </c>
      <c r="J660" s="27"/>
      <c r="K660" s="28" t="str">
        <f t="shared" si="21"/>
        <v/>
      </c>
      <c r="L660" s="27"/>
      <c r="M660" s="27"/>
      <c r="N660" s="27"/>
      <c r="O660" s="27"/>
      <c r="P660" s="27" t="s">
        <v>3443</v>
      </c>
      <c r="Q660" s="27" t="s">
        <v>3444</v>
      </c>
    </row>
    <row r="661" spans="1:17" ht="15" customHeight="1" x14ac:dyDescent="0.3">
      <c r="A661" s="27" t="s">
        <v>3445</v>
      </c>
      <c r="B661" s="27" t="s">
        <v>3446</v>
      </c>
      <c r="C661" s="27" t="s">
        <v>3447</v>
      </c>
      <c r="D661" s="27">
        <v>2023</v>
      </c>
      <c r="E661" s="27" t="s">
        <v>48</v>
      </c>
      <c r="F661" s="27" t="s">
        <v>15</v>
      </c>
      <c r="G661" s="27"/>
      <c r="H661" s="27"/>
      <c r="I661" s="28" t="str">
        <f t="shared" si="20"/>
        <v/>
      </c>
      <c r="J661" s="27"/>
      <c r="K661" s="28" t="str">
        <f t="shared" si="21"/>
        <v/>
      </c>
      <c r="L661" s="27"/>
      <c r="M661" s="27"/>
      <c r="N661" s="27"/>
      <c r="O661" s="27"/>
      <c r="P661" s="27" t="s">
        <v>3448</v>
      </c>
      <c r="Q661" s="27" t="s">
        <v>3449</v>
      </c>
    </row>
    <row r="662" spans="1:17" ht="15" customHeight="1" x14ac:dyDescent="0.3">
      <c r="A662" s="27" t="s">
        <v>3450</v>
      </c>
      <c r="B662" s="27" t="s">
        <v>3451</v>
      </c>
      <c r="C662" s="27" t="s">
        <v>3452</v>
      </c>
      <c r="D662" s="27">
        <v>2026</v>
      </c>
      <c r="E662" s="27" t="s">
        <v>48</v>
      </c>
      <c r="F662" s="27" t="s">
        <v>11</v>
      </c>
      <c r="G662" s="27"/>
      <c r="H662" s="27"/>
      <c r="I662" s="28" t="str">
        <f t="shared" si="20"/>
        <v/>
      </c>
      <c r="J662" s="27"/>
      <c r="K662" s="28" t="str">
        <f t="shared" si="21"/>
        <v/>
      </c>
      <c r="L662" s="27"/>
      <c r="M662" s="27"/>
      <c r="N662" s="27"/>
      <c r="O662" s="27"/>
      <c r="P662" s="27" t="s">
        <v>3453</v>
      </c>
      <c r="Q662" s="27" t="s">
        <v>3454</v>
      </c>
    </row>
    <row r="663" spans="1:17" ht="15" customHeight="1" x14ac:dyDescent="0.3">
      <c r="A663" s="27" t="s">
        <v>3455</v>
      </c>
      <c r="B663" s="27" t="s">
        <v>3456</v>
      </c>
      <c r="C663" s="27" t="s">
        <v>3457</v>
      </c>
      <c r="D663" s="27">
        <v>2024</v>
      </c>
      <c r="E663" s="27" t="s">
        <v>48</v>
      </c>
      <c r="F663" s="27" t="s">
        <v>13</v>
      </c>
      <c r="G663" s="27"/>
      <c r="H663" s="27"/>
      <c r="I663" s="28" t="str">
        <f t="shared" si="20"/>
        <v/>
      </c>
      <c r="J663" s="27"/>
      <c r="K663" s="28" t="str">
        <f t="shared" si="21"/>
        <v/>
      </c>
      <c r="L663" s="27"/>
      <c r="M663" s="27"/>
      <c r="N663" s="27"/>
      <c r="O663" s="27"/>
      <c r="P663" s="27" t="s">
        <v>3458</v>
      </c>
      <c r="Q663" s="27" t="s">
        <v>3459</v>
      </c>
    </row>
    <row r="664" spans="1:17" ht="15" customHeight="1" x14ac:dyDescent="0.3">
      <c r="A664" s="27" t="s">
        <v>3460</v>
      </c>
      <c r="B664" s="27" t="s">
        <v>3461</v>
      </c>
      <c r="C664" s="27" t="s">
        <v>3462</v>
      </c>
      <c r="D664" s="27">
        <v>2021</v>
      </c>
      <c r="E664" s="27" t="s">
        <v>48</v>
      </c>
      <c r="F664" s="27" t="s">
        <v>15</v>
      </c>
      <c r="G664" s="27"/>
      <c r="H664" s="27"/>
      <c r="I664" s="28" t="str">
        <f t="shared" si="20"/>
        <v/>
      </c>
      <c r="J664" s="27"/>
      <c r="K664" s="28" t="str">
        <f t="shared" si="21"/>
        <v/>
      </c>
      <c r="L664" s="27"/>
      <c r="M664" s="27"/>
      <c r="N664" s="27"/>
      <c r="O664" s="27"/>
      <c r="P664" s="27" t="s">
        <v>3463</v>
      </c>
      <c r="Q664" s="27" t="s">
        <v>3464</v>
      </c>
    </row>
    <row r="665" spans="1:17" ht="15" customHeight="1" x14ac:dyDescent="0.3">
      <c r="A665" s="27" t="s">
        <v>3465</v>
      </c>
      <c r="B665" s="27" t="s">
        <v>3466</v>
      </c>
      <c r="C665" s="27" t="s">
        <v>3467</v>
      </c>
      <c r="D665" s="27">
        <v>2025</v>
      </c>
      <c r="E665" s="27" t="s">
        <v>48</v>
      </c>
      <c r="F665" s="27" t="s">
        <v>11</v>
      </c>
      <c r="G665" s="27"/>
      <c r="H665" s="27"/>
      <c r="I665" s="28" t="str">
        <f t="shared" si="20"/>
        <v/>
      </c>
      <c r="J665" s="27"/>
      <c r="K665" s="28" t="str">
        <f t="shared" si="21"/>
        <v/>
      </c>
      <c r="L665" s="27"/>
      <c r="M665" s="27"/>
      <c r="N665" s="27"/>
      <c r="O665" s="27"/>
      <c r="P665" s="27" t="s">
        <v>3468</v>
      </c>
      <c r="Q665" s="27" t="s">
        <v>3469</v>
      </c>
    </row>
    <row r="666" spans="1:17" ht="15" customHeight="1" x14ac:dyDescent="0.3">
      <c r="A666" s="27" t="s">
        <v>3470</v>
      </c>
      <c r="B666" s="27" t="s">
        <v>3471</v>
      </c>
      <c r="C666" s="27" t="s">
        <v>3472</v>
      </c>
      <c r="D666" s="27">
        <v>2022</v>
      </c>
      <c r="E666" s="27" t="s">
        <v>48</v>
      </c>
      <c r="F666" s="27" t="s">
        <v>13</v>
      </c>
      <c r="G666" s="27"/>
      <c r="H666" s="27"/>
      <c r="I666" s="28" t="str">
        <f t="shared" si="20"/>
        <v/>
      </c>
      <c r="J666" s="27"/>
      <c r="K666" s="28" t="str">
        <f t="shared" si="21"/>
        <v/>
      </c>
      <c r="L666" s="27"/>
      <c r="M666" s="27"/>
      <c r="N666" s="27"/>
      <c r="O666" s="27"/>
      <c r="P666" s="27" t="s">
        <v>3473</v>
      </c>
      <c r="Q666" s="27" t="s">
        <v>3474</v>
      </c>
    </row>
    <row r="667" spans="1:17" ht="15" customHeight="1" x14ac:dyDescent="0.3">
      <c r="A667" s="27" t="s">
        <v>3475</v>
      </c>
      <c r="B667" s="27" t="s">
        <v>3476</v>
      </c>
      <c r="C667" s="27" t="s">
        <v>3477</v>
      </c>
      <c r="D667" s="27">
        <v>2026</v>
      </c>
      <c r="E667" s="27" t="s">
        <v>48</v>
      </c>
      <c r="F667" s="27" t="s">
        <v>15</v>
      </c>
      <c r="G667" s="27"/>
      <c r="H667" s="27"/>
      <c r="I667" s="28" t="str">
        <f t="shared" si="20"/>
        <v/>
      </c>
      <c r="J667" s="27"/>
      <c r="K667" s="28" t="str">
        <f t="shared" si="21"/>
        <v/>
      </c>
      <c r="L667" s="27"/>
      <c r="M667" s="27"/>
      <c r="N667" s="27"/>
      <c r="O667" s="27"/>
      <c r="P667" s="27" t="s">
        <v>3478</v>
      </c>
      <c r="Q667" s="27" t="s">
        <v>3479</v>
      </c>
    </row>
    <row r="668" spans="1:17" ht="15" customHeight="1" x14ac:dyDescent="0.3">
      <c r="A668" s="27" t="s">
        <v>3480</v>
      </c>
      <c r="B668" s="27" t="s">
        <v>3481</v>
      </c>
      <c r="C668" s="27" t="s">
        <v>3482</v>
      </c>
      <c r="D668" s="27">
        <v>2024</v>
      </c>
      <c r="E668" s="27" t="s">
        <v>48</v>
      </c>
      <c r="F668" s="27" t="s">
        <v>11</v>
      </c>
      <c r="G668" s="27"/>
      <c r="H668" s="27"/>
      <c r="I668" s="28" t="str">
        <f t="shared" si="20"/>
        <v/>
      </c>
      <c r="J668" s="27"/>
      <c r="K668" s="28" t="str">
        <f t="shared" si="21"/>
        <v/>
      </c>
      <c r="L668" s="27"/>
      <c r="M668" s="27"/>
      <c r="N668" s="27"/>
      <c r="O668" s="27"/>
      <c r="P668" s="27" t="s">
        <v>3483</v>
      </c>
      <c r="Q668" s="27" t="s">
        <v>3484</v>
      </c>
    </row>
    <row r="669" spans="1:17" ht="15" customHeight="1" x14ac:dyDescent="0.3">
      <c r="A669" s="27" t="s">
        <v>3485</v>
      </c>
      <c r="B669" s="27" t="s">
        <v>3486</v>
      </c>
      <c r="C669" s="27" t="s">
        <v>3487</v>
      </c>
      <c r="D669" s="27">
        <v>2024</v>
      </c>
      <c r="E669" s="27" t="s">
        <v>48</v>
      </c>
      <c r="F669" s="27" t="s">
        <v>13</v>
      </c>
      <c r="G669" s="27"/>
      <c r="H669" s="27"/>
      <c r="I669" s="28" t="str">
        <f t="shared" si="20"/>
        <v/>
      </c>
      <c r="J669" s="27"/>
      <c r="K669" s="28" t="str">
        <f t="shared" si="21"/>
        <v/>
      </c>
      <c r="L669" s="27"/>
      <c r="M669" s="27"/>
      <c r="N669" s="27"/>
      <c r="O669" s="27"/>
      <c r="P669" s="27" t="s">
        <v>3488</v>
      </c>
      <c r="Q669" s="27" t="s">
        <v>3489</v>
      </c>
    </row>
    <row r="670" spans="1:17" ht="15" customHeight="1" x14ac:dyDescent="0.3">
      <c r="A670" s="27" t="s">
        <v>3490</v>
      </c>
      <c r="B670" s="27" t="s">
        <v>3491</v>
      </c>
      <c r="C670" s="27" t="s">
        <v>3492</v>
      </c>
      <c r="D670" s="27">
        <v>2023</v>
      </c>
      <c r="E670" s="27" t="s">
        <v>48</v>
      </c>
      <c r="F670" s="27" t="s">
        <v>15</v>
      </c>
      <c r="G670" s="27"/>
      <c r="H670" s="27"/>
      <c r="I670" s="28" t="str">
        <f t="shared" si="20"/>
        <v/>
      </c>
      <c r="J670" s="27"/>
      <c r="K670" s="28" t="str">
        <f t="shared" si="21"/>
        <v/>
      </c>
      <c r="L670" s="27"/>
      <c r="M670" s="27"/>
      <c r="N670" s="27"/>
      <c r="O670" s="27"/>
      <c r="P670" s="27" t="s">
        <v>3493</v>
      </c>
      <c r="Q670" s="27" t="s">
        <v>3494</v>
      </c>
    </row>
    <row r="671" spans="1:17" ht="15" customHeight="1" x14ac:dyDescent="0.3">
      <c r="A671" s="27" t="s">
        <v>3495</v>
      </c>
      <c r="B671" s="27" t="s">
        <v>3496</v>
      </c>
      <c r="C671" s="27" t="s">
        <v>3497</v>
      </c>
      <c r="D671" s="27">
        <v>2022</v>
      </c>
      <c r="E671" s="27" t="s">
        <v>48</v>
      </c>
      <c r="F671" s="27" t="s">
        <v>11</v>
      </c>
      <c r="G671" s="27"/>
      <c r="H671" s="27"/>
      <c r="I671" s="28" t="str">
        <f t="shared" si="20"/>
        <v/>
      </c>
      <c r="J671" s="27"/>
      <c r="K671" s="28" t="str">
        <f t="shared" si="21"/>
        <v/>
      </c>
      <c r="L671" s="27"/>
      <c r="M671" s="27"/>
      <c r="N671" s="27"/>
      <c r="O671" s="27"/>
      <c r="P671" s="27" t="s">
        <v>3498</v>
      </c>
      <c r="Q671" s="27" t="s">
        <v>3499</v>
      </c>
    </row>
    <row r="672" spans="1:17" ht="15" customHeight="1" x14ac:dyDescent="0.3">
      <c r="A672" s="27" t="s">
        <v>3500</v>
      </c>
      <c r="B672" s="27" t="s">
        <v>3501</v>
      </c>
      <c r="C672" s="27" t="s">
        <v>3502</v>
      </c>
      <c r="D672" s="27">
        <v>2020</v>
      </c>
      <c r="E672" s="27" t="s">
        <v>48</v>
      </c>
      <c r="F672" s="27" t="s">
        <v>13</v>
      </c>
      <c r="G672" s="27"/>
      <c r="H672" s="27"/>
      <c r="I672" s="28" t="str">
        <f t="shared" si="20"/>
        <v/>
      </c>
      <c r="J672" s="27"/>
      <c r="K672" s="28" t="str">
        <f t="shared" si="21"/>
        <v/>
      </c>
      <c r="L672" s="27"/>
      <c r="M672" s="27"/>
      <c r="N672" s="27"/>
      <c r="O672" s="27"/>
      <c r="P672" s="27" t="s">
        <v>3503</v>
      </c>
      <c r="Q672" s="27" t="s">
        <v>3504</v>
      </c>
    </row>
    <row r="673" spans="1:17" ht="15" customHeight="1" x14ac:dyDescent="0.3">
      <c r="A673" s="27" t="s">
        <v>3505</v>
      </c>
      <c r="B673" s="27" t="s">
        <v>3506</v>
      </c>
      <c r="C673" s="27" t="s">
        <v>3507</v>
      </c>
      <c r="D673" s="27">
        <v>2022</v>
      </c>
      <c r="E673" s="27" t="s">
        <v>48</v>
      </c>
      <c r="F673" s="27" t="s">
        <v>15</v>
      </c>
      <c r="G673" s="27"/>
      <c r="H673" s="27"/>
      <c r="I673" s="28" t="str">
        <f t="shared" si="20"/>
        <v/>
      </c>
      <c r="J673" s="27"/>
      <c r="K673" s="28" t="str">
        <f t="shared" si="21"/>
        <v/>
      </c>
      <c r="L673" s="27"/>
      <c r="M673" s="27"/>
      <c r="N673" s="27"/>
      <c r="O673" s="27"/>
      <c r="P673" s="27" t="s">
        <v>3508</v>
      </c>
      <c r="Q673" s="27" t="s">
        <v>3509</v>
      </c>
    </row>
    <row r="674" spans="1:17" ht="15" customHeight="1" x14ac:dyDescent="0.3">
      <c r="A674" s="27" t="s">
        <v>3510</v>
      </c>
      <c r="B674" s="27" t="s">
        <v>3511</v>
      </c>
      <c r="C674" s="27" t="s">
        <v>3512</v>
      </c>
      <c r="D674" s="27">
        <v>2026</v>
      </c>
      <c r="E674" s="27" t="s">
        <v>48</v>
      </c>
      <c r="F674" s="27" t="s">
        <v>11</v>
      </c>
      <c r="G674" s="27"/>
      <c r="H674" s="27"/>
      <c r="I674" s="28" t="str">
        <f t="shared" si="20"/>
        <v/>
      </c>
      <c r="J674" s="27"/>
      <c r="K674" s="28" t="str">
        <f t="shared" si="21"/>
        <v/>
      </c>
      <c r="L674" s="27"/>
      <c r="M674" s="27"/>
      <c r="N674" s="27"/>
      <c r="O674" s="27"/>
      <c r="P674" s="27" t="s">
        <v>3513</v>
      </c>
      <c r="Q674" s="27" t="s">
        <v>3514</v>
      </c>
    </row>
    <row r="675" spans="1:17" ht="15" customHeight="1" x14ac:dyDescent="0.3">
      <c r="A675" s="27" t="s">
        <v>3515</v>
      </c>
      <c r="B675" s="27" t="s">
        <v>3516</v>
      </c>
      <c r="C675" s="27" t="s">
        <v>3517</v>
      </c>
      <c r="D675" s="27">
        <v>2019</v>
      </c>
      <c r="E675" s="27" t="s">
        <v>48</v>
      </c>
      <c r="F675" s="27" t="s">
        <v>13</v>
      </c>
      <c r="G675" s="27"/>
      <c r="H675" s="27"/>
      <c r="I675" s="28" t="str">
        <f t="shared" si="20"/>
        <v/>
      </c>
      <c r="J675" s="27"/>
      <c r="K675" s="28" t="str">
        <f t="shared" si="21"/>
        <v/>
      </c>
      <c r="L675" s="27"/>
      <c r="M675" s="27"/>
      <c r="N675" s="27"/>
      <c r="O675" s="27"/>
      <c r="P675" s="27" t="s">
        <v>3518</v>
      </c>
      <c r="Q675" s="27" t="s">
        <v>3519</v>
      </c>
    </row>
    <row r="676" spans="1:17" ht="15" customHeight="1" x14ac:dyDescent="0.3">
      <c r="A676" s="27" t="s">
        <v>3520</v>
      </c>
      <c r="B676" s="27" t="s">
        <v>3521</v>
      </c>
      <c r="C676" s="27" t="s">
        <v>3522</v>
      </c>
      <c r="D676" s="27">
        <v>2023</v>
      </c>
      <c r="E676" s="27" t="s">
        <v>48</v>
      </c>
      <c r="F676" s="27" t="s">
        <v>15</v>
      </c>
      <c r="G676" s="27"/>
      <c r="H676" s="27"/>
      <c r="I676" s="28" t="str">
        <f t="shared" si="20"/>
        <v/>
      </c>
      <c r="J676" s="27"/>
      <c r="K676" s="28" t="str">
        <f t="shared" si="21"/>
        <v/>
      </c>
      <c r="L676" s="27"/>
      <c r="M676" s="27"/>
      <c r="N676" s="27"/>
      <c r="O676" s="27"/>
      <c r="P676" s="27" t="s">
        <v>3523</v>
      </c>
      <c r="Q676" s="27" t="s">
        <v>3524</v>
      </c>
    </row>
    <row r="677" spans="1:17" ht="15" customHeight="1" x14ac:dyDescent="0.3">
      <c r="A677" s="27" t="s">
        <v>3525</v>
      </c>
      <c r="B677" s="27" t="s">
        <v>3526</v>
      </c>
      <c r="C677" s="27" t="s">
        <v>3527</v>
      </c>
      <c r="D677" s="27">
        <v>2018</v>
      </c>
      <c r="E677" s="27" t="s">
        <v>48</v>
      </c>
      <c r="F677" s="27" t="s">
        <v>11</v>
      </c>
      <c r="G677" s="27"/>
      <c r="H677" s="27"/>
      <c r="I677" s="28" t="str">
        <f t="shared" si="20"/>
        <v/>
      </c>
      <c r="J677" s="27"/>
      <c r="K677" s="28" t="str">
        <f t="shared" si="21"/>
        <v/>
      </c>
      <c r="L677" s="27"/>
      <c r="M677" s="27"/>
      <c r="N677" s="27"/>
      <c r="O677" s="27"/>
      <c r="P677" s="27" t="s">
        <v>3528</v>
      </c>
      <c r="Q677" s="27" t="s">
        <v>3529</v>
      </c>
    </row>
    <row r="678" spans="1:17" ht="15" customHeight="1" x14ac:dyDescent="0.3">
      <c r="A678" s="27" t="s">
        <v>3530</v>
      </c>
      <c r="B678" s="27" t="s">
        <v>3531</v>
      </c>
      <c r="C678" s="27" t="s">
        <v>3532</v>
      </c>
      <c r="D678" s="27">
        <v>2017</v>
      </c>
      <c r="E678" s="27" t="s">
        <v>48</v>
      </c>
      <c r="F678" s="27" t="s">
        <v>13</v>
      </c>
      <c r="G678" s="27"/>
      <c r="H678" s="27"/>
      <c r="I678" s="28" t="str">
        <f t="shared" si="20"/>
        <v/>
      </c>
      <c r="J678" s="27"/>
      <c r="K678" s="28" t="str">
        <f t="shared" si="21"/>
        <v/>
      </c>
      <c r="L678" s="27"/>
      <c r="M678" s="27"/>
      <c r="N678" s="27"/>
      <c r="O678" s="27"/>
      <c r="P678" s="27" t="s">
        <v>3533</v>
      </c>
      <c r="Q678" s="27" t="s">
        <v>3534</v>
      </c>
    </row>
    <row r="679" spans="1:17" ht="15" customHeight="1" x14ac:dyDescent="0.3">
      <c r="A679" s="27" t="s">
        <v>3535</v>
      </c>
      <c r="B679" s="27" t="s">
        <v>3536</v>
      </c>
      <c r="C679" s="27" t="s">
        <v>3172</v>
      </c>
      <c r="D679" s="27">
        <v>2026</v>
      </c>
      <c r="E679" s="27" t="s">
        <v>48</v>
      </c>
      <c r="F679" s="27" t="s">
        <v>15</v>
      </c>
      <c r="G679" s="27"/>
      <c r="H679" s="27"/>
      <c r="I679" s="28" t="str">
        <f t="shared" si="20"/>
        <v/>
      </c>
      <c r="J679" s="27"/>
      <c r="K679" s="28" t="str">
        <f t="shared" si="21"/>
        <v/>
      </c>
      <c r="L679" s="27"/>
      <c r="M679" s="27"/>
      <c r="N679" s="27"/>
      <c r="O679" s="27"/>
      <c r="P679" s="27" t="s">
        <v>3537</v>
      </c>
      <c r="Q679" s="27" t="s">
        <v>3538</v>
      </c>
    </row>
    <row r="680" spans="1:17" ht="15" customHeight="1" x14ac:dyDescent="0.3">
      <c r="A680" s="27" t="s">
        <v>3539</v>
      </c>
      <c r="B680" s="27" t="s">
        <v>3540</v>
      </c>
      <c r="C680" s="27" t="s">
        <v>3541</v>
      </c>
      <c r="D680" s="27">
        <v>2019</v>
      </c>
      <c r="E680" s="27" t="s">
        <v>48</v>
      </c>
      <c r="F680" s="27" t="s">
        <v>11</v>
      </c>
      <c r="G680" s="27"/>
      <c r="H680" s="27"/>
      <c r="I680" s="28" t="str">
        <f t="shared" si="20"/>
        <v/>
      </c>
      <c r="J680" s="27"/>
      <c r="K680" s="28" t="str">
        <f t="shared" si="21"/>
        <v/>
      </c>
      <c r="L680" s="27"/>
      <c r="M680" s="27"/>
      <c r="N680" s="27"/>
      <c r="O680" s="27"/>
      <c r="P680" s="27" t="s">
        <v>3542</v>
      </c>
      <c r="Q680" s="27" t="s">
        <v>3543</v>
      </c>
    </row>
    <row r="681" spans="1:17" ht="15" customHeight="1" x14ac:dyDescent="0.3">
      <c r="A681" s="27" t="s">
        <v>3544</v>
      </c>
      <c r="B681" s="27" t="s">
        <v>3545</v>
      </c>
      <c r="C681" s="27" t="s">
        <v>3546</v>
      </c>
      <c r="D681" s="27">
        <v>2021</v>
      </c>
      <c r="E681" s="27" t="s">
        <v>48</v>
      </c>
      <c r="F681" s="27" t="s">
        <v>13</v>
      </c>
      <c r="G681" s="27"/>
      <c r="H681" s="27"/>
      <c r="I681" s="28" t="str">
        <f t="shared" si="20"/>
        <v/>
      </c>
      <c r="J681" s="27"/>
      <c r="K681" s="28" t="str">
        <f t="shared" si="21"/>
        <v/>
      </c>
      <c r="L681" s="27"/>
      <c r="M681" s="27"/>
      <c r="N681" s="27"/>
      <c r="O681" s="27"/>
      <c r="P681" s="27" t="s">
        <v>3547</v>
      </c>
      <c r="Q681" s="27" t="s">
        <v>3548</v>
      </c>
    </row>
    <row r="682" spans="1:17" ht="15" customHeight="1" x14ac:dyDescent="0.3">
      <c r="A682" s="27" t="s">
        <v>3549</v>
      </c>
      <c r="B682" s="27" t="s">
        <v>3550</v>
      </c>
      <c r="C682" s="27" t="s">
        <v>3551</v>
      </c>
      <c r="D682" s="27">
        <v>2025</v>
      </c>
      <c r="E682" s="27" t="s">
        <v>48</v>
      </c>
      <c r="F682" s="27" t="s">
        <v>15</v>
      </c>
      <c r="G682" s="27"/>
      <c r="H682" s="27"/>
      <c r="I682" s="28" t="str">
        <f t="shared" si="20"/>
        <v/>
      </c>
      <c r="J682" s="27"/>
      <c r="K682" s="28" t="str">
        <f t="shared" si="21"/>
        <v/>
      </c>
      <c r="L682" s="27"/>
      <c r="M682" s="27"/>
      <c r="N682" s="27"/>
      <c r="O682" s="27"/>
      <c r="P682" s="27" t="s">
        <v>3552</v>
      </c>
      <c r="Q682" s="27" t="s">
        <v>3553</v>
      </c>
    </row>
    <row r="683" spans="1:17" ht="15" customHeight="1" x14ac:dyDescent="0.3">
      <c r="A683" s="27" t="s">
        <v>3554</v>
      </c>
      <c r="B683" s="27" t="s">
        <v>3555</v>
      </c>
      <c r="C683" s="27" t="s">
        <v>3556</v>
      </c>
      <c r="D683" s="27">
        <v>2022</v>
      </c>
      <c r="E683" s="27" t="s">
        <v>48</v>
      </c>
      <c r="F683" s="27" t="s">
        <v>11</v>
      </c>
      <c r="G683" s="27"/>
      <c r="H683" s="27"/>
      <c r="I683" s="28" t="str">
        <f t="shared" si="20"/>
        <v/>
      </c>
      <c r="J683" s="27"/>
      <c r="K683" s="28" t="str">
        <f t="shared" si="21"/>
        <v/>
      </c>
      <c r="L683" s="27"/>
      <c r="M683" s="27"/>
      <c r="N683" s="27"/>
      <c r="O683" s="27"/>
      <c r="P683" s="27" t="s">
        <v>238</v>
      </c>
      <c r="Q683" s="27" t="s">
        <v>3557</v>
      </c>
    </row>
    <row r="684" spans="1:17" ht="15" customHeight="1" x14ac:dyDescent="0.3">
      <c r="A684" s="27" t="s">
        <v>3558</v>
      </c>
      <c r="B684" s="27" t="s">
        <v>3559</v>
      </c>
      <c r="C684" s="27" t="s">
        <v>3560</v>
      </c>
      <c r="D684" s="27">
        <v>2026</v>
      </c>
      <c r="E684" s="27" t="s">
        <v>48</v>
      </c>
      <c r="F684" s="27" t="s">
        <v>13</v>
      </c>
      <c r="G684" s="27"/>
      <c r="H684" s="27"/>
      <c r="I684" s="28" t="str">
        <f t="shared" si="20"/>
        <v/>
      </c>
      <c r="J684" s="27"/>
      <c r="K684" s="28" t="str">
        <f t="shared" si="21"/>
        <v/>
      </c>
      <c r="L684" s="27"/>
      <c r="M684" s="27"/>
      <c r="N684" s="27"/>
      <c r="O684" s="27"/>
      <c r="P684" s="27" t="s">
        <v>3561</v>
      </c>
      <c r="Q684" s="27" t="s">
        <v>3562</v>
      </c>
    </row>
    <row r="685" spans="1:17" ht="15" customHeight="1" x14ac:dyDescent="0.3">
      <c r="A685" s="27" t="s">
        <v>3563</v>
      </c>
      <c r="B685" s="27" t="s">
        <v>3564</v>
      </c>
      <c r="C685" s="27" t="s">
        <v>3565</v>
      </c>
      <c r="D685" s="27">
        <v>2019</v>
      </c>
      <c r="E685" s="27" t="s">
        <v>48</v>
      </c>
      <c r="F685" s="27" t="s">
        <v>15</v>
      </c>
      <c r="G685" s="27"/>
      <c r="H685" s="27"/>
      <c r="I685" s="28" t="str">
        <f t="shared" si="20"/>
        <v/>
      </c>
      <c r="J685" s="27"/>
      <c r="K685" s="28" t="str">
        <f t="shared" si="21"/>
        <v/>
      </c>
      <c r="L685" s="27"/>
      <c r="M685" s="27"/>
      <c r="N685" s="27"/>
      <c r="O685" s="27"/>
      <c r="P685" s="27" t="s">
        <v>3566</v>
      </c>
      <c r="Q685" s="27" t="s">
        <v>3567</v>
      </c>
    </row>
    <row r="686" spans="1:17" ht="15" customHeight="1" x14ac:dyDescent="0.3">
      <c r="A686" s="27" t="s">
        <v>3568</v>
      </c>
      <c r="B686" s="27" t="s">
        <v>3569</v>
      </c>
      <c r="C686" s="27" t="s">
        <v>3570</v>
      </c>
      <c r="D686" s="27">
        <v>2025</v>
      </c>
      <c r="E686" s="27" t="s">
        <v>142</v>
      </c>
      <c r="F686" s="27" t="s">
        <v>11</v>
      </c>
      <c r="G686" s="27"/>
      <c r="H686" s="27"/>
      <c r="I686" s="28" t="str">
        <f t="shared" si="20"/>
        <v/>
      </c>
      <c r="J686" s="27"/>
      <c r="K686" s="28" t="str">
        <f t="shared" si="21"/>
        <v/>
      </c>
      <c r="L686" s="27"/>
      <c r="M686" s="27"/>
      <c r="N686" s="27"/>
      <c r="O686" s="27"/>
      <c r="P686" s="27" t="s">
        <v>3571</v>
      </c>
      <c r="Q686" s="27" t="s">
        <v>3572</v>
      </c>
    </row>
    <row r="687" spans="1:17" ht="15" customHeight="1" x14ac:dyDescent="0.3">
      <c r="A687" s="27" t="s">
        <v>3573</v>
      </c>
      <c r="B687" s="27" t="s">
        <v>3574</v>
      </c>
      <c r="C687" s="27" t="s">
        <v>3575</v>
      </c>
      <c r="D687" s="27">
        <v>2025</v>
      </c>
      <c r="E687" s="27" t="s">
        <v>48</v>
      </c>
      <c r="F687" s="27" t="s">
        <v>13</v>
      </c>
      <c r="G687" s="27"/>
      <c r="H687" s="27"/>
      <c r="I687" s="28" t="str">
        <f t="shared" si="20"/>
        <v/>
      </c>
      <c r="J687" s="27"/>
      <c r="K687" s="28" t="str">
        <f t="shared" si="21"/>
        <v/>
      </c>
      <c r="L687" s="27"/>
      <c r="M687" s="27"/>
      <c r="N687" s="27"/>
      <c r="O687" s="27"/>
      <c r="P687" s="27" t="s">
        <v>3576</v>
      </c>
      <c r="Q687" s="27" t="s">
        <v>3577</v>
      </c>
    </row>
    <row r="688" spans="1:17" ht="15" customHeight="1" x14ac:dyDescent="0.3">
      <c r="A688" s="27" t="s">
        <v>3578</v>
      </c>
      <c r="B688" s="27" t="s">
        <v>3579</v>
      </c>
      <c r="C688" s="27" t="s">
        <v>3580</v>
      </c>
      <c r="D688" s="27">
        <v>2022</v>
      </c>
      <c r="E688" s="27" t="s">
        <v>48</v>
      </c>
      <c r="F688" s="27" t="s">
        <v>15</v>
      </c>
      <c r="G688" s="27"/>
      <c r="H688" s="27"/>
      <c r="I688" s="28" t="str">
        <f t="shared" si="20"/>
        <v/>
      </c>
      <c r="J688" s="27"/>
      <c r="K688" s="28" t="str">
        <f t="shared" si="21"/>
        <v/>
      </c>
      <c r="L688" s="27"/>
      <c r="M688" s="27"/>
      <c r="N688" s="27"/>
      <c r="O688" s="27"/>
      <c r="P688" s="27" t="s">
        <v>3581</v>
      </c>
      <c r="Q688" s="27" t="s">
        <v>3582</v>
      </c>
    </row>
    <row r="689" spans="1:17" ht="15" customHeight="1" x14ac:dyDescent="0.3">
      <c r="A689" s="27" t="s">
        <v>3583</v>
      </c>
      <c r="B689" s="27" t="s">
        <v>3584</v>
      </c>
      <c r="C689" s="27" t="s">
        <v>3585</v>
      </c>
      <c r="D689" s="27">
        <v>2026</v>
      </c>
      <c r="E689" s="27" t="s">
        <v>48</v>
      </c>
      <c r="F689" s="27" t="s">
        <v>11</v>
      </c>
      <c r="G689" s="27"/>
      <c r="H689" s="27"/>
      <c r="I689" s="28" t="str">
        <f t="shared" si="20"/>
        <v/>
      </c>
      <c r="J689" s="27"/>
      <c r="K689" s="28" t="str">
        <f t="shared" si="21"/>
        <v/>
      </c>
      <c r="L689" s="27"/>
      <c r="M689" s="27"/>
      <c r="N689" s="27"/>
      <c r="O689" s="27"/>
      <c r="P689" s="27" t="s">
        <v>3586</v>
      </c>
      <c r="Q689" s="27" t="s">
        <v>3587</v>
      </c>
    </row>
    <row r="690" spans="1:17" ht="15" customHeight="1" x14ac:dyDescent="0.3">
      <c r="A690" s="27" t="s">
        <v>3588</v>
      </c>
      <c r="B690" s="27" t="s">
        <v>3589</v>
      </c>
      <c r="C690" s="27" t="s">
        <v>3590</v>
      </c>
      <c r="D690" s="27">
        <v>2022</v>
      </c>
      <c r="E690" s="27" t="s">
        <v>48</v>
      </c>
      <c r="F690" s="27" t="s">
        <v>13</v>
      </c>
      <c r="G690" s="27"/>
      <c r="H690" s="27"/>
      <c r="I690" s="28" t="str">
        <f t="shared" si="20"/>
        <v/>
      </c>
      <c r="J690" s="27"/>
      <c r="K690" s="28" t="str">
        <f t="shared" si="21"/>
        <v/>
      </c>
      <c r="L690" s="27"/>
      <c r="M690" s="27"/>
      <c r="N690" s="27"/>
      <c r="O690" s="27"/>
      <c r="P690" s="27" t="s">
        <v>238</v>
      </c>
      <c r="Q690" s="27" t="s">
        <v>3591</v>
      </c>
    </row>
    <row r="691" spans="1:17" ht="15" customHeight="1" x14ac:dyDescent="0.3">
      <c r="A691" s="27" t="s">
        <v>3592</v>
      </c>
      <c r="B691" s="27" t="s">
        <v>3593</v>
      </c>
      <c r="C691" s="27" t="s">
        <v>3594</v>
      </c>
      <c r="D691" s="27">
        <v>2021</v>
      </c>
      <c r="E691" s="27" t="s">
        <v>48</v>
      </c>
      <c r="F691" s="27" t="s">
        <v>15</v>
      </c>
      <c r="G691" s="27"/>
      <c r="H691" s="27"/>
      <c r="I691" s="28" t="str">
        <f t="shared" si="20"/>
        <v/>
      </c>
      <c r="J691" s="27"/>
      <c r="K691" s="28" t="str">
        <f t="shared" si="21"/>
        <v/>
      </c>
      <c r="L691" s="27"/>
      <c r="M691" s="27"/>
      <c r="N691" s="27"/>
      <c r="O691" s="27"/>
      <c r="P691" s="27" t="s">
        <v>3595</v>
      </c>
      <c r="Q691" s="27" t="s">
        <v>3596</v>
      </c>
    </row>
    <row r="692" spans="1:17" ht="15" customHeight="1" x14ac:dyDescent="0.3">
      <c r="A692" s="27" t="s">
        <v>3597</v>
      </c>
      <c r="B692" s="27" t="s">
        <v>3598</v>
      </c>
      <c r="C692" s="27" t="s">
        <v>3599</v>
      </c>
      <c r="D692" s="27">
        <v>2018</v>
      </c>
      <c r="E692" s="27" t="s">
        <v>48</v>
      </c>
      <c r="F692" s="27" t="s">
        <v>11</v>
      </c>
      <c r="G692" s="27"/>
      <c r="H692" s="27"/>
      <c r="I692" s="28" t="str">
        <f t="shared" si="20"/>
        <v/>
      </c>
      <c r="J692" s="27"/>
      <c r="K692" s="28" t="str">
        <f t="shared" si="21"/>
        <v/>
      </c>
      <c r="L692" s="27"/>
      <c r="M692" s="27"/>
      <c r="N692" s="27"/>
      <c r="O692" s="27"/>
      <c r="P692" s="27" t="s">
        <v>3600</v>
      </c>
      <c r="Q692" s="27" t="s">
        <v>3601</v>
      </c>
    </row>
    <row r="693" spans="1:17" ht="15" customHeight="1" x14ac:dyDescent="0.3">
      <c r="A693" s="27" t="s">
        <v>3602</v>
      </c>
      <c r="B693" s="27" t="s">
        <v>3603</v>
      </c>
      <c r="C693" s="27" t="s">
        <v>3604</v>
      </c>
      <c r="D693" s="27">
        <v>2026</v>
      </c>
      <c r="E693" s="27" t="s">
        <v>48</v>
      </c>
      <c r="F693" s="27" t="s">
        <v>13</v>
      </c>
      <c r="G693" s="27"/>
      <c r="H693" s="27"/>
      <c r="I693" s="28" t="str">
        <f t="shared" si="20"/>
        <v/>
      </c>
      <c r="J693" s="27"/>
      <c r="K693" s="28" t="str">
        <f t="shared" si="21"/>
        <v/>
      </c>
      <c r="L693" s="27"/>
      <c r="M693" s="27"/>
      <c r="N693" s="27"/>
      <c r="O693" s="27"/>
      <c r="P693" s="27" t="s">
        <v>3605</v>
      </c>
      <c r="Q693" s="27" t="s">
        <v>3606</v>
      </c>
    </row>
    <row r="694" spans="1:17" ht="15" customHeight="1" x14ac:dyDescent="0.3">
      <c r="A694" s="27" t="s">
        <v>3607</v>
      </c>
      <c r="B694" s="27" t="s">
        <v>3608</v>
      </c>
      <c r="C694" s="27" t="s">
        <v>3609</v>
      </c>
      <c r="D694" s="27">
        <v>2024</v>
      </c>
      <c r="E694" s="27" t="s">
        <v>48</v>
      </c>
      <c r="F694" s="27" t="s">
        <v>15</v>
      </c>
      <c r="G694" s="27"/>
      <c r="H694" s="27"/>
      <c r="I694" s="28" t="str">
        <f t="shared" si="20"/>
        <v/>
      </c>
      <c r="J694" s="27"/>
      <c r="K694" s="28" t="str">
        <f t="shared" si="21"/>
        <v/>
      </c>
      <c r="L694" s="27"/>
      <c r="M694" s="27"/>
      <c r="N694" s="27"/>
      <c r="O694" s="27"/>
      <c r="P694" s="27" t="s">
        <v>3610</v>
      </c>
      <c r="Q694" s="27" t="s">
        <v>3611</v>
      </c>
    </row>
    <row r="695" spans="1:17" ht="15" customHeight="1" x14ac:dyDescent="0.3">
      <c r="A695" s="27" t="s">
        <v>3612</v>
      </c>
      <c r="B695" s="27" t="s">
        <v>3613</v>
      </c>
      <c r="C695" s="27" t="s">
        <v>3614</v>
      </c>
      <c r="D695" s="27">
        <v>2025</v>
      </c>
      <c r="E695" s="27" t="s">
        <v>48</v>
      </c>
      <c r="F695" s="27" t="s">
        <v>11</v>
      </c>
      <c r="G695" s="27"/>
      <c r="H695" s="27"/>
      <c r="I695" s="28" t="str">
        <f t="shared" si="20"/>
        <v/>
      </c>
      <c r="J695" s="27"/>
      <c r="K695" s="28" t="str">
        <f t="shared" si="21"/>
        <v/>
      </c>
      <c r="L695" s="27"/>
      <c r="M695" s="27"/>
      <c r="N695" s="27"/>
      <c r="O695" s="27"/>
      <c r="P695" s="27" t="s">
        <v>3615</v>
      </c>
      <c r="Q695" s="27" t="s">
        <v>3616</v>
      </c>
    </row>
    <row r="696" spans="1:17" ht="15" customHeight="1" x14ac:dyDescent="0.3">
      <c r="A696" s="27" t="s">
        <v>3617</v>
      </c>
      <c r="B696" s="27" t="s">
        <v>3618</v>
      </c>
      <c r="C696" s="27" t="s">
        <v>3619</v>
      </c>
      <c r="D696" s="27">
        <v>2024</v>
      </c>
      <c r="E696" s="27" t="s">
        <v>48</v>
      </c>
      <c r="F696" s="27" t="s">
        <v>13</v>
      </c>
      <c r="G696" s="27"/>
      <c r="H696" s="27"/>
      <c r="I696" s="28" t="str">
        <f t="shared" si="20"/>
        <v/>
      </c>
      <c r="J696" s="27"/>
      <c r="K696" s="28" t="str">
        <f t="shared" si="21"/>
        <v/>
      </c>
      <c r="L696" s="27"/>
      <c r="M696" s="27"/>
      <c r="N696" s="27"/>
      <c r="O696" s="27"/>
      <c r="P696" s="27" t="s">
        <v>3620</v>
      </c>
      <c r="Q696" s="27" t="s">
        <v>3621</v>
      </c>
    </row>
    <row r="697" spans="1:17" ht="15" customHeight="1" x14ac:dyDescent="0.3">
      <c r="A697" s="27" t="s">
        <v>3622</v>
      </c>
      <c r="B697" s="27" t="s">
        <v>3623</v>
      </c>
      <c r="C697" s="27" t="s">
        <v>3624</v>
      </c>
      <c r="D697" s="27">
        <v>2025</v>
      </c>
      <c r="E697" s="27" t="s">
        <v>48</v>
      </c>
      <c r="F697" s="27" t="s">
        <v>15</v>
      </c>
      <c r="G697" s="27"/>
      <c r="H697" s="27"/>
      <c r="I697" s="28" t="str">
        <f t="shared" si="20"/>
        <v/>
      </c>
      <c r="J697" s="27"/>
      <c r="K697" s="28" t="str">
        <f t="shared" si="21"/>
        <v/>
      </c>
      <c r="L697" s="27"/>
      <c r="M697" s="27"/>
      <c r="N697" s="27"/>
      <c r="O697" s="27"/>
      <c r="P697" s="27" t="s">
        <v>3625</v>
      </c>
      <c r="Q697" s="27" t="s">
        <v>3626</v>
      </c>
    </row>
    <row r="698" spans="1:17" ht="15" customHeight="1" x14ac:dyDescent="0.3">
      <c r="A698" s="27" t="s">
        <v>3627</v>
      </c>
      <c r="B698" s="27" t="s">
        <v>3628</v>
      </c>
      <c r="C698" s="27" t="s">
        <v>3629</v>
      </c>
      <c r="D698" s="27">
        <v>2021</v>
      </c>
      <c r="E698" s="27" t="s">
        <v>48</v>
      </c>
      <c r="F698" s="27" t="s">
        <v>11</v>
      </c>
      <c r="G698" s="27"/>
      <c r="H698" s="27"/>
      <c r="I698" s="28" t="str">
        <f t="shared" si="20"/>
        <v/>
      </c>
      <c r="J698" s="27"/>
      <c r="K698" s="28" t="str">
        <f t="shared" si="21"/>
        <v/>
      </c>
      <c r="L698" s="27"/>
      <c r="M698" s="27"/>
      <c r="N698" s="27"/>
      <c r="O698" s="27"/>
      <c r="P698" s="27" t="s">
        <v>3630</v>
      </c>
      <c r="Q698" s="27" t="s">
        <v>3631</v>
      </c>
    </row>
    <row r="699" spans="1:17" ht="15" customHeight="1" x14ac:dyDescent="0.3">
      <c r="A699" s="27" t="s">
        <v>3632</v>
      </c>
      <c r="B699" s="27" t="s">
        <v>3633</v>
      </c>
      <c r="C699" s="27" t="s">
        <v>3634</v>
      </c>
      <c r="D699" s="27">
        <v>2024</v>
      </c>
      <c r="E699" s="27" t="s">
        <v>48</v>
      </c>
      <c r="F699" s="27" t="s">
        <v>13</v>
      </c>
      <c r="G699" s="27"/>
      <c r="H699" s="27"/>
      <c r="I699" s="28" t="str">
        <f t="shared" si="20"/>
        <v/>
      </c>
      <c r="J699" s="27"/>
      <c r="K699" s="28" t="str">
        <f t="shared" si="21"/>
        <v/>
      </c>
      <c r="L699" s="27"/>
      <c r="M699" s="27"/>
      <c r="N699" s="27"/>
      <c r="O699" s="27"/>
      <c r="P699" s="27" t="s">
        <v>3635</v>
      </c>
      <c r="Q699" s="27" t="s">
        <v>3636</v>
      </c>
    </row>
    <row r="700" spans="1:17" ht="15" customHeight="1" x14ac:dyDescent="0.3">
      <c r="A700" s="27" t="s">
        <v>3637</v>
      </c>
      <c r="B700" s="27" t="s">
        <v>3638</v>
      </c>
      <c r="C700" s="27" t="s">
        <v>1026</v>
      </c>
      <c r="D700" s="27">
        <v>2018</v>
      </c>
      <c r="E700" s="27" t="s">
        <v>48</v>
      </c>
      <c r="F700" s="27" t="s">
        <v>15</v>
      </c>
      <c r="G700" s="27"/>
      <c r="H700" s="27"/>
      <c r="I700" s="28" t="str">
        <f t="shared" si="20"/>
        <v/>
      </c>
      <c r="J700" s="27"/>
      <c r="K700" s="28" t="str">
        <f t="shared" si="21"/>
        <v/>
      </c>
      <c r="L700" s="27"/>
      <c r="M700" s="27"/>
      <c r="N700" s="27"/>
      <c r="O700" s="27"/>
      <c r="P700" s="27" t="s">
        <v>3639</v>
      </c>
      <c r="Q700" s="27" t="s">
        <v>3640</v>
      </c>
    </row>
    <row r="701" spans="1:17" ht="15" customHeight="1" x14ac:dyDescent="0.3">
      <c r="A701" s="27" t="s">
        <v>3641</v>
      </c>
      <c r="B701" s="27" t="s">
        <v>3642</v>
      </c>
      <c r="C701" s="27" t="s">
        <v>843</v>
      </c>
      <c r="D701" s="27">
        <v>2023</v>
      </c>
      <c r="E701" s="27" t="s">
        <v>48</v>
      </c>
      <c r="F701" s="27" t="s">
        <v>11</v>
      </c>
      <c r="G701" s="27"/>
      <c r="H701" s="27"/>
      <c r="I701" s="28" t="str">
        <f t="shared" si="20"/>
        <v/>
      </c>
      <c r="J701" s="27"/>
      <c r="K701" s="28" t="str">
        <f t="shared" si="21"/>
        <v/>
      </c>
      <c r="L701" s="27"/>
      <c r="M701" s="27"/>
      <c r="N701" s="27"/>
      <c r="O701" s="27"/>
      <c r="P701" s="27" t="s">
        <v>3643</v>
      </c>
      <c r="Q701" s="27" t="s">
        <v>3644</v>
      </c>
    </row>
    <row r="702" spans="1:17" ht="15" customHeight="1" x14ac:dyDescent="0.3">
      <c r="A702" s="27" t="s">
        <v>3645</v>
      </c>
      <c r="B702" s="27" t="s">
        <v>3646</v>
      </c>
      <c r="C702" s="27" t="s">
        <v>3647</v>
      </c>
      <c r="D702" s="27">
        <v>2025</v>
      </c>
      <c r="E702" s="27" t="s">
        <v>48</v>
      </c>
      <c r="F702" s="27" t="s">
        <v>13</v>
      </c>
      <c r="G702" s="27"/>
      <c r="H702" s="27"/>
      <c r="I702" s="28" t="str">
        <f t="shared" si="20"/>
        <v/>
      </c>
      <c r="J702" s="27"/>
      <c r="K702" s="28" t="str">
        <f t="shared" si="21"/>
        <v/>
      </c>
      <c r="L702" s="27"/>
      <c r="M702" s="27"/>
      <c r="N702" s="27"/>
      <c r="O702" s="27"/>
      <c r="P702" s="27" t="s">
        <v>3648</v>
      </c>
      <c r="Q702" s="27" t="s">
        <v>3649</v>
      </c>
    </row>
    <row r="703" spans="1:17" ht="15" customHeight="1" x14ac:dyDescent="0.3">
      <c r="A703" s="27" t="s">
        <v>3650</v>
      </c>
      <c r="B703" s="27" t="s">
        <v>3651</v>
      </c>
      <c r="C703" s="27" t="s">
        <v>3652</v>
      </c>
      <c r="D703" s="27">
        <v>2025</v>
      </c>
      <c r="E703" s="27" t="s">
        <v>48</v>
      </c>
      <c r="F703" s="27" t="s">
        <v>15</v>
      </c>
      <c r="G703" s="27"/>
      <c r="H703" s="27"/>
      <c r="I703" s="28" t="str">
        <f t="shared" si="20"/>
        <v/>
      </c>
      <c r="J703" s="27"/>
      <c r="K703" s="28" t="str">
        <f t="shared" si="21"/>
        <v/>
      </c>
      <c r="L703" s="27"/>
      <c r="M703" s="27"/>
      <c r="N703" s="27"/>
      <c r="O703" s="27"/>
      <c r="P703" s="27" t="s">
        <v>3653</v>
      </c>
      <c r="Q703" s="27" t="s">
        <v>3654</v>
      </c>
    </row>
    <row r="704" spans="1:17" ht="15" customHeight="1" x14ac:dyDescent="0.3">
      <c r="A704" s="27" t="s">
        <v>3655</v>
      </c>
      <c r="B704" s="27" t="s">
        <v>3656</v>
      </c>
      <c r="C704" s="27" t="s">
        <v>3657</v>
      </c>
      <c r="D704" s="27">
        <v>2025</v>
      </c>
      <c r="E704" s="27" t="s">
        <v>48</v>
      </c>
      <c r="F704" s="27" t="s">
        <v>11</v>
      </c>
      <c r="G704" s="27"/>
      <c r="H704" s="27"/>
      <c r="I704" s="28" t="str">
        <f t="shared" si="20"/>
        <v/>
      </c>
      <c r="J704" s="27"/>
      <c r="K704" s="28" t="str">
        <f t="shared" si="21"/>
        <v/>
      </c>
      <c r="L704" s="27"/>
      <c r="M704" s="27"/>
      <c r="N704" s="27"/>
      <c r="O704" s="27"/>
      <c r="P704" s="27" t="s">
        <v>3658</v>
      </c>
      <c r="Q704" s="27" t="s">
        <v>3659</v>
      </c>
    </row>
    <row r="705" spans="1:17" ht="15" customHeight="1" x14ac:dyDescent="0.3">
      <c r="A705" s="27" t="s">
        <v>3660</v>
      </c>
      <c r="B705" s="27" t="s">
        <v>3661</v>
      </c>
      <c r="C705" s="27" t="s">
        <v>1374</v>
      </c>
      <c r="D705" s="27">
        <v>2023</v>
      </c>
      <c r="E705" s="27" t="s">
        <v>48</v>
      </c>
      <c r="F705" s="27" t="s">
        <v>13</v>
      </c>
      <c r="G705" s="27"/>
      <c r="H705" s="27"/>
      <c r="I705" s="28" t="str">
        <f t="shared" si="20"/>
        <v/>
      </c>
      <c r="J705" s="27"/>
      <c r="K705" s="28" t="str">
        <f t="shared" si="21"/>
        <v/>
      </c>
      <c r="L705" s="27"/>
      <c r="M705" s="27"/>
      <c r="N705" s="27"/>
      <c r="O705" s="27"/>
      <c r="P705" s="27" t="s">
        <v>3662</v>
      </c>
      <c r="Q705" s="27" t="s">
        <v>3663</v>
      </c>
    </row>
    <row r="706" spans="1:17" ht="15" customHeight="1" x14ac:dyDescent="0.3">
      <c r="A706" s="27" t="s">
        <v>3664</v>
      </c>
      <c r="B706" s="27" t="s">
        <v>3665</v>
      </c>
      <c r="C706" s="27" t="s">
        <v>3666</v>
      </c>
      <c r="D706" s="27">
        <v>2026</v>
      </c>
      <c r="E706" s="27" t="s">
        <v>48</v>
      </c>
      <c r="F706" s="27" t="s">
        <v>15</v>
      </c>
      <c r="G706" s="27"/>
      <c r="H706" s="27"/>
      <c r="I706" s="28" t="str">
        <f t="shared" ref="I706:I769" si="22">IF(OR(G706="",H706=""),"",IF(G706=H706,"Yes","No"))</f>
        <v/>
      </c>
      <c r="J706" s="27"/>
      <c r="K706" s="28" t="str">
        <f t="shared" ref="K706:K769" si="23">IF(OR(E706="Snowballing",E706="Other sources"),"n/a",IF(AND(G706="",H706=""),"",IF(OR(G706="",H706=""),"Waiting",IF(G706=H706,G706,IF(AND(G706&lt;&gt;"Exclude",H706&lt;&gt;"Exclude"),"Maybe",IF(J706&lt;&gt;"",J706,"Pending"))))))</f>
        <v/>
      </c>
      <c r="L706" s="27"/>
      <c r="M706" s="27"/>
      <c r="N706" s="27"/>
      <c r="O706" s="27"/>
      <c r="P706" s="27" t="s">
        <v>3667</v>
      </c>
      <c r="Q706" s="27" t="s">
        <v>3668</v>
      </c>
    </row>
    <row r="707" spans="1:17" ht="15" customHeight="1" x14ac:dyDescent="0.3">
      <c r="A707" s="27" t="s">
        <v>3669</v>
      </c>
      <c r="B707" s="27" t="s">
        <v>3670</v>
      </c>
      <c r="C707" s="27" t="s">
        <v>3671</v>
      </c>
      <c r="D707" s="27">
        <v>2025</v>
      </c>
      <c r="E707" s="27" t="s">
        <v>48</v>
      </c>
      <c r="F707" s="27" t="s">
        <v>11</v>
      </c>
      <c r="G707" s="27"/>
      <c r="H707" s="27"/>
      <c r="I707" s="28" t="str">
        <f t="shared" si="22"/>
        <v/>
      </c>
      <c r="J707" s="27"/>
      <c r="K707" s="28" t="str">
        <f t="shared" si="23"/>
        <v/>
      </c>
      <c r="L707" s="27"/>
      <c r="M707" s="27"/>
      <c r="N707" s="27"/>
      <c r="O707" s="27"/>
      <c r="P707" s="27" t="s">
        <v>3672</v>
      </c>
      <c r="Q707" s="27" t="s">
        <v>3673</v>
      </c>
    </row>
    <row r="708" spans="1:17" ht="15" customHeight="1" x14ac:dyDescent="0.3">
      <c r="A708" s="27" t="s">
        <v>3674</v>
      </c>
      <c r="B708" s="27" t="s">
        <v>3675</v>
      </c>
      <c r="C708" s="27" t="s">
        <v>3676</v>
      </c>
      <c r="D708" s="27">
        <v>2024</v>
      </c>
      <c r="E708" s="27" t="s">
        <v>48</v>
      </c>
      <c r="F708" s="27" t="s">
        <v>13</v>
      </c>
      <c r="G708" s="27"/>
      <c r="H708" s="27"/>
      <c r="I708" s="28" t="str">
        <f t="shared" si="22"/>
        <v/>
      </c>
      <c r="J708" s="27"/>
      <c r="K708" s="28" t="str">
        <f t="shared" si="23"/>
        <v/>
      </c>
      <c r="L708" s="27"/>
      <c r="M708" s="27"/>
      <c r="N708" s="27"/>
      <c r="O708" s="27"/>
      <c r="P708" s="27" t="s">
        <v>3677</v>
      </c>
      <c r="Q708" s="27" t="s">
        <v>3678</v>
      </c>
    </row>
    <row r="709" spans="1:17" ht="15" customHeight="1" x14ac:dyDescent="0.3">
      <c r="A709" s="27" t="s">
        <v>3679</v>
      </c>
      <c r="B709" s="27" t="s">
        <v>3680</v>
      </c>
      <c r="C709" s="27" t="s">
        <v>3681</v>
      </c>
      <c r="D709" s="27">
        <v>2024</v>
      </c>
      <c r="E709" s="27" t="s">
        <v>48</v>
      </c>
      <c r="F709" s="27" t="s">
        <v>15</v>
      </c>
      <c r="G709" s="27"/>
      <c r="H709" s="27"/>
      <c r="I709" s="28" t="str">
        <f t="shared" si="22"/>
        <v/>
      </c>
      <c r="J709" s="27"/>
      <c r="K709" s="28" t="str">
        <f t="shared" si="23"/>
        <v/>
      </c>
      <c r="L709" s="27"/>
      <c r="M709" s="27"/>
      <c r="N709" s="27"/>
      <c r="O709" s="27"/>
      <c r="P709" s="27" t="s">
        <v>3682</v>
      </c>
      <c r="Q709" s="27" t="s">
        <v>3683</v>
      </c>
    </row>
    <row r="710" spans="1:17" ht="15" customHeight="1" x14ac:dyDescent="0.3">
      <c r="A710" s="27" t="s">
        <v>3684</v>
      </c>
      <c r="B710" s="27" t="s">
        <v>3685</v>
      </c>
      <c r="C710" s="27" t="s">
        <v>3686</v>
      </c>
      <c r="D710" s="27">
        <v>2026</v>
      </c>
      <c r="E710" s="27" t="s">
        <v>48</v>
      </c>
      <c r="F710" s="27" t="s">
        <v>11</v>
      </c>
      <c r="G710" s="27"/>
      <c r="H710" s="27"/>
      <c r="I710" s="28" t="str">
        <f t="shared" si="22"/>
        <v/>
      </c>
      <c r="J710" s="27"/>
      <c r="K710" s="28" t="str">
        <f t="shared" si="23"/>
        <v/>
      </c>
      <c r="L710" s="27"/>
      <c r="M710" s="27"/>
      <c r="N710" s="27"/>
      <c r="O710" s="27"/>
      <c r="P710" s="27" t="s">
        <v>3687</v>
      </c>
      <c r="Q710" s="27" t="s">
        <v>3688</v>
      </c>
    </row>
    <row r="711" spans="1:17" ht="15" customHeight="1" x14ac:dyDescent="0.3">
      <c r="A711" s="27" t="s">
        <v>3689</v>
      </c>
      <c r="B711" s="27" t="s">
        <v>3690</v>
      </c>
      <c r="C711" s="27" t="s">
        <v>3691</v>
      </c>
      <c r="D711" s="27">
        <v>2025</v>
      </c>
      <c r="E711" s="27" t="s">
        <v>48</v>
      </c>
      <c r="F711" s="27" t="s">
        <v>13</v>
      </c>
      <c r="G711" s="27"/>
      <c r="H711" s="27"/>
      <c r="I711" s="28" t="str">
        <f t="shared" si="22"/>
        <v/>
      </c>
      <c r="J711" s="27"/>
      <c r="K711" s="28" t="str">
        <f t="shared" si="23"/>
        <v/>
      </c>
      <c r="L711" s="27"/>
      <c r="M711" s="27"/>
      <c r="N711" s="27"/>
      <c r="O711" s="27"/>
      <c r="P711" s="27" t="s">
        <v>3692</v>
      </c>
      <c r="Q711" s="27" t="s">
        <v>3693</v>
      </c>
    </row>
    <row r="712" spans="1:17" ht="15" customHeight="1" x14ac:dyDescent="0.3">
      <c r="A712" s="27" t="s">
        <v>3694</v>
      </c>
      <c r="B712" s="27" t="s">
        <v>3695</v>
      </c>
      <c r="C712" s="27" t="s">
        <v>3696</v>
      </c>
      <c r="D712" s="27">
        <v>2024</v>
      </c>
      <c r="E712" s="27" t="s">
        <v>48</v>
      </c>
      <c r="F712" s="27" t="s">
        <v>15</v>
      </c>
      <c r="G712" s="27"/>
      <c r="H712" s="27"/>
      <c r="I712" s="28" t="str">
        <f t="shared" si="22"/>
        <v/>
      </c>
      <c r="J712" s="27"/>
      <c r="K712" s="28" t="str">
        <f t="shared" si="23"/>
        <v/>
      </c>
      <c r="L712" s="27"/>
      <c r="M712" s="27"/>
      <c r="N712" s="27"/>
      <c r="O712" s="27"/>
      <c r="P712" s="27" t="s">
        <v>3697</v>
      </c>
      <c r="Q712" s="27" t="s">
        <v>3698</v>
      </c>
    </row>
    <row r="713" spans="1:17" ht="15" customHeight="1" x14ac:dyDescent="0.3">
      <c r="A713" s="27" t="s">
        <v>3699</v>
      </c>
      <c r="B713" s="27" t="s">
        <v>3700</v>
      </c>
      <c r="C713" s="27" t="s">
        <v>3701</v>
      </c>
      <c r="D713" s="27">
        <v>2023</v>
      </c>
      <c r="E713" s="27" t="s">
        <v>142</v>
      </c>
      <c r="F713" s="27" t="s">
        <v>11</v>
      </c>
      <c r="G713" s="27"/>
      <c r="H713" s="27"/>
      <c r="I713" s="28" t="str">
        <f t="shared" si="22"/>
        <v/>
      </c>
      <c r="J713" s="27"/>
      <c r="K713" s="28" t="str">
        <f t="shared" si="23"/>
        <v/>
      </c>
      <c r="L713" s="27"/>
      <c r="M713" s="27"/>
      <c r="N713" s="27"/>
      <c r="O713" s="27"/>
      <c r="P713" s="27" t="s">
        <v>3702</v>
      </c>
      <c r="Q713" s="27" t="s">
        <v>3703</v>
      </c>
    </row>
    <row r="714" spans="1:17" ht="15" customHeight="1" x14ac:dyDescent="0.3">
      <c r="A714" s="27" t="s">
        <v>3704</v>
      </c>
      <c r="B714" s="27" t="s">
        <v>3705</v>
      </c>
      <c r="C714" s="27" t="s">
        <v>3706</v>
      </c>
      <c r="D714" s="27">
        <v>2019</v>
      </c>
      <c r="E714" s="27" t="s">
        <v>48</v>
      </c>
      <c r="F714" s="27" t="s">
        <v>13</v>
      </c>
      <c r="G714" s="27"/>
      <c r="H714" s="27"/>
      <c r="I714" s="28" t="str">
        <f t="shared" si="22"/>
        <v/>
      </c>
      <c r="J714" s="27"/>
      <c r="K714" s="28" t="str">
        <f t="shared" si="23"/>
        <v/>
      </c>
      <c r="L714" s="27"/>
      <c r="M714" s="27"/>
      <c r="N714" s="27"/>
      <c r="O714" s="27"/>
      <c r="P714" s="27" t="s">
        <v>3707</v>
      </c>
      <c r="Q714" s="27" t="s">
        <v>3708</v>
      </c>
    </row>
    <row r="715" spans="1:17" ht="15" customHeight="1" x14ac:dyDescent="0.3">
      <c r="A715" s="27" t="s">
        <v>3709</v>
      </c>
      <c r="B715" s="27" t="s">
        <v>3710</v>
      </c>
      <c r="C715" s="27" t="s">
        <v>3711</v>
      </c>
      <c r="D715" s="27">
        <v>2026</v>
      </c>
      <c r="E715" s="27" t="s">
        <v>48</v>
      </c>
      <c r="F715" s="27" t="s">
        <v>15</v>
      </c>
      <c r="G715" s="27"/>
      <c r="H715" s="27"/>
      <c r="I715" s="28" t="str">
        <f t="shared" si="22"/>
        <v/>
      </c>
      <c r="J715" s="27"/>
      <c r="K715" s="28" t="str">
        <f t="shared" si="23"/>
        <v/>
      </c>
      <c r="L715" s="27"/>
      <c r="M715" s="27"/>
      <c r="N715" s="27"/>
      <c r="O715" s="27"/>
      <c r="P715" s="27" t="s">
        <v>3712</v>
      </c>
      <c r="Q715" s="27" t="s">
        <v>3713</v>
      </c>
    </row>
    <row r="716" spans="1:17" ht="15" customHeight="1" x14ac:dyDescent="0.3">
      <c r="A716" s="27" t="s">
        <v>3714</v>
      </c>
      <c r="B716" s="27" t="s">
        <v>3715</v>
      </c>
      <c r="C716" s="27" t="s">
        <v>3716</v>
      </c>
      <c r="D716" s="27">
        <v>2024</v>
      </c>
      <c r="E716" s="27" t="s">
        <v>48</v>
      </c>
      <c r="F716" s="27" t="s">
        <v>11</v>
      </c>
      <c r="G716" s="27"/>
      <c r="H716" s="27"/>
      <c r="I716" s="28" t="str">
        <f t="shared" si="22"/>
        <v/>
      </c>
      <c r="J716" s="27"/>
      <c r="K716" s="28" t="str">
        <f t="shared" si="23"/>
        <v/>
      </c>
      <c r="L716" s="27"/>
      <c r="M716" s="27"/>
      <c r="N716" s="27"/>
      <c r="O716" s="27"/>
      <c r="P716" s="27" t="s">
        <v>3717</v>
      </c>
      <c r="Q716" s="27" t="s">
        <v>3718</v>
      </c>
    </row>
    <row r="717" spans="1:17" ht="15" customHeight="1" x14ac:dyDescent="0.3">
      <c r="A717" s="27" t="s">
        <v>3719</v>
      </c>
      <c r="B717" s="27" t="s">
        <v>3720</v>
      </c>
      <c r="C717" s="27" t="s">
        <v>3721</v>
      </c>
      <c r="D717" s="27">
        <v>2025</v>
      </c>
      <c r="E717" s="27" t="s">
        <v>48</v>
      </c>
      <c r="F717" s="27" t="s">
        <v>13</v>
      </c>
      <c r="G717" s="27"/>
      <c r="H717" s="27"/>
      <c r="I717" s="28" t="str">
        <f t="shared" si="22"/>
        <v/>
      </c>
      <c r="J717" s="27"/>
      <c r="K717" s="28" t="str">
        <f t="shared" si="23"/>
        <v/>
      </c>
      <c r="L717" s="27"/>
      <c r="M717" s="27"/>
      <c r="N717" s="27"/>
      <c r="O717" s="27"/>
      <c r="P717" s="27" t="s">
        <v>3722</v>
      </c>
      <c r="Q717" s="27" t="s">
        <v>3723</v>
      </c>
    </row>
    <row r="718" spans="1:17" ht="15" customHeight="1" x14ac:dyDescent="0.3">
      <c r="A718" s="27" t="s">
        <v>3724</v>
      </c>
      <c r="B718" s="27" t="s">
        <v>3725</v>
      </c>
      <c r="C718" s="27" t="s">
        <v>3726</v>
      </c>
      <c r="D718" s="27">
        <v>2016</v>
      </c>
      <c r="E718" s="27" t="s">
        <v>142</v>
      </c>
      <c r="F718" s="27" t="s">
        <v>15</v>
      </c>
      <c r="G718" s="27"/>
      <c r="H718" s="27"/>
      <c r="I718" s="28" t="str">
        <f t="shared" si="22"/>
        <v/>
      </c>
      <c r="J718" s="27"/>
      <c r="K718" s="28" t="str">
        <f t="shared" si="23"/>
        <v/>
      </c>
      <c r="L718" s="27"/>
      <c r="M718" s="27"/>
      <c r="N718" s="27"/>
      <c r="O718" s="27"/>
      <c r="P718" s="27" t="s">
        <v>3727</v>
      </c>
      <c r="Q718" s="27" t="s">
        <v>3728</v>
      </c>
    </row>
    <row r="719" spans="1:17" ht="15" customHeight="1" x14ac:dyDescent="0.3">
      <c r="A719" s="27" t="s">
        <v>3729</v>
      </c>
      <c r="B719" s="27" t="s">
        <v>3730</v>
      </c>
      <c r="C719" s="27" t="s">
        <v>3731</v>
      </c>
      <c r="D719" s="27">
        <v>2023</v>
      </c>
      <c r="E719" s="27" t="s">
        <v>48</v>
      </c>
      <c r="F719" s="27" t="s">
        <v>11</v>
      </c>
      <c r="G719" s="27"/>
      <c r="H719" s="27"/>
      <c r="I719" s="28" t="str">
        <f t="shared" si="22"/>
        <v/>
      </c>
      <c r="J719" s="27"/>
      <c r="K719" s="28" t="str">
        <f t="shared" si="23"/>
        <v/>
      </c>
      <c r="L719" s="27"/>
      <c r="M719" s="27"/>
      <c r="N719" s="27"/>
      <c r="O719" s="27"/>
      <c r="P719" s="27" t="s">
        <v>3732</v>
      </c>
      <c r="Q719" s="27" t="s">
        <v>3733</v>
      </c>
    </row>
    <row r="720" spans="1:17" ht="15" customHeight="1" x14ac:dyDescent="0.3">
      <c r="A720" s="27" t="s">
        <v>3734</v>
      </c>
      <c r="B720" s="27" t="s">
        <v>3735</v>
      </c>
      <c r="C720" s="27" t="s">
        <v>3736</v>
      </c>
      <c r="D720" s="27">
        <v>2025</v>
      </c>
      <c r="E720" s="27" t="s">
        <v>48</v>
      </c>
      <c r="F720" s="27" t="s">
        <v>13</v>
      </c>
      <c r="G720" s="27"/>
      <c r="H720" s="27"/>
      <c r="I720" s="28" t="str">
        <f t="shared" si="22"/>
        <v/>
      </c>
      <c r="J720" s="27"/>
      <c r="K720" s="28" t="str">
        <f t="shared" si="23"/>
        <v/>
      </c>
      <c r="L720" s="27"/>
      <c r="M720" s="27"/>
      <c r="N720" s="27"/>
      <c r="O720" s="27"/>
      <c r="P720" s="27" t="s">
        <v>3737</v>
      </c>
      <c r="Q720" s="27" t="s">
        <v>3738</v>
      </c>
    </row>
    <row r="721" spans="1:17" ht="15" customHeight="1" x14ac:dyDescent="0.3">
      <c r="A721" s="27" t="s">
        <v>3739</v>
      </c>
      <c r="B721" s="27" t="s">
        <v>3740</v>
      </c>
      <c r="C721" s="27" t="s">
        <v>3741</v>
      </c>
      <c r="D721" s="27">
        <v>2026</v>
      </c>
      <c r="E721" s="27" t="s">
        <v>48</v>
      </c>
      <c r="F721" s="27" t="s">
        <v>15</v>
      </c>
      <c r="G721" s="27"/>
      <c r="H721" s="27"/>
      <c r="I721" s="28" t="str">
        <f t="shared" si="22"/>
        <v/>
      </c>
      <c r="J721" s="27"/>
      <c r="K721" s="28" t="str">
        <f t="shared" si="23"/>
        <v/>
      </c>
      <c r="L721" s="27"/>
      <c r="M721" s="27"/>
      <c r="N721" s="27"/>
      <c r="O721" s="27"/>
      <c r="P721" s="27" t="s">
        <v>3742</v>
      </c>
      <c r="Q721" s="27" t="s">
        <v>3743</v>
      </c>
    </row>
    <row r="722" spans="1:17" ht="15" customHeight="1" x14ac:dyDescent="0.3">
      <c r="A722" s="27" t="s">
        <v>3744</v>
      </c>
      <c r="B722" s="27" t="s">
        <v>3745</v>
      </c>
      <c r="C722" s="27" t="s">
        <v>3746</v>
      </c>
      <c r="D722" s="27">
        <v>2016</v>
      </c>
      <c r="E722" s="27" t="s">
        <v>48</v>
      </c>
      <c r="F722" s="27" t="s">
        <v>11</v>
      </c>
      <c r="G722" s="27"/>
      <c r="H722" s="27"/>
      <c r="I722" s="28" t="str">
        <f t="shared" si="22"/>
        <v/>
      </c>
      <c r="J722" s="27"/>
      <c r="K722" s="28" t="str">
        <f t="shared" si="23"/>
        <v/>
      </c>
      <c r="L722" s="27"/>
      <c r="M722" s="27"/>
      <c r="N722" s="27"/>
      <c r="O722" s="27"/>
      <c r="P722" s="27" t="s">
        <v>3747</v>
      </c>
      <c r="Q722" s="27" t="s">
        <v>3748</v>
      </c>
    </row>
    <row r="723" spans="1:17" ht="15" customHeight="1" x14ac:dyDescent="0.3">
      <c r="A723" s="27" t="s">
        <v>3749</v>
      </c>
      <c r="B723" s="27" t="s">
        <v>3750</v>
      </c>
      <c r="C723" s="27" t="s">
        <v>3751</v>
      </c>
      <c r="D723" s="27">
        <v>2023</v>
      </c>
      <c r="E723" s="27" t="s">
        <v>48</v>
      </c>
      <c r="F723" s="27" t="s">
        <v>13</v>
      </c>
      <c r="G723" s="27"/>
      <c r="H723" s="27"/>
      <c r="I723" s="28" t="str">
        <f t="shared" si="22"/>
        <v/>
      </c>
      <c r="J723" s="27"/>
      <c r="K723" s="28" t="str">
        <f t="shared" si="23"/>
        <v/>
      </c>
      <c r="L723" s="27"/>
      <c r="M723" s="27"/>
      <c r="N723" s="27"/>
      <c r="O723" s="27"/>
      <c r="P723" s="27" t="s">
        <v>3752</v>
      </c>
      <c r="Q723" s="27" t="s">
        <v>3753</v>
      </c>
    </row>
    <row r="724" spans="1:17" ht="15" customHeight="1" x14ac:dyDescent="0.3">
      <c r="A724" s="27" t="s">
        <v>3754</v>
      </c>
      <c r="B724" s="27" t="s">
        <v>3755</v>
      </c>
      <c r="C724" s="27" t="s">
        <v>3756</v>
      </c>
      <c r="D724" s="27">
        <v>2025</v>
      </c>
      <c r="E724" s="27" t="s">
        <v>48</v>
      </c>
      <c r="F724" s="27" t="s">
        <v>15</v>
      </c>
      <c r="G724" s="27"/>
      <c r="H724" s="27"/>
      <c r="I724" s="28" t="str">
        <f t="shared" si="22"/>
        <v/>
      </c>
      <c r="J724" s="27"/>
      <c r="K724" s="28" t="str">
        <f t="shared" si="23"/>
        <v/>
      </c>
      <c r="L724" s="27"/>
      <c r="M724" s="27"/>
      <c r="N724" s="27"/>
      <c r="O724" s="27"/>
      <c r="P724" s="27" t="s">
        <v>3757</v>
      </c>
      <c r="Q724" s="27" t="s">
        <v>3758</v>
      </c>
    </row>
    <row r="725" spans="1:17" ht="15" customHeight="1" x14ac:dyDescent="0.3">
      <c r="A725" s="27" t="s">
        <v>3759</v>
      </c>
      <c r="B725" s="27" t="s">
        <v>3760</v>
      </c>
      <c r="C725" s="27" t="s">
        <v>3357</v>
      </c>
      <c r="D725" s="27">
        <v>2025</v>
      </c>
      <c r="E725" s="27" t="s">
        <v>48</v>
      </c>
      <c r="F725" s="27" t="s">
        <v>11</v>
      </c>
      <c r="G725" s="27"/>
      <c r="H725" s="27"/>
      <c r="I725" s="28" t="str">
        <f t="shared" si="22"/>
        <v/>
      </c>
      <c r="J725" s="27"/>
      <c r="K725" s="28" t="str">
        <f t="shared" si="23"/>
        <v/>
      </c>
      <c r="L725" s="27"/>
      <c r="M725" s="27"/>
      <c r="N725" s="27"/>
      <c r="O725" s="27"/>
      <c r="P725" s="27" t="s">
        <v>3761</v>
      </c>
      <c r="Q725" s="27" t="s">
        <v>3762</v>
      </c>
    </row>
    <row r="726" spans="1:17" ht="15" customHeight="1" x14ac:dyDescent="0.3">
      <c r="A726" s="27" t="s">
        <v>3763</v>
      </c>
      <c r="B726" s="27" t="s">
        <v>3764</v>
      </c>
      <c r="C726" s="27" t="s">
        <v>3765</v>
      </c>
      <c r="D726" s="27">
        <v>2018</v>
      </c>
      <c r="E726" s="27" t="s">
        <v>48</v>
      </c>
      <c r="F726" s="27" t="s">
        <v>13</v>
      </c>
      <c r="G726" s="27"/>
      <c r="H726" s="27"/>
      <c r="I726" s="28" t="str">
        <f t="shared" si="22"/>
        <v/>
      </c>
      <c r="J726" s="27"/>
      <c r="K726" s="28" t="str">
        <f t="shared" si="23"/>
        <v/>
      </c>
      <c r="L726" s="27"/>
      <c r="M726" s="27"/>
      <c r="N726" s="27"/>
      <c r="O726" s="27"/>
      <c r="P726" s="27" t="s">
        <v>3766</v>
      </c>
      <c r="Q726" s="27" t="s">
        <v>3767</v>
      </c>
    </row>
    <row r="727" spans="1:17" ht="15" customHeight="1" x14ac:dyDescent="0.3">
      <c r="A727" s="27" t="s">
        <v>3768</v>
      </c>
      <c r="B727" s="27" t="s">
        <v>3769</v>
      </c>
      <c r="C727" s="27" t="s">
        <v>3770</v>
      </c>
      <c r="D727" s="27">
        <v>2025</v>
      </c>
      <c r="E727" s="27" t="s">
        <v>48</v>
      </c>
      <c r="F727" s="27" t="s">
        <v>15</v>
      </c>
      <c r="G727" s="27"/>
      <c r="H727" s="27"/>
      <c r="I727" s="28" t="str">
        <f t="shared" si="22"/>
        <v/>
      </c>
      <c r="J727" s="27"/>
      <c r="K727" s="28" t="str">
        <f t="shared" si="23"/>
        <v/>
      </c>
      <c r="L727" s="27"/>
      <c r="M727" s="27"/>
      <c r="N727" s="27"/>
      <c r="O727" s="27"/>
      <c r="P727" s="27" t="s">
        <v>3771</v>
      </c>
      <c r="Q727" s="27" t="s">
        <v>3772</v>
      </c>
    </row>
    <row r="728" spans="1:17" ht="15" customHeight="1" x14ac:dyDescent="0.3">
      <c r="A728" s="27" t="s">
        <v>3773</v>
      </c>
      <c r="B728" s="27" t="s">
        <v>3774</v>
      </c>
      <c r="C728" s="27" t="s">
        <v>3775</v>
      </c>
      <c r="D728" s="27">
        <v>2023</v>
      </c>
      <c r="E728" s="27" t="s">
        <v>48</v>
      </c>
      <c r="F728" s="27" t="s">
        <v>11</v>
      </c>
      <c r="G728" s="27"/>
      <c r="H728" s="27"/>
      <c r="I728" s="28" t="str">
        <f t="shared" si="22"/>
        <v/>
      </c>
      <c r="J728" s="27"/>
      <c r="K728" s="28" t="str">
        <f t="shared" si="23"/>
        <v/>
      </c>
      <c r="L728" s="27"/>
      <c r="M728" s="27"/>
      <c r="N728" s="27"/>
      <c r="O728" s="27"/>
      <c r="P728" s="27" t="s">
        <v>3776</v>
      </c>
      <c r="Q728" s="27" t="s">
        <v>3777</v>
      </c>
    </row>
    <row r="729" spans="1:17" ht="15" customHeight="1" x14ac:dyDescent="0.3">
      <c r="A729" s="27" t="s">
        <v>3778</v>
      </c>
      <c r="B729" s="27" t="s">
        <v>3779</v>
      </c>
      <c r="C729" s="27" t="s">
        <v>3780</v>
      </c>
      <c r="D729" s="27">
        <v>2025</v>
      </c>
      <c r="E729" s="27" t="s">
        <v>48</v>
      </c>
      <c r="F729" s="27" t="s">
        <v>13</v>
      </c>
      <c r="G729" s="27"/>
      <c r="H729" s="27"/>
      <c r="I729" s="28" t="str">
        <f t="shared" si="22"/>
        <v/>
      </c>
      <c r="J729" s="27"/>
      <c r="K729" s="28" t="str">
        <f t="shared" si="23"/>
        <v/>
      </c>
      <c r="L729" s="27"/>
      <c r="M729" s="27"/>
      <c r="N729" s="27"/>
      <c r="O729" s="27"/>
      <c r="P729" s="27" t="s">
        <v>3781</v>
      </c>
      <c r="Q729" s="27" t="s">
        <v>3782</v>
      </c>
    </row>
    <row r="730" spans="1:17" ht="15" customHeight="1" x14ac:dyDescent="0.3">
      <c r="A730" s="27" t="s">
        <v>3783</v>
      </c>
      <c r="B730" s="27" t="s">
        <v>3784</v>
      </c>
      <c r="C730" s="27" t="s">
        <v>3785</v>
      </c>
      <c r="D730" s="27">
        <v>2026</v>
      </c>
      <c r="E730" s="27" t="s">
        <v>48</v>
      </c>
      <c r="F730" s="27" t="s">
        <v>15</v>
      </c>
      <c r="G730" s="27"/>
      <c r="H730" s="27"/>
      <c r="I730" s="28" t="str">
        <f t="shared" si="22"/>
        <v/>
      </c>
      <c r="J730" s="27"/>
      <c r="K730" s="28" t="str">
        <f t="shared" si="23"/>
        <v/>
      </c>
      <c r="L730" s="27"/>
      <c r="M730" s="27"/>
      <c r="N730" s="27"/>
      <c r="O730" s="27"/>
      <c r="P730" s="27" t="s">
        <v>3786</v>
      </c>
      <c r="Q730" s="27" t="s">
        <v>3787</v>
      </c>
    </row>
    <row r="731" spans="1:17" ht="15" customHeight="1" x14ac:dyDescent="0.3">
      <c r="A731" s="27" t="s">
        <v>3788</v>
      </c>
      <c r="B731" s="27" t="s">
        <v>3789</v>
      </c>
      <c r="C731" s="27" t="s">
        <v>3790</v>
      </c>
      <c r="D731" s="27">
        <v>2025</v>
      </c>
      <c r="E731" s="27" t="s">
        <v>48</v>
      </c>
      <c r="F731" s="27" t="s">
        <v>11</v>
      </c>
      <c r="G731" s="27"/>
      <c r="H731" s="27"/>
      <c r="I731" s="28" t="str">
        <f t="shared" si="22"/>
        <v/>
      </c>
      <c r="J731" s="27"/>
      <c r="K731" s="28" t="str">
        <f t="shared" si="23"/>
        <v/>
      </c>
      <c r="L731" s="27"/>
      <c r="M731" s="27"/>
      <c r="N731" s="27"/>
      <c r="O731" s="27"/>
      <c r="P731" s="27" t="s">
        <v>3791</v>
      </c>
      <c r="Q731" s="27" t="s">
        <v>3792</v>
      </c>
    </row>
    <row r="732" spans="1:17" ht="15" customHeight="1" x14ac:dyDescent="0.3">
      <c r="A732" s="27" t="s">
        <v>3793</v>
      </c>
      <c r="B732" s="27" t="s">
        <v>3794</v>
      </c>
      <c r="C732" s="27" t="s">
        <v>3795</v>
      </c>
      <c r="D732" s="27">
        <v>2022</v>
      </c>
      <c r="E732" s="27" t="s">
        <v>48</v>
      </c>
      <c r="F732" s="27" t="s">
        <v>13</v>
      </c>
      <c r="G732" s="27"/>
      <c r="H732" s="27"/>
      <c r="I732" s="28" t="str">
        <f t="shared" si="22"/>
        <v/>
      </c>
      <c r="J732" s="27"/>
      <c r="K732" s="28" t="str">
        <f t="shared" si="23"/>
        <v/>
      </c>
      <c r="L732" s="27"/>
      <c r="M732" s="27"/>
      <c r="N732" s="27"/>
      <c r="O732" s="27"/>
      <c r="P732" s="27" t="s">
        <v>3796</v>
      </c>
      <c r="Q732" s="27" t="s">
        <v>3797</v>
      </c>
    </row>
    <row r="733" spans="1:17" ht="15" customHeight="1" x14ac:dyDescent="0.3">
      <c r="A733" s="27" t="s">
        <v>3798</v>
      </c>
      <c r="B733" s="27" t="s">
        <v>3799</v>
      </c>
      <c r="C733" s="27" t="s">
        <v>3800</v>
      </c>
      <c r="D733" s="27">
        <v>2025</v>
      </c>
      <c r="E733" s="27" t="s">
        <v>48</v>
      </c>
      <c r="F733" s="27" t="s">
        <v>15</v>
      </c>
      <c r="G733" s="27"/>
      <c r="H733" s="27"/>
      <c r="I733" s="28" t="str">
        <f t="shared" si="22"/>
        <v/>
      </c>
      <c r="J733" s="27"/>
      <c r="K733" s="28" t="str">
        <f t="shared" si="23"/>
        <v/>
      </c>
      <c r="L733" s="27"/>
      <c r="M733" s="27"/>
      <c r="N733" s="27"/>
      <c r="O733" s="27"/>
      <c r="P733" s="27" t="s">
        <v>3801</v>
      </c>
      <c r="Q733" s="27" t="s">
        <v>3802</v>
      </c>
    </row>
    <row r="734" spans="1:17" ht="15" customHeight="1" x14ac:dyDescent="0.3">
      <c r="A734" s="27" t="s">
        <v>3803</v>
      </c>
      <c r="B734" s="27" t="s">
        <v>3804</v>
      </c>
      <c r="C734" s="27" t="s">
        <v>3805</v>
      </c>
      <c r="D734" s="27">
        <v>2025</v>
      </c>
      <c r="E734" s="27" t="s">
        <v>48</v>
      </c>
      <c r="F734" s="27" t="s">
        <v>11</v>
      </c>
      <c r="G734" s="27"/>
      <c r="H734" s="27"/>
      <c r="I734" s="28" t="str">
        <f t="shared" si="22"/>
        <v/>
      </c>
      <c r="J734" s="27"/>
      <c r="K734" s="28" t="str">
        <f t="shared" si="23"/>
        <v/>
      </c>
      <c r="L734" s="27"/>
      <c r="M734" s="27"/>
      <c r="N734" s="27"/>
      <c r="O734" s="27"/>
      <c r="P734" s="27" t="s">
        <v>3806</v>
      </c>
      <c r="Q734" s="27" t="s">
        <v>3807</v>
      </c>
    </row>
    <row r="735" spans="1:17" ht="15" customHeight="1" x14ac:dyDescent="0.3">
      <c r="A735" s="27" t="s">
        <v>3808</v>
      </c>
      <c r="B735" s="27" t="s">
        <v>3809</v>
      </c>
      <c r="C735" s="27" t="s">
        <v>3810</v>
      </c>
      <c r="D735" s="27">
        <v>2022</v>
      </c>
      <c r="E735" s="27" t="s">
        <v>48</v>
      </c>
      <c r="F735" s="27" t="s">
        <v>13</v>
      </c>
      <c r="G735" s="27"/>
      <c r="H735" s="27"/>
      <c r="I735" s="28" t="str">
        <f t="shared" si="22"/>
        <v/>
      </c>
      <c r="J735" s="27"/>
      <c r="K735" s="28" t="str">
        <f t="shared" si="23"/>
        <v/>
      </c>
      <c r="L735" s="27"/>
      <c r="M735" s="27"/>
      <c r="N735" s="27"/>
      <c r="O735" s="27"/>
      <c r="P735" s="27" t="s">
        <v>3811</v>
      </c>
      <c r="Q735" s="27" t="s">
        <v>3812</v>
      </c>
    </row>
    <row r="736" spans="1:17" ht="15" customHeight="1" x14ac:dyDescent="0.3">
      <c r="A736" s="27" t="s">
        <v>3813</v>
      </c>
      <c r="B736" s="27" t="s">
        <v>3814</v>
      </c>
      <c r="C736" s="27" t="s">
        <v>3815</v>
      </c>
      <c r="D736" s="27">
        <v>2016</v>
      </c>
      <c r="E736" s="27" t="s">
        <v>48</v>
      </c>
      <c r="F736" s="27" t="s">
        <v>15</v>
      </c>
      <c r="G736" s="27"/>
      <c r="H736" s="27"/>
      <c r="I736" s="28" t="str">
        <f t="shared" si="22"/>
        <v/>
      </c>
      <c r="J736" s="27"/>
      <c r="K736" s="28" t="str">
        <f t="shared" si="23"/>
        <v/>
      </c>
      <c r="L736" s="27"/>
      <c r="M736" s="27"/>
      <c r="N736" s="27"/>
      <c r="O736" s="27"/>
      <c r="P736" s="27" t="s">
        <v>3816</v>
      </c>
      <c r="Q736" s="27" t="s">
        <v>3817</v>
      </c>
    </row>
    <row r="737" spans="1:17" ht="15" customHeight="1" x14ac:dyDescent="0.3">
      <c r="A737" s="27" t="s">
        <v>3818</v>
      </c>
      <c r="B737" s="27" t="s">
        <v>3819</v>
      </c>
      <c r="C737" s="27" t="s">
        <v>3820</v>
      </c>
      <c r="D737" s="27">
        <v>2025</v>
      </c>
      <c r="E737" s="27" t="s">
        <v>48</v>
      </c>
      <c r="F737" s="27" t="s">
        <v>11</v>
      </c>
      <c r="G737" s="27"/>
      <c r="H737" s="27"/>
      <c r="I737" s="28" t="str">
        <f t="shared" si="22"/>
        <v/>
      </c>
      <c r="J737" s="27"/>
      <c r="K737" s="28" t="str">
        <f t="shared" si="23"/>
        <v/>
      </c>
      <c r="L737" s="27"/>
      <c r="M737" s="27"/>
      <c r="N737" s="27"/>
      <c r="O737" s="27"/>
      <c r="P737" s="27" t="s">
        <v>3821</v>
      </c>
      <c r="Q737" s="27" t="s">
        <v>3822</v>
      </c>
    </row>
    <row r="738" spans="1:17" ht="15" customHeight="1" x14ac:dyDescent="0.3">
      <c r="A738" s="27" t="s">
        <v>3823</v>
      </c>
      <c r="B738" s="27" t="s">
        <v>3824</v>
      </c>
      <c r="C738" s="27" t="s">
        <v>3825</v>
      </c>
      <c r="D738" s="27">
        <v>2024</v>
      </c>
      <c r="E738" s="27" t="s">
        <v>48</v>
      </c>
      <c r="F738" s="27" t="s">
        <v>13</v>
      </c>
      <c r="G738" s="27"/>
      <c r="H738" s="27"/>
      <c r="I738" s="28" t="str">
        <f t="shared" si="22"/>
        <v/>
      </c>
      <c r="J738" s="27"/>
      <c r="K738" s="28" t="str">
        <f t="shared" si="23"/>
        <v/>
      </c>
      <c r="L738" s="27"/>
      <c r="M738" s="27"/>
      <c r="N738" s="27"/>
      <c r="O738" s="27"/>
      <c r="P738" s="27" t="s">
        <v>3826</v>
      </c>
      <c r="Q738" s="27" t="s">
        <v>3827</v>
      </c>
    </row>
    <row r="739" spans="1:17" ht="15" customHeight="1" x14ac:dyDescent="0.3">
      <c r="A739" s="27" t="s">
        <v>3828</v>
      </c>
      <c r="B739" s="27" t="s">
        <v>3829</v>
      </c>
      <c r="C739" s="27" t="s">
        <v>3830</v>
      </c>
      <c r="D739" s="27">
        <v>2026</v>
      </c>
      <c r="E739" s="27" t="s">
        <v>48</v>
      </c>
      <c r="F739" s="27" t="s">
        <v>15</v>
      </c>
      <c r="G739" s="27"/>
      <c r="H739" s="27"/>
      <c r="I739" s="28" t="str">
        <f t="shared" si="22"/>
        <v/>
      </c>
      <c r="J739" s="27"/>
      <c r="K739" s="28" t="str">
        <f t="shared" si="23"/>
        <v/>
      </c>
      <c r="L739" s="27"/>
      <c r="M739" s="27"/>
      <c r="N739" s="27"/>
      <c r="O739" s="27"/>
      <c r="P739" s="27" t="s">
        <v>3831</v>
      </c>
      <c r="Q739" s="27" t="s">
        <v>3832</v>
      </c>
    </row>
    <row r="740" spans="1:17" ht="15" customHeight="1" x14ac:dyDescent="0.3">
      <c r="A740" s="27" t="s">
        <v>3833</v>
      </c>
      <c r="B740" s="27" t="s">
        <v>3834</v>
      </c>
      <c r="C740" s="27" t="s">
        <v>3835</v>
      </c>
      <c r="D740" s="27">
        <v>2026</v>
      </c>
      <c r="E740" s="27" t="s">
        <v>48</v>
      </c>
      <c r="F740" s="27" t="s">
        <v>11</v>
      </c>
      <c r="G740" s="27"/>
      <c r="H740" s="27"/>
      <c r="I740" s="28" t="str">
        <f t="shared" si="22"/>
        <v/>
      </c>
      <c r="J740" s="27"/>
      <c r="K740" s="28" t="str">
        <f t="shared" si="23"/>
        <v/>
      </c>
      <c r="L740" s="27"/>
      <c r="M740" s="27"/>
      <c r="N740" s="27"/>
      <c r="O740" s="27"/>
      <c r="P740" s="27" t="s">
        <v>3836</v>
      </c>
      <c r="Q740" s="27" t="s">
        <v>3837</v>
      </c>
    </row>
    <row r="741" spans="1:17" ht="15" customHeight="1" x14ac:dyDescent="0.3">
      <c r="A741" s="27" t="s">
        <v>3838</v>
      </c>
      <c r="B741" s="27" t="s">
        <v>3839</v>
      </c>
      <c r="C741" s="27" t="s">
        <v>3840</v>
      </c>
      <c r="D741" s="27">
        <v>2024</v>
      </c>
      <c r="E741" s="27" t="s">
        <v>142</v>
      </c>
      <c r="F741" s="27" t="s">
        <v>13</v>
      </c>
      <c r="G741" s="27"/>
      <c r="H741" s="27"/>
      <c r="I741" s="28" t="str">
        <f t="shared" si="22"/>
        <v/>
      </c>
      <c r="J741" s="27"/>
      <c r="K741" s="28" t="str">
        <f t="shared" si="23"/>
        <v/>
      </c>
      <c r="L741" s="27"/>
      <c r="M741" s="27"/>
      <c r="N741" s="27"/>
      <c r="O741" s="27"/>
      <c r="P741" s="27" t="s">
        <v>3841</v>
      </c>
      <c r="Q741" s="27" t="s">
        <v>3842</v>
      </c>
    </row>
    <row r="742" spans="1:17" ht="15" customHeight="1" x14ac:dyDescent="0.3">
      <c r="A742" s="27" t="s">
        <v>3843</v>
      </c>
      <c r="B742" s="27" t="s">
        <v>3844</v>
      </c>
      <c r="C742" s="27" t="s">
        <v>3845</v>
      </c>
      <c r="D742" s="27">
        <v>2025</v>
      </c>
      <c r="E742" s="27" t="s">
        <v>48</v>
      </c>
      <c r="F742" s="27" t="s">
        <v>15</v>
      </c>
      <c r="G742" s="27"/>
      <c r="H742" s="27"/>
      <c r="I742" s="28" t="str">
        <f t="shared" si="22"/>
        <v/>
      </c>
      <c r="J742" s="27"/>
      <c r="K742" s="28" t="str">
        <f t="shared" si="23"/>
        <v/>
      </c>
      <c r="L742" s="27"/>
      <c r="M742" s="27"/>
      <c r="N742" s="27"/>
      <c r="O742" s="27"/>
      <c r="P742" s="27" t="s">
        <v>3846</v>
      </c>
      <c r="Q742" s="27" t="s">
        <v>3847</v>
      </c>
    </row>
    <row r="743" spans="1:17" ht="15" customHeight="1" x14ac:dyDescent="0.3">
      <c r="A743" s="27" t="s">
        <v>3848</v>
      </c>
      <c r="B743" s="27" t="s">
        <v>3849</v>
      </c>
      <c r="C743" s="27" t="s">
        <v>3850</v>
      </c>
      <c r="D743" s="27">
        <v>2026</v>
      </c>
      <c r="E743" s="27" t="s">
        <v>48</v>
      </c>
      <c r="F743" s="27" t="s">
        <v>11</v>
      </c>
      <c r="G743" s="27"/>
      <c r="H743" s="27"/>
      <c r="I743" s="28" t="str">
        <f t="shared" si="22"/>
        <v/>
      </c>
      <c r="J743" s="27"/>
      <c r="K743" s="28" t="str">
        <f t="shared" si="23"/>
        <v/>
      </c>
      <c r="L743" s="27"/>
      <c r="M743" s="27"/>
      <c r="N743" s="27"/>
      <c r="O743" s="27"/>
      <c r="P743" s="27" t="s">
        <v>3851</v>
      </c>
      <c r="Q743" s="27" t="s">
        <v>3852</v>
      </c>
    </row>
    <row r="744" spans="1:17" ht="15" customHeight="1" x14ac:dyDescent="0.3">
      <c r="A744" s="27" t="s">
        <v>3853</v>
      </c>
      <c r="B744" s="27" t="s">
        <v>3854</v>
      </c>
      <c r="C744" s="27" t="s">
        <v>3855</v>
      </c>
      <c r="D744" s="27">
        <v>2025</v>
      </c>
      <c r="E744" s="27" t="s">
        <v>48</v>
      </c>
      <c r="F744" s="27" t="s">
        <v>13</v>
      </c>
      <c r="G744" s="27"/>
      <c r="H744" s="27"/>
      <c r="I744" s="28" t="str">
        <f t="shared" si="22"/>
        <v/>
      </c>
      <c r="J744" s="27"/>
      <c r="K744" s="28" t="str">
        <f t="shared" si="23"/>
        <v/>
      </c>
      <c r="L744" s="27"/>
      <c r="M744" s="27"/>
      <c r="N744" s="27"/>
      <c r="O744" s="27"/>
      <c r="P744" s="27" t="s">
        <v>3856</v>
      </c>
      <c r="Q744" s="27" t="s">
        <v>3857</v>
      </c>
    </row>
    <row r="745" spans="1:17" ht="15" customHeight="1" x14ac:dyDescent="0.3">
      <c r="A745" s="27" t="s">
        <v>3858</v>
      </c>
      <c r="B745" s="27" t="s">
        <v>3859</v>
      </c>
      <c r="C745" s="27" t="s">
        <v>3860</v>
      </c>
      <c r="D745" s="27">
        <v>2020</v>
      </c>
      <c r="E745" s="27" t="s">
        <v>48</v>
      </c>
      <c r="F745" s="27" t="s">
        <v>15</v>
      </c>
      <c r="G745" s="27"/>
      <c r="H745" s="27"/>
      <c r="I745" s="28" t="str">
        <f t="shared" si="22"/>
        <v/>
      </c>
      <c r="J745" s="27"/>
      <c r="K745" s="28" t="str">
        <f t="shared" si="23"/>
        <v/>
      </c>
      <c r="L745" s="27"/>
      <c r="M745" s="27"/>
      <c r="N745" s="27"/>
      <c r="O745" s="27"/>
      <c r="P745" s="27" t="s">
        <v>3861</v>
      </c>
      <c r="Q745" s="27" t="s">
        <v>3862</v>
      </c>
    </row>
    <row r="746" spans="1:17" ht="15" customHeight="1" x14ac:dyDescent="0.3">
      <c r="A746" s="27" t="s">
        <v>3863</v>
      </c>
      <c r="B746" s="27" t="s">
        <v>3864</v>
      </c>
      <c r="C746" s="27" t="s">
        <v>3865</v>
      </c>
      <c r="D746" s="27">
        <v>2026</v>
      </c>
      <c r="E746" s="27" t="s">
        <v>48</v>
      </c>
      <c r="F746" s="27" t="s">
        <v>11</v>
      </c>
      <c r="G746" s="27"/>
      <c r="H746" s="27"/>
      <c r="I746" s="28" t="str">
        <f t="shared" si="22"/>
        <v/>
      </c>
      <c r="J746" s="27"/>
      <c r="K746" s="28" t="str">
        <f t="shared" si="23"/>
        <v/>
      </c>
      <c r="L746" s="27"/>
      <c r="M746" s="27"/>
      <c r="N746" s="27"/>
      <c r="O746" s="27"/>
      <c r="P746" s="27" t="s">
        <v>3866</v>
      </c>
      <c r="Q746" s="27" t="s">
        <v>3867</v>
      </c>
    </row>
    <row r="747" spans="1:17" ht="15" customHeight="1" x14ac:dyDescent="0.3">
      <c r="A747" s="27" t="s">
        <v>3868</v>
      </c>
      <c r="B747" s="27" t="s">
        <v>3869</v>
      </c>
      <c r="C747" s="27" t="s">
        <v>3870</v>
      </c>
      <c r="D747" s="27">
        <v>2024</v>
      </c>
      <c r="E747" s="27" t="s">
        <v>48</v>
      </c>
      <c r="F747" s="27" t="s">
        <v>13</v>
      </c>
      <c r="G747" s="27"/>
      <c r="H747" s="27"/>
      <c r="I747" s="28" t="str">
        <f t="shared" si="22"/>
        <v/>
      </c>
      <c r="J747" s="27"/>
      <c r="K747" s="28" t="str">
        <f t="shared" si="23"/>
        <v/>
      </c>
      <c r="L747" s="27"/>
      <c r="M747" s="27"/>
      <c r="N747" s="27"/>
      <c r="O747" s="27"/>
      <c r="P747" s="27" t="s">
        <v>3871</v>
      </c>
      <c r="Q747" s="27" t="s">
        <v>3872</v>
      </c>
    </row>
    <row r="748" spans="1:17" ht="15" customHeight="1" x14ac:dyDescent="0.3">
      <c r="A748" s="27" t="s">
        <v>3873</v>
      </c>
      <c r="B748" s="27" t="s">
        <v>3874</v>
      </c>
      <c r="C748" s="27" t="s">
        <v>3875</v>
      </c>
      <c r="D748" s="27">
        <v>2019</v>
      </c>
      <c r="E748" s="27" t="s">
        <v>48</v>
      </c>
      <c r="F748" s="27" t="s">
        <v>15</v>
      </c>
      <c r="G748" s="27"/>
      <c r="H748" s="27"/>
      <c r="I748" s="28" t="str">
        <f t="shared" si="22"/>
        <v/>
      </c>
      <c r="J748" s="27"/>
      <c r="K748" s="28" t="str">
        <f t="shared" si="23"/>
        <v/>
      </c>
      <c r="L748" s="27"/>
      <c r="M748" s="27"/>
      <c r="N748" s="27"/>
      <c r="O748" s="27"/>
      <c r="P748" s="27" t="s">
        <v>3876</v>
      </c>
      <c r="Q748" s="27" t="s">
        <v>3877</v>
      </c>
    </row>
    <row r="749" spans="1:17" ht="15" customHeight="1" x14ac:dyDescent="0.3">
      <c r="A749" s="27" t="s">
        <v>3878</v>
      </c>
      <c r="B749" s="27" t="s">
        <v>3879</v>
      </c>
      <c r="C749" s="27" t="s">
        <v>3880</v>
      </c>
      <c r="D749" s="27">
        <v>2020</v>
      </c>
      <c r="E749" s="27" t="s">
        <v>48</v>
      </c>
      <c r="F749" s="27" t="s">
        <v>11</v>
      </c>
      <c r="G749" s="27"/>
      <c r="H749" s="27"/>
      <c r="I749" s="28" t="str">
        <f t="shared" si="22"/>
        <v/>
      </c>
      <c r="J749" s="27"/>
      <c r="K749" s="28" t="str">
        <f t="shared" si="23"/>
        <v/>
      </c>
      <c r="L749" s="27"/>
      <c r="M749" s="27"/>
      <c r="N749" s="27"/>
      <c r="O749" s="27"/>
      <c r="P749" s="27" t="s">
        <v>3881</v>
      </c>
      <c r="Q749" s="27" t="s">
        <v>3882</v>
      </c>
    </row>
    <row r="750" spans="1:17" ht="15" customHeight="1" x14ac:dyDescent="0.3">
      <c r="A750" s="27" t="s">
        <v>3883</v>
      </c>
      <c r="B750" s="27" t="s">
        <v>3884</v>
      </c>
      <c r="C750" s="27" t="s">
        <v>3885</v>
      </c>
      <c r="D750" s="27">
        <v>2022</v>
      </c>
      <c r="E750" s="27" t="s">
        <v>48</v>
      </c>
      <c r="F750" s="27" t="s">
        <v>13</v>
      </c>
      <c r="G750" s="27"/>
      <c r="H750" s="27"/>
      <c r="I750" s="28" t="str">
        <f t="shared" si="22"/>
        <v/>
      </c>
      <c r="J750" s="27"/>
      <c r="K750" s="28" t="str">
        <f t="shared" si="23"/>
        <v/>
      </c>
      <c r="L750" s="27"/>
      <c r="M750" s="27"/>
      <c r="N750" s="27"/>
      <c r="O750" s="27"/>
      <c r="P750" s="27" t="s">
        <v>3886</v>
      </c>
      <c r="Q750" s="27" t="s">
        <v>3887</v>
      </c>
    </row>
    <row r="751" spans="1:17" ht="15" customHeight="1" x14ac:dyDescent="0.3">
      <c r="A751" s="27" t="s">
        <v>3888</v>
      </c>
      <c r="B751" s="27" t="s">
        <v>3889</v>
      </c>
      <c r="C751" s="27" t="s">
        <v>3890</v>
      </c>
      <c r="D751" s="27">
        <v>2026</v>
      </c>
      <c r="E751" s="27" t="s">
        <v>48</v>
      </c>
      <c r="F751" s="27" t="s">
        <v>15</v>
      </c>
      <c r="G751" s="27"/>
      <c r="H751" s="27"/>
      <c r="I751" s="28" t="str">
        <f t="shared" si="22"/>
        <v/>
      </c>
      <c r="J751" s="27"/>
      <c r="K751" s="28" t="str">
        <f t="shared" si="23"/>
        <v/>
      </c>
      <c r="L751" s="27"/>
      <c r="M751" s="27"/>
      <c r="N751" s="27"/>
      <c r="O751" s="27"/>
      <c r="P751" s="27" t="s">
        <v>3891</v>
      </c>
      <c r="Q751" s="27" t="s">
        <v>3892</v>
      </c>
    </row>
    <row r="752" spans="1:17" ht="15" customHeight="1" x14ac:dyDescent="0.3">
      <c r="A752" s="27" t="s">
        <v>3893</v>
      </c>
      <c r="B752" s="27" t="s">
        <v>3894</v>
      </c>
      <c r="C752" s="27" t="s">
        <v>3895</v>
      </c>
      <c r="D752" s="27">
        <v>2026</v>
      </c>
      <c r="E752" s="27" t="s">
        <v>48</v>
      </c>
      <c r="F752" s="27" t="s">
        <v>11</v>
      </c>
      <c r="G752" s="27"/>
      <c r="H752" s="27"/>
      <c r="I752" s="28" t="str">
        <f t="shared" si="22"/>
        <v/>
      </c>
      <c r="J752" s="27"/>
      <c r="K752" s="28" t="str">
        <f t="shared" si="23"/>
        <v/>
      </c>
      <c r="L752" s="27"/>
      <c r="M752" s="27"/>
      <c r="N752" s="27"/>
      <c r="O752" s="27"/>
      <c r="P752" s="27" t="s">
        <v>3896</v>
      </c>
      <c r="Q752" s="27" t="s">
        <v>3897</v>
      </c>
    </row>
    <row r="753" spans="1:17" ht="15" customHeight="1" x14ac:dyDescent="0.3">
      <c r="A753" s="27" t="s">
        <v>3898</v>
      </c>
      <c r="B753" s="27" t="s">
        <v>3899</v>
      </c>
      <c r="C753" s="27" t="s">
        <v>3900</v>
      </c>
      <c r="D753" s="27">
        <v>2017</v>
      </c>
      <c r="E753" s="27" t="s">
        <v>48</v>
      </c>
      <c r="F753" s="27" t="s">
        <v>13</v>
      </c>
      <c r="G753" s="27"/>
      <c r="H753" s="27"/>
      <c r="I753" s="28" t="str">
        <f t="shared" si="22"/>
        <v/>
      </c>
      <c r="J753" s="27"/>
      <c r="K753" s="28" t="str">
        <f t="shared" si="23"/>
        <v/>
      </c>
      <c r="L753" s="27"/>
      <c r="M753" s="27"/>
      <c r="N753" s="27"/>
      <c r="O753" s="27"/>
      <c r="P753" s="27" t="s">
        <v>3901</v>
      </c>
      <c r="Q753" s="27" t="s">
        <v>3902</v>
      </c>
    </row>
    <row r="754" spans="1:17" ht="15" customHeight="1" x14ac:dyDescent="0.3">
      <c r="A754" s="27" t="s">
        <v>3903</v>
      </c>
      <c r="B754" s="27" t="s">
        <v>3904</v>
      </c>
      <c r="C754" s="27" t="s">
        <v>3905</v>
      </c>
      <c r="D754" s="27">
        <v>2025</v>
      </c>
      <c r="E754" s="27" t="s">
        <v>48</v>
      </c>
      <c r="F754" s="27" t="s">
        <v>15</v>
      </c>
      <c r="G754" s="27"/>
      <c r="H754" s="27"/>
      <c r="I754" s="28" t="str">
        <f t="shared" si="22"/>
        <v/>
      </c>
      <c r="J754" s="27"/>
      <c r="K754" s="28" t="str">
        <f t="shared" si="23"/>
        <v/>
      </c>
      <c r="L754" s="27"/>
      <c r="M754" s="27"/>
      <c r="N754" s="27"/>
      <c r="O754" s="27"/>
      <c r="P754" s="27" t="s">
        <v>3906</v>
      </c>
      <c r="Q754" s="27" t="s">
        <v>3907</v>
      </c>
    </row>
    <row r="755" spans="1:17" ht="15" customHeight="1" x14ac:dyDescent="0.3">
      <c r="A755" s="27" t="s">
        <v>3908</v>
      </c>
      <c r="B755" s="27" t="s">
        <v>3909</v>
      </c>
      <c r="C755" s="27" t="s">
        <v>3910</v>
      </c>
      <c r="D755" s="27">
        <v>2021</v>
      </c>
      <c r="E755" s="27" t="s">
        <v>48</v>
      </c>
      <c r="F755" s="27" t="s">
        <v>11</v>
      </c>
      <c r="G755" s="27"/>
      <c r="H755" s="27"/>
      <c r="I755" s="28" t="str">
        <f t="shared" si="22"/>
        <v/>
      </c>
      <c r="J755" s="27"/>
      <c r="K755" s="28" t="str">
        <f t="shared" si="23"/>
        <v/>
      </c>
      <c r="L755" s="27"/>
      <c r="M755" s="27"/>
      <c r="N755" s="27"/>
      <c r="O755" s="27"/>
      <c r="P755" s="27" t="s">
        <v>3911</v>
      </c>
      <c r="Q755" s="27" t="s">
        <v>3912</v>
      </c>
    </row>
    <row r="756" spans="1:17" ht="15" customHeight="1" x14ac:dyDescent="0.3">
      <c r="A756" s="27" t="s">
        <v>3913</v>
      </c>
      <c r="B756" s="27" t="s">
        <v>3914</v>
      </c>
      <c r="C756" s="27" t="s">
        <v>3915</v>
      </c>
      <c r="D756" s="27">
        <v>2023</v>
      </c>
      <c r="E756" s="27" t="s">
        <v>48</v>
      </c>
      <c r="F756" s="27" t="s">
        <v>13</v>
      </c>
      <c r="G756" s="27"/>
      <c r="H756" s="27"/>
      <c r="I756" s="28" t="str">
        <f t="shared" si="22"/>
        <v/>
      </c>
      <c r="J756" s="27"/>
      <c r="K756" s="28" t="str">
        <f t="shared" si="23"/>
        <v/>
      </c>
      <c r="L756" s="27"/>
      <c r="M756" s="27"/>
      <c r="N756" s="27"/>
      <c r="O756" s="27"/>
      <c r="P756" s="27" t="s">
        <v>3916</v>
      </c>
      <c r="Q756" s="27" t="s">
        <v>3917</v>
      </c>
    </row>
    <row r="757" spans="1:17" ht="15" customHeight="1" x14ac:dyDescent="0.3">
      <c r="A757" s="27" t="s">
        <v>3918</v>
      </c>
      <c r="B757" s="27" t="s">
        <v>3919</v>
      </c>
      <c r="C757" s="27" t="s">
        <v>3920</v>
      </c>
      <c r="D757" s="27">
        <v>2022</v>
      </c>
      <c r="E757" s="27" t="s">
        <v>48</v>
      </c>
      <c r="F757" s="27" t="s">
        <v>15</v>
      </c>
      <c r="G757" s="27"/>
      <c r="H757" s="27"/>
      <c r="I757" s="28" t="str">
        <f t="shared" si="22"/>
        <v/>
      </c>
      <c r="J757" s="27"/>
      <c r="K757" s="28" t="str">
        <f t="shared" si="23"/>
        <v/>
      </c>
      <c r="L757" s="27"/>
      <c r="M757" s="27"/>
      <c r="N757" s="27"/>
      <c r="O757" s="27"/>
      <c r="P757" s="27" t="s">
        <v>3921</v>
      </c>
      <c r="Q757" s="27" t="s">
        <v>3922</v>
      </c>
    </row>
    <row r="758" spans="1:17" ht="15" customHeight="1" x14ac:dyDescent="0.3">
      <c r="A758" s="27" t="s">
        <v>3923</v>
      </c>
      <c r="B758" s="27" t="s">
        <v>3924</v>
      </c>
      <c r="C758" s="27" t="s">
        <v>3925</v>
      </c>
      <c r="D758" s="27">
        <v>2026</v>
      </c>
      <c r="E758" s="27" t="s">
        <v>48</v>
      </c>
      <c r="F758" s="27" t="s">
        <v>11</v>
      </c>
      <c r="G758" s="27"/>
      <c r="H758" s="27"/>
      <c r="I758" s="28" t="str">
        <f t="shared" si="22"/>
        <v/>
      </c>
      <c r="J758" s="27"/>
      <c r="K758" s="28" t="str">
        <f t="shared" si="23"/>
        <v/>
      </c>
      <c r="L758" s="27"/>
      <c r="M758" s="27"/>
      <c r="N758" s="27"/>
      <c r="O758" s="27"/>
      <c r="P758" s="27" t="s">
        <v>3926</v>
      </c>
      <c r="Q758" s="27" t="s">
        <v>3927</v>
      </c>
    </row>
    <row r="759" spans="1:17" ht="15" customHeight="1" x14ac:dyDescent="0.3">
      <c r="A759" s="27" t="s">
        <v>3928</v>
      </c>
      <c r="B759" s="27" t="s">
        <v>3929</v>
      </c>
      <c r="C759" s="27" t="s">
        <v>3930</v>
      </c>
      <c r="D759" s="27">
        <v>2025</v>
      </c>
      <c r="E759" s="27" t="s">
        <v>48</v>
      </c>
      <c r="F759" s="27" t="s">
        <v>13</v>
      </c>
      <c r="G759" s="27"/>
      <c r="H759" s="27"/>
      <c r="I759" s="28" t="str">
        <f t="shared" si="22"/>
        <v/>
      </c>
      <c r="J759" s="27"/>
      <c r="K759" s="28" t="str">
        <f t="shared" si="23"/>
        <v/>
      </c>
      <c r="L759" s="27"/>
      <c r="M759" s="27"/>
      <c r="N759" s="27"/>
      <c r="O759" s="27"/>
      <c r="P759" s="27" t="s">
        <v>3931</v>
      </c>
      <c r="Q759" s="27" t="s">
        <v>3932</v>
      </c>
    </row>
    <row r="760" spans="1:17" ht="15" customHeight="1" x14ac:dyDescent="0.3">
      <c r="A760" s="27" t="s">
        <v>3933</v>
      </c>
      <c r="B760" s="27" t="s">
        <v>3934</v>
      </c>
      <c r="C760" s="27" t="s">
        <v>3935</v>
      </c>
      <c r="D760" s="27">
        <v>2025</v>
      </c>
      <c r="E760" s="27" t="s">
        <v>48</v>
      </c>
      <c r="F760" s="27" t="s">
        <v>15</v>
      </c>
      <c r="G760" s="27"/>
      <c r="H760" s="27"/>
      <c r="I760" s="28" t="str">
        <f t="shared" si="22"/>
        <v/>
      </c>
      <c r="J760" s="27"/>
      <c r="K760" s="28" t="str">
        <f t="shared" si="23"/>
        <v/>
      </c>
      <c r="L760" s="27"/>
      <c r="M760" s="27"/>
      <c r="N760" s="27"/>
      <c r="O760" s="27"/>
      <c r="P760" s="27" t="s">
        <v>3936</v>
      </c>
      <c r="Q760" s="27" t="s">
        <v>3937</v>
      </c>
    </row>
    <row r="761" spans="1:17" ht="15" customHeight="1" x14ac:dyDescent="0.3">
      <c r="A761" s="27" t="s">
        <v>3938</v>
      </c>
      <c r="B761" s="27" t="s">
        <v>3939</v>
      </c>
      <c r="C761" s="27" t="s">
        <v>3940</v>
      </c>
      <c r="D761" s="27">
        <v>2025</v>
      </c>
      <c r="E761" s="27" t="s">
        <v>48</v>
      </c>
      <c r="F761" s="27" t="s">
        <v>11</v>
      </c>
      <c r="G761" s="27"/>
      <c r="H761" s="27"/>
      <c r="I761" s="28" t="str">
        <f t="shared" si="22"/>
        <v/>
      </c>
      <c r="J761" s="27"/>
      <c r="K761" s="28" t="str">
        <f t="shared" si="23"/>
        <v/>
      </c>
      <c r="L761" s="27"/>
      <c r="M761" s="27"/>
      <c r="N761" s="27"/>
      <c r="O761" s="27"/>
      <c r="P761" s="27" t="s">
        <v>3941</v>
      </c>
      <c r="Q761" s="27" t="s">
        <v>3942</v>
      </c>
    </row>
    <row r="762" spans="1:17" ht="15" customHeight="1" x14ac:dyDescent="0.3">
      <c r="A762" s="27" t="s">
        <v>3943</v>
      </c>
      <c r="B762" s="27" t="s">
        <v>3944</v>
      </c>
      <c r="C762" s="27" t="s">
        <v>3945</v>
      </c>
      <c r="D762" s="27">
        <v>2026</v>
      </c>
      <c r="E762" s="27" t="s">
        <v>48</v>
      </c>
      <c r="F762" s="27" t="s">
        <v>13</v>
      </c>
      <c r="G762" s="27"/>
      <c r="H762" s="27"/>
      <c r="I762" s="28" t="str">
        <f t="shared" si="22"/>
        <v/>
      </c>
      <c r="J762" s="27"/>
      <c r="K762" s="28" t="str">
        <f t="shared" si="23"/>
        <v/>
      </c>
      <c r="L762" s="27"/>
      <c r="M762" s="27"/>
      <c r="N762" s="27"/>
      <c r="O762" s="27"/>
      <c r="P762" s="27" t="s">
        <v>3946</v>
      </c>
      <c r="Q762" s="27" t="s">
        <v>3947</v>
      </c>
    </row>
    <row r="763" spans="1:17" ht="15" customHeight="1" x14ac:dyDescent="0.3">
      <c r="A763" s="27" t="s">
        <v>3948</v>
      </c>
      <c r="B763" s="27" t="s">
        <v>3949</v>
      </c>
      <c r="C763" s="27" t="s">
        <v>3950</v>
      </c>
      <c r="D763" s="27">
        <v>2026</v>
      </c>
      <c r="E763" s="27" t="s">
        <v>48</v>
      </c>
      <c r="F763" s="27" t="s">
        <v>15</v>
      </c>
      <c r="G763" s="27"/>
      <c r="H763" s="27"/>
      <c r="I763" s="28" t="str">
        <f t="shared" si="22"/>
        <v/>
      </c>
      <c r="J763" s="27"/>
      <c r="K763" s="28" t="str">
        <f t="shared" si="23"/>
        <v/>
      </c>
      <c r="L763" s="27"/>
      <c r="M763" s="27"/>
      <c r="N763" s="27"/>
      <c r="O763" s="27"/>
      <c r="P763" s="27" t="s">
        <v>3951</v>
      </c>
      <c r="Q763" s="27" t="s">
        <v>3952</v>
      </c>
    </row>
    <row r="764" spans="1:17" ht="15" customHeight="1" x14ac:dyDescent="0.3">
      <c r="A764" s="27" t="s">
        <v>3953</v>
      </c>
      <c r="B764" s="27" t="s">
        <v>3954</v>
      </c>
      <c r="C764" s="27" t="s">
        <v>3955</v>
      </c>
      <c r="D764" s="27">
        <v>2026</v>
      </c>
      <c r="E764" s="27" t="s">
        <v>48</v>
      </c>
      <c r="F764" s="27" t="s">
        <v>11</v>
      </c>
      <c r="G764" s="27"/>
      <c r="H764" s="27"/>
      <c r="I764" s="28" t="str">
        <f t="shared" si="22"/>
        <v/>
      </c>
      <c r="J764" s="27"/>
      <c r="K764" s="28" t="str">
        <f t="shared" si="23"/>
        <v/>
      </c>
      <c r="L764" s="27"/>
      <c r="M764" s="27"/>
      <c r="N764" s="27"/>
      <c r="O764" s="27"/>
      <c r="P764" s="27" t="s">
        <v>3956</v>
      </c>
      <c r="Q764" s="27" t="s">
        <v>3957</v>
      </c>
    </row>
    <row r="765" spans="1:17" ht="15" customHeight="1" x14ac:dyDescent="0.3">
      <c r="A765" s="27" t="s">
        <v>3958</v>
      </c>
      <c r="B765" s="27" t="s">
        <v>3959</v>
      </c>
      <c r="C765" s="27" t="s">
        <v>3960</v>
      </c>
      <c r="D765" s="27">
        <v>2023</v>
      </c>
      <c r="E765" s="27" t="s">
        <v>48</v>
      </c>
      <c r="F765" s="27" t="s">
        <v>13</v>
      </c>
      <c r="G765" s="27"/>
      <c r="H765" s="27"/>
      <c r="I765" s="28" t="str">
        <f t="shared" si="22"/>
        <v/>
      </c>
      <c r="J765" s="27"/>
      <c r="K765" s="28" t="str">
        <f t="shared" si="23"/>
        <v/>
      </c>
      <c r="L765" s="27"/>
      <c r="M765" s="27"/>
      <c r="N765" s="27"/>
      <c r="O765" s="27"/>
      <c r="P765" s="27" t="s">
        <v>3961</v>
      </c>
      <c r="Q765" s="27" t="s">
        <v>3962</v>
      </c>
    </row>
    <row r="766" spans="1:17" ht="15" customHeight="1" x14ac:dyDescent="0.3">
      <c r="A766" s="27" t="s">
        <v>3963</v>
      </c>
      <c r="B766" s="27" t="s">
        <v>3964</v>
      </c>
      <c r="C766" s="27" t="s">
        <v>3965</v>
      </c>
      <c r="D766" s="27">
        <v>2024</v>
      </c>
      <c r="E766" s="27" t="s">
        <v>48</v>
      </c>
      <c r="F766" s="27" t="s">
        <v>15</v>
      </c>
      <c r="G766" s="27"/>
      <c r="H766" s="27"/>
      <c r="I766" s="28" t="str">
        <f t="shared" si="22"/>
        <v/>
      </c>
      <c r="J766" s="27"/>
      <c r="K766" s="28" t="str">
        <f t="shared" si="23"/>
        <v/>
      </c>
      <c r="L766" s="27"/>
      <c r="M766" s="27"/>
      <c r="N766" s="27"/>
      <c r="O766" s="27"/>
      <c r="P766" s="27" t="s">
        <v>3966</v>
      </c>
      <c r="Q766" s="27" t="s">
        <v>3967</v>
      </c>
    </row>
    <row r="767" spans="1:17" ht="15" customHeight="1" x14ac:dyDescent="0.3">
      <c r="A767" s="27" t="s">
        <v>3968</v>
      </c>
      <c r="B767" s="27" t="s">
        <v>3969</v>
      </c>
      <c r="C767" s="27" t="s">
        <v>3970</v>
      </c>
      <c r="D767" s="27">
        <v>2024</v>
      </c>
      <c r="E767" s="27" t="s">
        <v>48</v>
      </c>
      <c r="F767" s="27" t="s">
        <v>11</v>
      </c>
      <c r="G767" s="27"/>
      <c r="H767" s="27"/>
      <c r="I767" s="28" t="str">
        <f t="shared" si="22"/>
        <v/>
      </c>
      <c r="J767" s="27"/>
      <c r="K767" s="28" t="str">
        <f t="shared" si="23"/>
        <v/>
      </c>
      <c r="L767" s="27"/>
      <c r="M767" s="27"/>
      <c r="N767" s="27"/>
      <c r="O767" s="27"/>
      <c r="P767" s="27" t="s">
        <v>238</v>
      </c>
      <c r="Q767" s="27" t="s">
        <v>3971</v>
      </c>
    </row>
    <row r="768" spans="1:17" ht="15" customHeight="1" x14ac:dyDescent="0.3">
      <c r="A768" s="27" t="s">
        <v>3972</v>
      </c>
      <c r="B768" s="27" t="s">
        <v>3973</v>
      </c>
      <c r="C768" s="27" t="s">
        <v>3974</v>
      </c>
      <c r="D768" s="27">
        <v>2024</v>
      </c>
      <c r="E768" s="27" t="s">
        <v>48</v>
      </c>
      <c r="F768" s="27" t="s">
        <v>13</v>
      </c>
      <c r="G768" s="27"/>
      <c r="H768" s="27"/>
      <c r="I768" s="28" t="str">
        <f t="shared" si="22"/>
        <v/>
      </c>
      <c r="J768" s="27"/>
      <c r="K768" s="28" t="str">
        <f t="shared" si="23"/>
        <v/>
      </c>
      <c r="L768" s="27"/>
      <c r="M768" s="27"/>
      <c r="N768" s="27"/>
      <c r="O768" s="27"/>
      <c r="P768" s="27" t="s">
        <v>3975</v>
      </c>
      <c r="Q768" s="27" t="s">
        <v>3976</v>
      </c>
    </row>
    <row r="769" spans="1:17" ht="15" customHeight="1" x14ac:dyDescent="0.3">
      <c r="A769" s="27" t="s">
        <v>3977</v>
      </c>
      <c r="B769" s="27" t="s">
        <v>3978</v>
      </c>
      <c r="C769" s="27" t="s">
        <v>3979</v>
      </c>
      <c r="D769" s="27">
        <v>2018</v>
      </c>
      <c r="E769" s="27" t="s">
        <v>48</v>
      </c>
      <c r="F769" s="27" t="s">
        <v>15</v>
      </c>
      <c r="G769" s="27"/>
      <c r="H769" s="27"/>
      <c r="I769" s="28" t="str">
        <f t="shared" si="22"/>
        <v/>
      </c>
      <c r="J769" s="27"/>
      <c r="K769" s="28" t="str">
        <f t="shared" si="23"/>
        <v/>
      </c>
      <c r="L769" s="27"/>
      <c r="M769" s="27"/>
      <c r="N769" s="27"/>
      <c r="O769" s="27"/>
      <c r="P769" s="27" t="s">
        <v>3980</v>
      </c>
      <c r="Q769" s="27" t="s">
        <v>3981</v>
      </c>
    </row>
    <row r="770" spans="1:17" ht="15" customHeight="1" x14ac:dyDescent="0.3">
      <c r="A770" s="27" t="s">
        <v>3982</v>
      </c>
      <c r="B770" s="27" t="s">
        <v>3983</v>
      </c>
      <c r="C770" s="27" t="s">
        <v>3984</v>
      </c>
      <c r="D770" s="27">
        <v>2025</v>
      </c>
      <c r="E770" s="27" t="s">
        <v>48</v>
      </c>
      <c r="F770" s="27" t="s">
        <v>11</v>
      </c>
      <c r="G770" s="27"/>
      <c r="H770" s="27"/>
      <c r="I770" s="28" t="str">
        <f t="shared" ref="I770:I833" si="24">IF(OR(G770="",H770=""),"",IF(G770=H770,"Yes","No"))</f>
        <v/>
      </c>
      <c r="J770" s="27"/>
      <c r="K770" s="28" t="str">
        <f t="shared" ref="K770:K833" si="25">IF(OR(E770="Snowballing",E770="Other sources"),"n/a",IF(AND(G770="",H770=""),"",IF(OR(G770="",H770=""),"Waiting",IF(G770=H770,G770,IF(AND(G770&lt;&gt;"Exclude",H770&lt;&gt;"Exclude"),"Maybe",IF(J770&lt;&gt;"",J770,"Pending"))))))</f>
        <v/>
      </c>
      <c r="L770" s="27"/>
      <c r="M770" s="27"/>
      <c r="N770" s="27"/>
      <c r="O770" s="27"/>
      <c r="P770" s="27" t="s">
        <v>3985</v>
      </c>
      <c r="Q770" s="27" t="s">
        <v>3986</v>
      </c>
    </row>
    <row r="771" spans="1:17" ht="15" customHeight="1" x14ac:dyDescent="0.3">
      <c r="A771" s="27" t="s">
        <v>3987</v>
      </c>
      <c r="B771" s="27" t="s">
        <v>3988</v>
      </c>
      <c r="C771" s="27" t="s">
        <v>3989</v>
      </c>
      <c r="D771" s="27">
        <v>2021</v>
      </c>
      <c r="E771" s="27" t="s">
        <v>48</v>
      </c>
      <c r="F771" s="27" t="s">
        <v>13</v>
      </c>
      <c r="G771" s="27"/>
      <c r="H771" s="27"/>
      <c r="I771" s="28" t="str">
        <f t="shared" si="24"/>
        <v/>
      </c>
      <c r="J771" s="27"/>
      <c r="K771" s="28" t="str">
        <f t="shared" si="25"/>
        <v/>
      </c>
      <c r="L771" s="27"/>
      <c r="M771" s="27"/>
      <c r="N771" s="27"/>
      <c r="O771" s="27"/>
      <c r="P771" s="27" t="s">
        <v>3990</v>
      </c>
      <c r="Q771" s="27" t="s">
        <v>3991</v>
      </c>
    </row>
    <row r="772" spans="1:17" ht="15" customHeight="1" x14ac:dyDescent="0.3">
      <c r="A772" s="27" t="s">
        <v>3992</v>
      </c>
      <c r="B772" s="27" t="s">
        <v>3993</v>
      </c>
      <c r="C772" s="27" t="s">
        <v>3994</v>
      </c>
      <c r="D772" s="27">
        <v>2022</v>
      </c>
      <c r="E772" s="27" t="s">
        <v>48</v>
      </c>
      <c r="F772" s="27" t="s">
        <v>15</v>
      </c>
      <c r="G772" s="27"/>
      <c r="H772" s="27"/>
      <c r="I772" s="28" t="str">
        <f t="shared" si="24"/>
        <v/>
      </c>
      <c r="J772" s="27"/>
      <c r="K772" s="28" t="str">
        <f t="shared" si="25"/>
        <v/>
      </c>
      <c r="L772" s="27"/>
      <c r="M772" s="27"/>
      <c r="N772" s="27"/>
      <c r="O772" s="27"/>
      <c r="P772" s="27" t="s">
        <v>3995</v>
      </c>
      <c r="Q772" s="27" t="s">
        <v>3996</v>
      </c>
    </row>
    <row r="773" spans="1:17" ht="15" customHeight="1" x14ac:dyDescent="0.3">
      <c r="A773" s="27" t="s">
        <v>3997</v>
      </c>
      <c r="B773" s="27" t="s">
        <v>3998</v>
      </c>
      <c r="C773" s="27" t="s">
        <v>3999</v>
      </c>
      <c r="D773" s="27">
        <v>2019</v>
      </c>
      <c r="E773" s="27" t="s">
        <v>48</v>
      </c>
      <c r="F773" s="27" t="s">
        <v>11</v>
      </c>
      <c r="G773" s="27"/>
      <c r="H773" s="27"/>
      <c r="I773" s="28" t="str">
        <f t="shared" si="24"/>
        <v/>
      </c>
      <c r="J773" s="27"/>
      <c r="K773" s="28" t="str">
        <f t="shared" si="25"/>
        <v/>
      </c>
      <c r="L773" s="27"/>
      <c r="M773" s="27"/>
      <c r="N773" s="27"/>
      <c r="O773" s="27"/>
      <c r="P773" s="27" t="s">
        <v>4000</v>
      </c>
      <c r="Q773" s="27" t="s">
        <v>4001</v>
      </c>
    </row>
    <row r="774" spans="1:17" ht="15" customHeight="1" x14ac:dyDescent="0.3">
      <c r="A774" s="27" t="s">
        <v>4002</v>
      </c>
      <c r="B774" s="27" t="s">
        <v>4003</v>
      </c>
      <c r="C774" s="27" t="s">
        <v>4004</v>
      </c>
      <c r="D774" s="27">
        <v>2026</v>
      </c>
      <c r="E774" s="27" t="s">
        <v>48</v>
      </c>
      <c r="F774" s="27" t="s">
        <v>13</v>
      </c>
      <c r="G774" s="27"/>
      <c r="H774" s="27"/>
      <c r="I774" s="28" t="str">
        <f t="shared" si="24"/>
        <v/>
      </c>
      <c r="J774" s="27"/>
      <c r="K774" s="28" t="str">
        <f t="shared" si="25"/>
        <v/>
      </c>
      <c r="L774" s="27"/>
      <c r="M774" s="27"/>
      <c r="N774" s="27"/>
      <c r="O774" s="27"/>
      <c r="P774" s="27" t="s">
        <v>4005</v>
      </c>
      <c r="Q774" s="27" t="s">
        <v>4006</v>
      </c>
    </row>
    <row r="775" spans="1:17" ht="15" customHeight="1" x14ac:dyDescent="0.3">
      <c r="A775" s="27" t="s">
        <v>4007</v>
      </c>
      <c r="B775" s="27" t="s">
        <v>4008</v>
      </c>
      <c r="C775" s="27" t="s">
        <v>4009</v>
      </c>
      <c r="D775" s="27">
        <v>2025</v>
      </c>
      <c r="E775" s="27" t="s">
        <v>48</v>
      </c>
      <c r="F775" s="27" t="s">
        <v>15</v>
      </c>
      <c r="G775" s="27"/>
      <c r="H775" s="27"/>
      <c r="I775" s="28" t="str">
        <f t="shared" si="24"/>
        <v/>
      </c>
      <c r="J775" s="27"/>
      <c r="K775" s="28" t="str">
        <f t="shared" si="25"/>
        <v/>
      </c>
      <c r="L775" s="27"/>
      <c r="M775" s="27"/>
      <c r="N775" s="27"/>
      <c r="O775" s="27"/>
      <c r="P775" s="27" t="s">
        <v>4010</v>
      </c>
      <c r="Q775" s="27" t="s">
        <v>4011</v>
      </c>
    </row>
    <row r="776" spans="1:17" ht="15" customHeight="1" x14ac:dyDescent="0.3">
      <c r="A776" s="27" t="s">
        <v>4012</v>
      </c>
      <c r="B776" s="27" t="s">
        <v>4013</v>
      </c>
      <c r="C776" s="27" t="s">
        <v>4014</v>
      </c>
      <c r="D776" s="27">
        <v>2022</v>
      </c>
      <c r="E776" s="27" t="s">
        <v>48</v>
      </c>
      <c r="F776" s="27" t="s">
        <v>11</v>
      </c>
      <c r="G776" s="27"/>
      <c r="H776" s="27"/>
      <c r="I776" s="28" t="str">
        <f t="shared" si="24"/>
        <v/>
      </c>
      <c r="J776" s="27"/>
      <c r="K776" s="28" t="str">
        <f t="shared" si="25"/>
        <v/>
      </c>
      <c r="L776" s="27"/>
      <c r="M776" s="27"/>
      <c r="N776" s="27"/>
      <c r="O776" s="27"/>
      <c r="P776" s="27" t="s">
        <v>4015</v>
      </c>
      <c r="Q776" s="27" t="s">
        <v>4016</v>
      </c>
    </row>
    <row r="777" spans="1:17" ht="15" customHeight="1" x14ac:dyDescent="0.3">
      <c r="A777" s="27" t="s">
        <v>4017</v>
      </c>
      <c r="B777" s="27" t="s">
        <v>4018</v>
      </c>
      <c r="C777" s="27" t="s">
        <v>4019</v>
      </c>
      <c r="D777" s="27">
        <v>2026</v>
      </c>
      <c r="E777" s="27" t="s">
        <v>48</v>
      </c>
      <c r="F777" s="27" t="s">
        <v>13</v>
      </c>
      <c r="G777" s="27"/>
      <c r="H777" s="27"/>
      <c r="I777" s="28" t="str">
        <f t="shared" si="24"/>
        <v/>
      </c>
      <c r="J777" s="27"/>
      <c r="K777" s="28" t="str">
        <f t="shared" si="25"/>
        <v/>
      </c>
      <c r="L777" s="27"/>
      <c r="M777" s="27"/>
      <c r="N777" s="27"/>
      <c r="O777" s="27"/>
      <c r="P777" s="27" t="s">
        <v>4020</v>
      </c>
      <c r="Q777" s="27" t="s">
        <v>4021</v>
      </c>
    </row>
    <row r="778" spans="1:17" ht="15" customHeight="1" x14ac:dyDescent="0.3">
      <c r="A778" s="27" t="s">
        <v>4022</v>
      </c>
      <c r="B778" s="27" t="s">
        <v>4023</v>
      </c>
      <c r="C778" s="27" t="s">
        <v>4024</v>
      </c>
      <c r="D778" s="27">
        <v>2025</v>
      </c>
      <c r="E778" s="27" t="s">
        <v>48</v>
      </c>
      <c r="F778" s="27" t="s">
        <v>15</v>
      </c>
      <c r="G778" s="27"/>
      <c r="H778" s="27"/>
      <c r="I778" s="28" t="str">
        <f t="shared" si="24"/>
        <v/>
      </c>
      <c r="J778" s="27"/>
      <c r="K778" s="28" t="str">
        <f t="shared" si="25"/>
        <v/>
      </c>
      <c r="L778" s="27"/>
      <c r="M778" s="27"/>
      <c r="N778" s="27"/>
      <c r="O778" s="27"/>
      <c r="P778" s="27" t="s">
        <v>4025</v>
      </c>
      <c r="Q778" s="27" t="s">
        <v>4026</v>
      </c>
    </row>
    <row r="779" spans="1:17" ht="15" customHeight="1" x14ac:dyDescent="0.3">
      <c r="A779" s="27" t="s">
        <v>4027</v>
      </c>
      <c r="B779" s="27" t="s">
        <v>4028</v>
      </c>
      <c r="C779" s="27" t="s">
        <v>4029</v>
      </c>
      <c r="D779" s="27">
        <v>2024</v>
      </c>
      <c r="E779" s="27" t="s">
        <v>48</v>
      </c>
      <c r="F779" s="27" t="s">
        <v>11</v>
      </c>
      <c r="G779" s="27"/>
      <c r="H779" s="27"/>
      <c r="I779" s="28" t="str">
        <f t="shared" si="24"/>
        <v/>
      </c>
      <c r="J779" s="27"/>
      <c r="K779" s="28" t="str">
        <f t="shared" si="25"/>
        <v/>
      </c>
      <c r="L779" s="27"/>
      <c r="M779" s="27"/>
      <c r="N779" s="27"/>
      <c r="O779" s="27"/>
      <c r="P779" s="27" t="s">
        <v>4030</v>
      </c>
      <c r="Q779" s="27" t="s">
        <v>4031</v>
      </c>
    </row>
    <row r="780" spans="1:17" ht="15" customHeight="1" x14ac:dyDescent="0.3">
      <c r="A780" s="27" t="s">
        <v>4032</v>
      </c>
      <c r="B780" s="27" t="s">
        <v>4033</v>
      </c>
      <c r="C780" s="27" t="s">
        <v>4034</v>
      </c>
      <c r="D780" s="27">
        <v>2025</v>
      </c>
      <c r="E780" s="27" t="s">
        <v>48</v>
      </c>
      <c r="F780" s="27" t="s">
        <v>13</v>
      </c>
      <c r="G780" s="27"/>
      <c r="H780" s="27"/>
      <c r="I780" s="28" t="str">
        <f t="shared" si="24"/>
        <v/>
      </c>
      <c r="J780" s="27"/>
      <c r="K780" s="28" t="str">
        <f t="shared" si="25"/>
        <v/>
      </c>
      <c r="L780" s="27"/>
      <c r="M780" s="27"/>
      <c r="N780" s="27"/>
      <c r="O780" s="27"/>
      <c r="P780" s="27" t="s">
        <v>4035</v>
      </c>
      <c r="Q780" s="27" t="s">
        <v>4036</v>
      </c>
    </row>
    <row r="781" spans="1:17" ht="15" customHeight="1" x14ac:dyDescent="0.3">
      <c r="A781" s="27" t="s">
        <v>4037</v>
      </c>
      <c r="B781" s="27" t="s">
        <v>4038</v>
      </c>
      <c r="C781" s="27" t="s">
        <v>4039</v>
      </c>
      <c r="D781" s="27">
        <v>2021</v>
      </c>
      <c r="E781" s="27" t="s">
        <v>48</v>
      </c>
      <c r="F781" s="27" t="s">
        <v>15</v>
      </c>
      <c r="G781" s="27"/>
      <c r="H781" s="27"/>
      <c r="I781" s="28" t="str">
        <f t="shared" si="24"/>
        <v/>
      </c>
      <c r="J781" s="27"/>
      <c r="K781" s="28" t="str">
        <f t="shared" si="25"/>
        <v/>
      </c>
      <c r="L781" s="27"/>
      <c r="M781" s="27"/>
      <c r="N781" s="27"/>
      <c r="O781" s="27"/>
      <c r="P781" s="27" t="s">
        <v>4040</v>
      </c>
      <c r="Q781" s="27" t="s">
        <v>4041</v>
      </c>
    </row>
    <row r="782" spans="1:17" ht="15" customHeight="1" x14ac:dyDescent="0.3">
      <c r="A782" s="27" t="s">
        <v>4042</v>
      </c>
      <c r="B782" s="27" t="s">
        <v>4043</v>
      </c>
      <c r="C782" s="27" t="s">
        <v>4044</v>
      </c>
      <c r="D782" s="27">
        <v>2022</v>
      </c>
      <c r="E782" s="27" t="s">
        <v>48</v>
      </c>
      <c r="F782" s="27" t="s">
        <v>11</v>
      </c>
      <c r="G782" s="27"/>
      <c r="H782" s="27"/>
      <c r="I782" s="28" t="str">
        <f t="shared" si="24"/>
        <v/>
      </c>
      <c r="J782" s="27"/>
      <c r="K782" s="28" t="str">
        <f t="shared" si="25"/>
        <v/>
      </c>
      <c r="L782" s="27"/>
      <c r="M782" s="27"/>
      <c r="N782" s="27"/>
      <c r="O782" s="27"/>
      <c r="P782" s="27" t="s">
        <v>4045</v>
      </c>
      <c r="Q782" s="27" t="s">
        <v>4046</v>
      </c>
    </row>
    <row r="783" spans="1:17" ht="15" customHeight="1" x14ac:dyDescent="0.3">
      <c r="A783" s="27" t="s">
        <v>4047</v>
      </c>
      <c r="B783" s="27" t="s">
        <v>4048</v>
      </c>
      <c r="C783" s="27" t="s">
        <v>4049</v>
      </c>
      <c r="D783" s="27">
        <v>2025</v>
      </c>
      <c r="E783" s="27" t="s">
        <v>48</v>
      </c>
      <c r="F783" s="27" t="s">
        <v>13</v>
      </c>
      <c r="G783" s="27"/>
      <c r="H783" s="27"/>
      <c r="I783" s="28" t="str">
        <f t="shared" si="24"/>
        <v/>
      </c>
      <c r="J783" s="27"/>
      <c r="K783" s="28" t="str">
        <f t="shared" si="25"/>
        <v/>
      </c>
      <c r="L783" s="27"/>
      <c r="M783" s="27"/>
      <c r="N783" s="27"/>
      <c r="O783" s="27"/>
      <c r="P783" s="27" t="s">
        <v>4050</v>
      </c>
      <c r="Q783" s="27" t="s">
        <v>4051</v>
      </c>
    </row>
    <row r="784" spans="1:17" ht="15" customHeight="1" x14ac:dyDescent="0.3">
      <c r="A784" s="27" t="s">
        <v>4052</v>
      </c>
      <c r="B784" s="27" t="s">
        <v>4053</v>
      </c>
      <c r="C784" s="27" t="s">
        <v>4054</v>
      </c>
      <c r="D784" s="27">
        <v>2024</v>
      </c>
      <c r="E784" s="27" t="s">
        <v>48</v>
      </c>
      <c r="F784" s="27" t="s">
        <v>15</v>
      </c>
      <c r="G784" s="27"/>
      <c r="H784" s="27"/>
      <c r="I784" s="28" t="str">
        <f t="shared" si="24"/>
        <v/>
      </c>
      <c r="J784" s="27"/>
      <c r="K784" s="28" t="str">
        <f t="shared" si="25"/>
        <v/>
      </c>
      <c r="L784" s="27"/>
      <c r="M784" s="27"/>
      <c r="N784" s="27"/>
      <c r="O784" s="27"/>
      <c r="P784" s="27" t="s">
        <v>4055</v>
      </c>
      <c r="Q784" s="27" t="s">
        <v>4056</v>
      </c>
    </row>
    <row r="785" spans="1:17" ht="15" customHeight="1" x14ac:dyDescent="0.3">
      <c r="A785" s="27" t="s">
        <v>4057</v>
      </c>
      <c r="B785" s="27" t="s">
        <v>4058</v>
      </c>
      <c r="C785" s="27" t="s">
        <v>4059</v>
      </c>
      <c r="D785" s="27">
        <v>2024</v>
      </c>
      <c r="E785" s="27" t="s">
        <v>48</v>
      </c>
      <c r="F785" s="27" t="s">
        <v>11</v>
      </c>
      <c r="G785" s="27"/>
      <c r="H785" s="27"/>
      <c r="I785" s="28" t="str">
        <f t="shared" si="24"/>
        <v/>
      </c>
      <c r="J785" s="27"/>
      <c r="K785" s="28" t="str">
        <f t="shared" si="25"/>
        <v/>
      </c>
      <c r="L785" s="27"/>
      <c r="M785" s="27"/>
      <c r="N785" s="27"/>
      <c r="O785" s="27"/>
      <c r="P785" s="27" t="s">
        <v>4060</v>
      </c>
      <c r="Q785" s="27" t="s">
        <v>4061</v>
      </c>
    </row>
    <row r="786" spans="1:17" ht="15" customHeight="1" x14ac:dyDescent="0.3">
      <c r="A786" s="27" t="s">
        <v>4062</v>
      </c>
      <c r="B786" s="27" t="s">
        <v>4063</v>
      </c>
      <c r="C786" s="27" t="s">
        <v>4064</v>
      </c>
      <c r="D786" s="27">
        <v>2020</v>
      </c>
      <c r="E786" s="27" t="s">
        <v>48</v>
      </c>
      <c r="F786" s="27" t="s">
        <v>13</v>
      </c>
      <c r="G786" s="27"/>
      <c r="H786" s="27"/>
      <c r="I786" s="28" t="str">
        <f t="shared" si="24"/>
        <v/>
      </c>
      <c r="J786" s="27"/>
      <c r="K786" s="28" t="str">
        <f t="shared" si="25"/>
        <v/>
      </c>
      <c r="L786" s="27"/>
      <c r="M786" s="27"/>
      <c r="N786" s="27"/>
      <c r="O786" s="27"/>
      <c r="P786" s="27" t="s">
        <v>4065</v>
      </c>
      <c r="Q786" s="27" t="s">
        <v>4066</v>
      </c>
    </row>
    <row r="787" spans="1:17" ht="15" customHeight="1" x14ac:dyDescent="0.3">
      <c r="A787" s="27" t="s">
        <v>4067</v>
      </c>
      <c r="B787" s="27" t="s">
        <v>4068</v>
      </c>
      <c r="C787" s="27" t="s">
        <v>4069</v>
      </c>
      <c r="D787" s="27">
        <v>2026</v>
      </c>
      <c r="E787" s="27" t="s">
        <v>48</v>
      </c>
      <c r="F787" s="27" t="s">
        <v>15</v>
      </c>
      <c r="G787" s="27"/>
      <c r="H787" s="27"/>
      <c r="I787" s="28" t="str">
        <f t="shared" si="24"/>
        <v/>
      </c>
      <c r="J787" s="27"/>
      <c r="K787" s="28" t="str">
        <f t="shared" si="25"/>
        <v/>
      </c>
      <c r="L787" s="27"/>
      <c r="M787" s="27"/>
      <c r="N787" s="27"/>
      <c r="O787" s="27"/>
      <c r="P787" s="27" t="s">
        <v>4070</v>
      </c>
      <c r="Q787" s="27" t="s">
        <v>4071</v>
      </c>
    </row>
    <row r="788" spans="1:17" ht="15" customHeight="1" x14ac:dyDescent="0.3">
      <c r="A788" s="27" t="s">
        <v>4072</v>
      </c>
      <c r="B788" s="27" t="s">
        <v>4073</v>
      </c>
      <c r="C788" s="27" t="s">
        <v>4074</v>
      </c>
      <c r="D788" s="27">
        <v>2026</v>
      </c>
      <c r="E788" s="27" t="s">
        <v>48</v>
      </c>
      <c r="F788" s="27" t="s">
        <v>11</v>
      </c>
      <c r="G788" s="27"/>
      <c r="H788" s="27"/>
      <c r="I788" s="28" t="str">
        <f t="shared" si="24"/>
        <v/>
      </c>
      <c r="J788" s="27"/>
      <c r="K788" s="28" t="str">
        <f t="shared" si="25"/>
        <v/>
      </c>
      <c r="L788" s="27"/>
      <c r="M788" s="27"/>
      <c r="N788" s="27"/>
      <c r="O788" s="27"/>
      <c r="P788" s="27" t="s">
        <v>4075</v>
      </c>
      <c r="Q788" s="27" t="s">
        <v>4076</v>
      </c>
    </row>
    <row r="789" spans="1:17" ht="15" customHeight="1" x14ac:dyDescent="0.3">
      <c r="A789" s="27" t="s">
        <v>4077</v>
      </c>
      <c r="B789" s="27" t="s">
        <v>4078</v>
      </c>
      <c r="C789" s="27" t="s">
        <v>4079</v>
      </c>
      <c r="D789" s="27">
        <v>2026</v>
      </c>
      <c r="E789" s="27" t="s">
        <v>48</v>
      </c>
      <c r="F789" s="27" t="s">
        <v>13</v>
      </c>
      <c r="G789" s="27"/>
      <c r="H789" s="27"/>
      <c r="I789" s="28" t="str">
        <f t="shared" si="24"/>
        <v/>
      </c>
      <c r="J789" s="27"/>
      <c r="K789" s="28" t="str">
        <f t="shared" si="25"/>
        <v/>
      </c>
      <c r="L789" s="27"/>
      <c r="M789" s="27"/>
      <c r="N789" s="27"/>
      <c r="O789" s="27"/>
      <c r="P789" s="27" t="s">
        <v>4080</v>
      </c>
      <c r="Q789" s="27" t="s">
        <v>4081</v>
      </c>
    </row>
    <row r="790" spans="1:17" ht="15" customHeight="1" x14ac:dyDescent="0.3">
      <c r="A790" s="27" t="s">
        <v>4082</v>
      </c>
      <c r="B790" s="27" t="s">
        <v>4083</v>
      </c>
      <c r="C790" s="27" t="s">
        <v>4084</v>
      </c>
      <c r="D790" s="27">
        <v>2025</v>
      </c>
      <c r="E790" s="27" t="s">
        <v>48</v>
      </c>
      <c r="F790" s="27" t="s">
        <v>15</v>
      </c>
      <c r="G790" s="27"/>
      <c r="H790" s="27"/>
      <c r="I790" s="28" t="str">
        <f t="shared" si="24"/>
        <v/>
      </c>
      <c r="J790" s="27"/>
      <c r="K790" s="28" t="str">
        <f t="shared" si="25"/>
        <v/>
      </c>
      <c r="L790" s="27"/>
      <c r="M790" s="27"/>
      <c r="N790" s="27"/>
      <c r="O790" s="27"/>
      <c r="P790" s="27" t="s">
        <v>4085</v>
      </c>
      <c r="Q790" s="27" t="s">
        <v>4086</v>
      </c>
    </row>
    <row r="791" spans="1:17" ht="15" customHeight="1" x14ac:dyDescent="0.3">
      <c r="A791" s="27" t="s">
        <v>4087</v>
      </c>
      <c r="B791" s="27" t="s">
        <v>4088</v>
      </c>
      <c r="C791" s="27" t="s">
        <v>4089</v>
      </c>
      <c r="D791" s="27">
        <v>2025</v>
      </c>
      <c r="E791" s="27" t="s">
        <v>48</v>
      </c>
      <c r="F791" s="27" t="s">
        <v>11</v>
      </c>
      <c r="G791" s="27"/>
      <c r="H791" s="27"/>
      <c r="I791" s="28" t="str">
        <f t="shared" si="24"/>
        <v/>
      </c>
      <c r="J791" s="27"/>
      <c r="K791" s="28" t="str">
        <f t="shared" si="25"/>
        <v/>
      </c>
      <c r="L791" s="27"/>
      <c r="M791" s="27"/>
      <c r="N791" s="27"/>
      <c r="O791" s="27"/>
      <c r="P791" s="27" t="s">
        <v>4090</v>
      </c>
      <c r="Q791" s="27" t="s">
        <v>4091</v>
      </c>
    </row>
    <row r="792" spans="1:17" ht="15" customHeight="1" x14ac:dyDescent="0.3">
      <c r="A792" s="27" t="s">
        <v>4092</v>
      </c>
      <c r="B792" s="27" t="s">
        <v>4093</v>
      </c>
      <c r="C792" s="27" t="s">
        <v>4094</v>
      </c>
      <c r="D792" s="27">
        <v>2025</v>
      </c>
      <c r="E792" s="27" t="s">
        <v>48</v>
      </c>
      <c r="F792" s="27" t="s">
        <v>13</v>
      </c>
      <c r="G792" s="27"/>
      <c r="H792" s="27"/>
      <c r="I792" s="28" t="str">
        <f t="shared" si="24"/>
        <v/>
      </c>
      <c r="J792" s="27"/>
      <c r="K792" s="28" t="str">
        <f t="shared" si="25"/>
        <v/>
      </c>
      <c r="L792" s="27"/>
      <c r="M792" s="27"/>
      <c r="N792" s="27"/>
      <c r="O792" s="27"/>
      <c r="P792" s="27" t="s">
        <v>4095</v>
      </c>
      <c r="Q792" s="27" t="s">
        <v>4096</v>
      </c>
    </row>
    <row r="793" spans="1:17" ht="15" customHeight="1" x14ac:dyDescent="0.3">
      <c r="A793" s="27" t="s">
        <v>4097</v>
      </c>
      <c r="B793" s="27" t="s">
        <v>4098</v>
      </c>
      <c r="C793" s="27" t="s">
        <v>4099</v>
      </c>
      <c r="D793" s="27">
        <v>2024</v>
      </c>
      <c r="E793" s="27" t="s">
        <v>48</v>
      </c>
      <c r="F793" s="27" t="s">
        <v>15</v>
      </c>
      <c r="G793" s="27"/>
      <c r="H793" s="27"/>
      <c r="I793" s="28" t="str">
        <f t="shared" si="24"/>
        <v/>
      </c>
      <c r="J793" s="27"/>
      <c r="K793" s="28" t="str">
        <f t="shared" si="25"/>
        <v/>
      </c>
      <c r="L793" s="27"/>
      <c r="M793" s="27"/>
      <c r="N793" s="27"/>
      <c r="O793" s="27"/>
      <c r="P793" s="27" t="s">
        <v>4100</v>
      </c>
      <c r="Q793" s="27" t="s">
        <v>4101</v>
      </c>
    </row>
    <row r="794" spans="1:17" ht="15" customHeight="1" x14ac:dyDescent="0.3">
      <c r="A794" s="27" t="s">
        <v>4102</v>
      </c>
      <c r="B794" s="27" t="s">
        <v>4103</v>
      </c>
      <c r="C794" s="27" t="s">
        <v>4104</v>
      </c>
      <c r="D794" s="27">
        <v>2025</v>
      </c>
      <c r="E794" s="27" t="s">
        <v>48</v>
      </c>
      <c r="F794" s="27" t="s">
        <v>11</v>
      </c>
      <c r="G794" s="27"/>
      <c r="H794" s="27"/>
      <c r="I794" s="28" t="str">
        <f t="shared" si="24"/>
        <v/>
      </c>
      <c r="J794" s="27"/>
      <c r="K794" s="28" t="str">
        <f t="shared" si="25"/>
        <v/>
      </c>
      <c r="L794" s="27"/>
      <c r="M794" s="27"/>
      <c r="N794" s="27"/>
      <c r="O794" s="27"/>
      <c r="P794" s="27" t="s">
        <v>4105</v>
      </c>
      <c r="Q794" s="27" t="s">
        <v>4106</v>
      </c>
    </row>
    <row r="795" spans="1:17" ht="15" customHeight="1" x14ac:dyDescent="0.3">
      <c r="A795" s="27" t="s">
        <v>4107</v>
      </c>
      <c r="B795" s="27" t="s">
        <v>4108</v>
      </c>
      <c r="C795" s="27" t="s">
        <v>4109</v>
      </c>
      <c r="D795" s="27">
        <v>2020</v>
      </c>
      <c r="E795" s="27" t="s">
        <v>48</v>
      </c>
      <c r="F795" s="27" t="s">
        <v>13</v>
      </c>
      <c r="G795" s="27"/>
      <c r="H795" s="27"/>
      <c r="I795" s="28" t="str">
        <f t="shared" si="24"/>
        <v/>
      </c>
      <c r="J795" s="27"/>
      <c r="K795" s="28" t="str">
        <f t="shared" si="25"/>
        <v/>
      </c>
      <c r="L795" s="27"/>
      <c r="M795" s="27"/>
      <c r="N795" s="27"/>
      <c r="O795" s="27"/>
      <c r="P795" s="27" t="s">
        <v>4110</v>
      </c>
      <c r="Q795" s="27" t="s">
        <v>4111</v>
      </c>
    </row>
    <row r="796" spans="1:17" ht="15" customHeight="1" x14ac:dyDescent="0.3">
      <c r="A796" s="27" t="s">
        <v>4112</v>
      </c>
      <c r="B796" s="27" t="s">
        <v>4113</v>
      </c>
      <c r="C796" s="27" t="s">
        <v>4114</v>
      </c>
      <c r="D796" s="27">
        <v>2025</v>
      </c>
      <c r="E796" s="27" t="s">
        <v>48</v>
      </c>
      <c r="F796" s="27" t="s">
        <v>15</v>
      </c>
      <c r="G796" s="27"/>
      <c r="H796" s="27"/>
      <c r="I796" s="28" t="str">
        <f t="shared" si="24"/>
        <v/>
      </c>
      <c r="J796" s="27"/>
      <c r="K796" s="28" t="str">
        <f t="shared" si="25"/>
        <v/>
      </c>
      <c r="L796" s="27"/>
      <c r="M796" s="27"/>
      <c r="N796" s="27"/>
      <c r="O796" s="27"/>
      <c r="P796" s="27" t="s">
        <v>4115</v>
      </c>
      <c r="Q796" s="27" t="s">
        <v>4116</v>
      </c>
    </row>
    <row r="797" spans="1:17" ht="15" customHeight="1" x14ac:dyDescent="0.3">
      <c r="A797" s="27" t="s">
        <v>4117</v>
      </c>
      <c r="B797" s="27" t="s">
        <v>4118</v>
      </c>
      <c r="C797" s="27" t="s">
        <v>4119</v>
      </c>
      <c r="D797" s="27">
        <v>2023</v>
      </c>
      <c r="E797" s="27" t="s">
        <v>48</v>
      </c>
      <c r="F797" s="27" t="s">
        <v>11</v>
      </c>
      <c r="G797" s="27"/>
      <c r="H797" s="27"/>
      <c r="I797" s="28" t="str">
        <f t="shared" si="24"/>
        <v/>
      </c>
      <c r="J797" s="27"/>
      <c r="K797" s="28" t="str">
        <f t="shared" si="25"/>
        <v/>
      </c>
      <c r="L797" s="27"/>
      <c r="M797" s="27"/>
      <c r="N797" s="27"/>
      <c r="O797" s="27"/>
      <c r="P797" s="27" t="s">
        <v>4120</v>
      </c>
      <c r="Q797" s="27" t="s">
        <v>4121</v>
      </c>
    </row>
    <row r="798" spans="1:17" ht="15" customHeight="1" x14ac:dyDescent="0.3">
      <c r="A798" s="27" t="s">
        <v>4122</v>
      </c>
      <c r="B798" s="27" t="s">
        <v>4123</v>
      </c>
      <c r="C798" s="27" t="s">
        <v>4124</v>
      </c>
      <c r="D798" s="27">
        <v>2025</v>
      </c>
      <c r="E798" s="27" t="s">
        <v>142</v>
      </c>
      <c r="F798" s="27" t="s">
        <v>13</v>
      </c>
      <c r="G798" s="27"/>
      <c r="H798" s="27"/>
      <c r="I798" s="28" t="str">
        <f t="shared" si="24"/>
        <v/>
      </c>
      <c r="J798" s="27"/>
      <c r="K798" s="28" t="str">
        <f t="shared" si="25"/>
        <v/>
      </c>
      <c r="L798" s="27"/>
      <c r="M798" s="27"/>
      <c r="N798" s="27"/>
      <c r="O798" s="27"/>
      <c r="P798" s="27" t="s">
        <v>4125</v>
      </c>
      <c r="Q798" s="27" t="s">
        <v>4126</v>
      </c>
    </row>
    <row r="799" spans="1:17" ht="15" customHeight="1" x14ac:dyDescent="0.3">
      <c r="A799" s="27" t="s">
        <v>4127</v>
      </c>
      <c r="B799" s="27" t="s">
        <v>4128</v>
      </c>
      <c r="C799" s="27" t="s">
        <v>4129</v>
      </c>
      <c r="D799" s="27">
        <v>2026</v>
      </c>
      <c r="E799" s="27" t="s">
        <v>48</v>
      </c>
      <c r="F799" s="27" t="s">
        <v>15</v>
      </c>
      <c r="G799" s="27"/>
      <c r="H799" s="27"/>
      <c r="I799" s="28" t="str">
        <f t="shared" si="24"/>
        <v/>
      </c>
      <c r="J799" s="27"/>
      <c r="K799" s="28" t="str">
        <f t="shared" si="25"/>
        <v/>
      </c>
      <c r="L799" s="27"/>
      <c r="M799" s="27"/>
      <c r="N799" s="27"/>
      <c r="O799" s="27"/>
      <c r="P799" s="27" t="s">
        <v>4130</v>
      </c>
      <c r="Q799" s="27" t="s">
        <v>4131</v>
      </c>
    </row>
    <row r="800" spans="1:17" ht="15" customHeight="1" x14ac:dyDescent="0.3">
      <c r="A800" s="27" t="s">
        <v>4132</v>
      </c>
      <c r="B800" s="27" t="s">
        <v>4133</v>
      </c>
      <c r="C800" s="27" t="s">
        <v>4134</v>
      </c>
      <c r="D800" s="27">
        <v>2025</v>
      </c>
      <c r="E800" s="27" t="s">
        <v>48</v>
      </c>
      <c r="F800" s="27" t="s">
        <v>11</v>
      </c>
      <c r="G800" s="27"/>
      <c r="H800" s="27"/>
      <c r="I800" s="28" t="str">
        <f t="shared" si="24"/>
        <v/>
      </c>
      <c r="J800" s="27"/>
      <c r="K800" s="28" t="str">
        <f t="shared" si="25"/>
        <v/>
      </c>
      <c r="L800" s="27"/>
      <c r="M800" s="27"/>
      <c r="N800" s="27"/>
      <c r="O800" s="27"/>
      <c r="P800" s="27" t="s">
        <v>4135</v>
      </c>
      <c r="Q800" s="27" t="s">
        <v>4136</v>
      </c>
    </row>
    <row r="801" spans="1:17" ht="15" customHeight="1" x14ac:dyDescent="0.3">
      <c r="A801" s="27" t="s">
        <v>4137</v>
      </c>
      <c r="B801" s="27" t="s">
        <v>4138</v>
      </c>
      <c r="C801" s="27" t="s">
        <v>4139</v>
      </c>
      <c r="D801" s="27">
        <v>2023</v>
      </c>
      <c r="E801" s="27" t="s">
        <v>48</v>
      </c>
      <c r="F801" s="27" t="s">
        <v>13</v>
      </c>
      <c r="G801" s="27"/>
      <c r="H801" s="27"/>
      <c r="I801" s="28" t="str">
        <f t="shared" si="24"/>
        <v/>
      </c>
      <c r="J801" s="27"/>
      <c r="K801" s="28" t="str">
        <f t="shared" si="25"/>
        <v/>
      </c>
      <c r="L801" s="27"/>
      <c r="M801" s="27"/>
      <c r="N801" s="27"/>
      <c r="O801" s="27"/>
      <c r="P801" s="27" t="s">
        <v>4140</v>
      </c>
      <c r="Q801" s="27" t="s">
        <v>4141</v>
      </c>
    </row>
    <row r="802" spans="1:17" ht="15" customHeight="1" x14ac:dyDescent="0.3">
      <c r="A802" s="27" t="s">
        <v>4142</v>
      </c>
      <c r="B802" s="27" t="s">
        <v>4143</v>
      </c>
      <c r="C802" s="27" t="s">
        <v>4144</v>
      </c>
      <c r="D802" s="27">
        <v>2025</v>
      </c>
      <c r="E802" s="27" t="s">
        <v>48</v>
      </c>
      <c r="F802" s="27" t="s">
        <v>15</v>
      </c>
      <c r="G802" s="27"/>
      <c r="H802" s="27"/>
      <c r="I802" s="28" t="str">
        <f t="shared" si="24"/>
        <v/>
      </c>
      <c r="J802" s="27"/>
      <c r="K802" s="28" t="str">
        <f t="shared" si="25"/>
        <v/>
      </c>
      <c r="L802" s="27"/>
      <c r="M802" s="27"/>
      <c r="N802" s="27"/>
      <c r="O802" s="27"/>
      <c r="P802" s="27" t="s">
        <v>238</v>
      </c>
      <c r="Q802" s="27" t="s">
        <v>4145</v>
      </c>
    </row>
    <row r="803" spans="1:17" ht="15" customHeight="1" x14ac:dyDescent="0.3">
      <c r="A803" s="27" t="s">
        <v>4146</v>
      </c>
      <c r="B803" s="27" t="s">
        <v>4147</v>
      </c>
      <c r="C803" s="27" t="s">
        <v>4148</v>
      </c>
      <c r="D803" s="27">
        <v>2026</v>
      </c>
      <c r="E803" s="27" t="s">
        <v>48</v>
      </c>
      <c r="F803" s="27" t="s">
        <v>11</v>
      </c>
      <c r="G803" s="27"/>
      <c r="H803" s="27"/>
      <c r="I803" s="28" t="str">
        <f t="shared" si="24"/>
        <v/>
      </c>
      <c r="J803" s="27"/>
      <c r="K803" s="28" t="str">
        <f t="shared" si="25"/>
        <v/>
      </c>
      <c r="L803" s="27"/>
      <c r="M803" s="27"/>
      <c r="N803" s="27"/>
      <c r="O803" s="27"/>
      <c r="P803" s="27" t="s">
        <v>4149</v>
      </c>
      <c r="Q803" s="27" t="s">
        <v>4150</v>
      </c>
    </row>
    <row r="804" spans="1:17" ht="15" customHeight="1" x14ac:dyDescent="0.3">
      <c r="A804" s="27" t="s">
        <v>4151</v>
      </c>
      <c r="B804" s="27" t="s">
        <v>4152</v>
      </c>
      <c r="C804" s="27" t="s">
        <v>4153</v>
      </c>
      <c r="D804" s="27">
        <v>2020</v>
      </c>
      <c r="E804" s="27" t="s">
        <v>48</v>
      </c>
      <c r="F804" s="27" t="s">
        <v>13</v>
      </c>
      <c r="G804" s="27"/>
      <c r="H804" s="27"/>
      <c r="I804" s="28" t="str">
        <f t="shared" si="24"/>
        <v/>
      </c>
      <c r="J804" s="27"/>
      <c r="K804" s="28" t="str">
        <f t="shared" si="25"/>
        <v/>
      </c>
      <c r="L804" s="27"/>
      <c r="M804" s="27"/>
      <c r="N804" s="27"/>
      <c r="O804" s="27"/>
      <c r="P804" s="27" t="s">
        <v>4154</v>
      </c>
      <c r="Q804" s="27" t="s">
        <v>4155</v>
      </c>
    </row>
    <row r="805" spans="1:17" ht="15" customHeight="1" x14ac:dyDescent="0.3">
      <c r="A805" s="27" t="s">
        <v>4156</v>
      </c>
      <c r="B805" s="27" t="s">
        <v>4157</v>
      </c>
      <c r="C805" s="27" t="s">
        <v>4158</v>
      </c>
      <c r="D805" s="27">
        <v>2024</v>
      </c>
      <c r="E805" s="27" t="s">
        <v>48</v>
      </c>
      <c r="F805" s="27" t="s">
        <v>15</v>
      </c>
      <c r="G805" s="27"/>
      <c r="H805" s="27"/>
      <c r="I805" s="28" t="str">
        <f t="shared" si="24"/>
        <v/>
      </c>
      <c r="J805" s="27"/>
      <c r="K805" s="28" t="str">
        <f t="shared" si="25"/>
        <v/>
      </c>
      <c r="L805" s="27"/>
      <c r="M805" s="27"/>
      <c r="N805" s="27"/>
      <c r="O805" s="27"/>
      <c r="P805" s="27" t="s">
        <v>4159</v>
      </c>
      <c r="Q805" s="27" t="s">
        <v>4160</v>
      </c>
    </row>
    <row r="806" spans="1:17" ht="15" customHeight="1" x14ac:dyDescent="0.3">
      <c r="A806" s="27" t="s">
        <v>4161</v>
      </c>
      <c r="B806" s="27" t="s">
        <v>4162</v>
      </c>
      <c r="C806" s="27" t="s">
        <v>4163</v>
      </c>
      <c r="D806" s="27">
        <v>2025</v>
      </c>
      <c r="E806" s="27" t="s">
        <v>48</v>
      </c>
      <c r="F806" s="27" t="s">
        <v>11</v>
      </c>
      <c r="G806" s="27"/>
      <c r="H806" s="27"/>
      <c r="I806" s="28" t="str">
        <f t="shared" si="24"/>
        <v/>
      </c>
      <c r="J806" s="27"/>
      <c r="K806" s="28" t="str">
        <f t="shared" si="25"/>
        <v/>
      </c>
      <c r="L806" s="27"/>
      <c r="M806" s="27"/>
      <c r="N806" s="27"/>
      <c r="O806" s="27"/>
      <c r="P806" s="27" t="s">
        <v>4164</v>
      </c>
      <c r="Q806" s="27" t="s">
        <v>4165</v>
      </c>
    </row>
    <row r="807" spans="1:17" ht="15" customHeight="1" x14ac:dyDescent="0.3">
      <c r="A807" s="27" t="s">
        <v>4166</v>
      </c>
      <c r="B807" s="27" t="s">
        <v>4167</v>
      </c>
      <c r="C807" s="27" t="s">
        <v>4168</v>
      </c>
      <c r="D807" s="27">
        <v>2025</v>
      </c>
      <c r="E807" s="27" t="s">
        <v>48</v>
      </c>
      <c r="F807" s="27" t="s">
        <v>13</v>
      </c>
      <c r="G807" s="27"/>
      <c r="H807" s="27"/>
      <c r="I807" s="28" t="str">
        <f t="shared" si="24"/>
        <v/>
      </c>
      <c r="J807" s="27"/>
      <c r="K807" s="28" t="str">
        <f t="shared" si="25"/>
        <v/>
      </c>
      <c r="L807" s="27"/>
      <c r="M807" s="27"/>
      <c r="N807" s="27"/>
      <c r="O807" s="27"/>
      <c r="P807" s="27" t="s">
        <v>4169</v>
      </c>
      <c r="Q807" s="27" t="s">
        <v>4170</v>
      </c>
    </row>
    <row r="808" spans="1:17" ht="15" customHeight="1" x14ac:dyDescent="0.3">
      <c r="A808" s="27" t="s">
        <v>4171</v>
      </c>
      <c r="B808" s="27" t="s">
        <v>4172</v>
      </c>
      <c r="C808" s="27" t="s">
        <v>4054</v>
      </c>
      <c r="D808" s="27">
        <v>2024</v>
      </c>
      <c r="E808" s="27" t="s">
        <v>48</v>
      </c>
      <c r="F808" s="27" t="s">
        <v>15</v>
      </c>
      <c r="G808" s="27"/>
      <c r="H808" s="27"/>
      <c r="I808" s="28" t="str">
        <f t="shared" si="24"/>
        <v/>
      </c>
      <c r="J808" s="27"/>
      <c r="K808" s="28" t="str">
        <f t="shared" si="25"/>
        <v/>
      </c>
      <c r="L808" s="27"/>
      <c r="M808" s="27"/>
      <c r="N808" s="27"/>
      <c r="O808" s="27"/>
      <c r="P808" s="27" t="s">
        <v>4173</v>
      </c>
      <c r="Q808" s="27" t="s">
        <v>4174</v>
      </c>
    </row>
    <row r="809" spans="1:17" ht="15" customHeight="1" x14ac:dyDescent="0.3">
      <c r="A809" s="27" t="s">
        <v>4175</v>
      </c>
      <c r="B809" s="27" t="s">
        <v>4176</v>
      </c>
      <c r="C809" s="27" t="s">
        <v>4177</v>
      </c>
      <c r="D809" s="27">
        <v>2026</v>
      </c>
      <c r="E809" s="27" t="s">
        <v>48</v>
      </c>
      <c r="F809" s="27" t="s">
        <v>11</v>
      </c>
      <c r="G809" s="27"/>
      <c r="H809" s="27"/>
      <c r="I809" s="28" t="str">
        <f t="shared" si="24"/>
        <v/>
      </c>
      <c r="J809" s="27"/>
      <c r="K809" s="28" t="str">
        <f t="shared" si="25"/>
        <v/>
      </c>
      <c r="L809" s="27"/>
      <c r="M809" s="27"/>
      <c r="N809" s="27"/>
      <c r="O809" s="27"/>
      <c r="P809" s="27" t="s">
        <v>4178</v>
      </c>
      <c r="Q809" s="27" t="s">
        <v>4179</v>
      </c>
    </row>
    <row r="810" spans="1:17" ht="15" customHeight="1" x14ac:dyDescent="0.3">
      <c r="A810" s="27" t="s">
        <v>4180</v>
      </c>
      <c r="B810" s="27" t="s">
        <v>4181</v>
      </c>
      <c r="C810" s="27" t="s">
        <v>4182</v>
      </c>
      <c r="D810" s="27">
        <v>2021</v>
      </c>
      <c r="E810" s="27" t="s">
        <v>48</v>
      </c>
      <c r="F810" s="27" t="s">
        <v>13</v>
      </c>
      <c r="G810" s="27"/>
      <c r="H810" s="27"/>
      <c r="I810" s="28" t="str">
        <f t="shared" si="24"/>
        <v/>
      </c>
      <c r="J810" s="27"/>
      <c r="K810" s="28" t="str">
        <f t="shared" si="25"/>
        <v/>
      </c>
      <c r="L810" s="27"/>
      <c r="M810" s="27"/>
      <c r="N810" s="27"/>
      <c r="O810" s="27"/>
      <c r="P810" s="27" t="s">
        <v>4183</v>
      </c>
      <c r="Q810" s="27" t="s">
        <v>4184</v>
      </c>
    </row>
    <row r="811" spans="1:17" ht="15" customHeight="1" x14ac:dyDescent="0.3">
      <c r="A811" s="27" t="s">
        <v>4185</v>
      </c>
      <c r="B811" s="27" t="s">
        <v>4186</v>
      </c>
      <c r="C811" s="27" t="s">
        <v>4187</v>
      </c>
      <c r="D811" s="27">
        <v>2025</v>
      </c>
      <c r="E811" s="27" t="s">
        <v>48</v>
      </c>
      <c r="F811" s="27" t="s">
        <v>15</v>
      </c>
      <c r="G811" s="27"/>
      <c r="H811" s="27"/>
      <c r="I811" s="28" t="str">
        <f t="shared" si="24"/>
        <v/>
      </c>
      <c r="J811" s="27"/>
      <c r="K811" s="28" t="str">
        <f t="shared" si="25"/>
        <v/>
      </c>
      <c r="L811" s="27"/>
      <c r="M811" s="27"/>
      <c r="N811" s="27"/>
      <c r="O811" s="27"/>
      <c r="P811" s="27" t="s">
        <v>4188</v>
      </c>
      <c r="Q811" s="27" t="s">
        <v>4189</v>
      </c>
    </row>
    <row r="812" spans="1:17" ht="15" customHeight="1" x14ac:dyDescent="0.3">
      <c r="A812" s="27" t="s">
        <v>4190</v>
      </c>
      <c r="B812" s="27" t="s">
        <v>4191</v>
      </c>
      <c r="C812" s="27" t="s">
        <v>4192</v>
      </c>
      <c r="D812" s="27">
        <v>2025</v>
      </c>
      <c r="E812" s="27" t="s">
        <v>48</v>
      </c>
      <c r="F812" s="27" t="s">
        <v>11</v>
      </c>
      <c r="G812" s="27"/>
      <c r="H812" s="27"/>
      <c r="I812" s="28" t="str">
        <f t="shared" si="24"/>
        <v/>
      </c>
      <c r="J812" s="27"/>
      <c r="K812" s="28" t="str">
        <f t="shared" si="25"/>
        <v/>
      </c>
      <c r="L812" s="27"/>
      <c r="M812" s="27"/>
      <c r="N812" s="27"/>
      <c r="O812" s="27"/>
      <c r="P812" s="27" t="s">
        <v>4193</v>
      </c>
      <c r="Q812" s="27" t="s">
        <v>4194</v>
      </c>
    </row>
    <row r="813" spans="1:17" ht="15" customHeight="1" x14ac:dyDescent="0.3">
      <c r="A813" s="27" t="s">
        <v>4195</v>
      </c>
      <c r="B813" s="27" t="s">
        <v>4196</v>
      </c>
      <c r="C813" s="27" t="s">
        <v>4197</v>
      </c>
      <c r="D813" s="27">
        <v>2026</v>
      </c>
      <c r="E813" s="27" t="s">
        <v>48</v>
      </c>
      <c r="F813" s="27" t="s">
        <v>13</v>
      </c>
      <c r="G813" s="27"/>
      <c r="H813" s="27"/>
      <c r="I813" s="28" t="str">
        <f t="shared" si="24"/>
        <v/>
      </c>
      <c r="J813" s="27"/>
      <c r="K813" s="28" t="str">
        <f t="shared" si="25"/>
        <v/>
      </c>
      <c r="L813" s="27"/>
      <c r="M813" s="27"/>
      <c r="N813" s="27"/>
      <c r="O813" s="27"/>
      <c r="P813" s="27" t="s">
        <v>4198</v>
      </c>
      <c r="Q813" s="27" t="s">
        <v>4199</v>
      </c>
    </row>
    <row r="814" spans="1:17" ht="15" customHeight="1" x14ac:dyDescent="0.3">
      <c r="A814" s="27" t="s">
        <v>4200</v>
      </c>
      <c r="B814" s="27" t="s">
        <v>4201</v>
      </c>
      <c r="C814" s="27" t="s">
        <v>4202</v>
      </c>
      <c r="D814" s="27">
        <v>2026</v>
      </c>
      <c r="E814" s="27" t="s">
        <v>48</v>
      </c>
      <c r="F814" s="27" t="s">
        <v>15</v>
      </c>
      <c r="G814" s="27"/>
      <c r="H814" s="27"/>
      <c r="I814" s="28" t="str">
        <f t="shared" si="24"/>
        <v/>
      </c>
      <c r="J814" s="27"/>
      <c r="K814" s="28" t="str">
        <f t="shared" si="25"/>
        <v/>
      </c>
      <c r="L814" s="27"/>
      <c r="M814" s="27"/>
      <c r="N814" s="27"/>
      <c r="O814" s="27"/>
      <c r="P814" s="27" t="s">
        <v>4203</v>
      </c>
      <c r="Q814" s="27" t="s">
        <v>4204</v>
      </c>
    </row>
    <row r="815" spans="1:17" ht="15" customHeight="1" x14ac:dyDescent="0.3">
      <c r="A815" s="27" t="s">
        <v>4205</v>
      </c>
      <c r="B815" s="27" t="s">
        <v>4206</v>
      </c>
      <c r="C815" s="27" t="s">
        <v>4207</v>
      </c>
      <c r="D815" s="27">
        <v>2024</v>
      </c>
      <c r="E815" s="27" t="s">
        <v>48</v>
      </c>
      <c r="F815" s="27" t="s">
        <v>11</v>
      </c>
      <c r="G815" s="27"/>
      <c r="H815" s="27"/>
      <c r="I815" s="28" t="str">
        <f t="shared" si="24"/>
        <v/>
      </c>
      <c r="J815" s="27"/>
      <c r="K815" s="28" t="str">
        <f t="shared" si="25"/>
        <v/>
      </c>
      <c r="L815" s="27"/>
      <c r="M815" s="27"/>
      <c r="N815" s="27"/>
      <c r="O815" s="27"/>
      <c r="P815" s="27" t="s">
        <v>4208</v>
      </c>
      <c r="Q815" s="27" t="s">
        <v>4209</v>
      </c>
    </row>
    <row r="816" spans="1:17" ht="15" customHeight="1" x14ac:dyDescent="0.3">
      <c r="A816" s="27" t="s">
        <v>4210</v>
      </c>
      <c r="B816" s="27" t="s">
        <v>4211</v>
      </c>
      <c r="C816" s="27" t="s">
        <v>4212</v>
      </c>
      <c r="D816" s="27">
        <v>2025</v>
      </c>
      <c r="E816" s="27" t="s">
        <v>48</v>
      </c>
      <c r="F816" s="27" t="s">
        <v>13</v>
      </c>
      <c r="G816" s="27"/>
      <c r="H816" s="27"/>
      <c r="I816" s="28" t="str">
        <f t="shared" si="24"/>
        <v/>
      </c>
      <c r="J816" s="27"/>
      <c r="K816" s="28" t="str">
        <f t="shared" si="25"/>
        <v/>
      </c>
      <c r="L816" s="27"/>
      <c r="M816" s="27"/>
      <c r="N816" s="27"/>
      <c r="O816" s="27"/>
      <c r="P816" s="27" t="s">
        <v>4213</v>
      </c>
      <c r="Q816" s="27" t="s">
        <v>4214</v>
      </c>
    </row>
    <row r="817" spans="1:17" ht="15" customHeight="1" x14ac:dyDescent="0.3">
      <c r="A817" s="27" t="s">
        <v>4215</v>
      </c>
      <c r="B817" s="27" t="s">
        <v>4216</v>
      </c>
      <c r="C817" s="27" t="s">
        <v>4217</v>
      </c>
      <c r="D817" s="27">
        <v>2019</v>
      </c>
      <c r="E817" s="27" t="s">
        <v>48</v>
      </c>
      <c r="F817" s="27" t="s">
        <v>15</v>
      </c>
      <c r="G817" s="27"/>
      <c r="H817" s="27"/>
      <c r="I817" s="28" t="str">
        <f t="shared" si="24"/>
        <v/>
      </c>
      <c r="J817" s="27"/>
      <c r="K817" s="28" t="str">
        <f t="shared" si="25"/>
        <v/>
      </c>
      <c r="L817" s="27"/>
      <c r="M817" s="27"/>
      <c r="N817" s="27"/>
      <c r="O817" s="27"/>
      <c r="P817" s="27" t="s">
        <v>4218</v>
      </c>
      <c r="Q817" s="27" t="s">
        <v>4219</v>
      </c>
    </row>
    <row r="818" spans="1:17" ht="15" customHeight="1" x14ac:dyDescent="0.3">
      <c r="A818" s="27" t="s">
        <v>4220</v>
      </c>
      <c r="B818" s="27" t="s">
        <v>4221</v>
      </c>
      <c r="C818" s="27" t="s">
        <v>4222</v>
      </c>
      <c r="D818" s="27">
        <v>2025</v>
      </c>
      <c r="E818" s="27" t="s">
        <v>48</v>
      </c>
      <c r="F818" s="27" t="s">
        <v>11</v>
      </c>
      <c r="G818" s="27"/>
      <c r="H818" s="27"/>
      <c r="I818" s="28" t="str">
        <f t="shared" si="24"/>
        <v/>
      </c>
      <c r="J818" s="27"/>
      <c r="K818" s="28" t="str">
        <f t="shared" si="25"/>
        <v/>
      </c>
      <c r="L818" s="27"/>
      <c r="M818" s="27"/>
      <c r="N818" s="27"/>
      <c r="O818" s="27"/>
      <c r="P818" s="27" t="s">
        <v>4223</v>
      </c>
      <c r="Q818" s="27" t="s">
        <v>4224</v>
      </c>
    </row>
    <row r="819" spans="1:17" ht="15" customHeight="1" x14ac:dyDescent="0.3">
      <c r="A819" s="27" t="s">
        <v>4225</v>
      </c>
      <c r="B819" s="27" t="s">
        <v>4226</v>
      </c>
      <c r="C819" s="27" t="s">
        <v>4227</v>
      </c>
      <c r="D819" s="27">
        <v>2025</v>
      </c>
      <c r="E819" s="27" t="s">
        <v>48</v>
      </c>
      <c r="F819" s="27" t="s">
        <v>13</v>
      </c>
      <c r="G819" s="27"/>
      <c r="H819" s="27"/>
      <c r="I819" s="28" t="str">
        <f t="shared" si="24"/>
        <v/>
      </c>
      <c r="J819" s="27"/>
      <c r="K819" s="28" t="str">
        <f t="shared" si="25"/>
        <v/>
      </c>
      <c r="L819" s="27"/>
      <c r="M819" s="27"/>
      <c r="N819" s="27"/>
      <c r="O819" s="27"/>
      <c r="P819" s="27" t="s">
        <v>4228</v>
      </c>
      <c r="Q819" s="27" t="s">
        <v>4229</v>
      </c>
    </row>
    <row r="820" spans="1:17" ht="15" customHeight="1" x14ac:dyDescent="0.3">
      <c r="A820" s="27" t="s">
        <v>4230</v>
      </c>
      <c r="B820" s="27" t="s">
        <v>4231</v>
      </c>
      <c r="C820" s="27" t="s">
        <v>4232</v>
      </c>
      <c r="D820" s="27">
        <v>2025</v>
      </c>
      <c r="E820" s="27" t="s">
        <v>48</v>
      </c>
      <c r="F820" s="27" t="s">
        <v>15</v>
      </c>
      <c r="G820" s="27"/>
      <c r="H820" s="27"/>
      <c r="I820" s="28" t="str">
        <f t="shared" si="24"/>
        <v/>
      </c>
      <c r="J820" s="27"/>
      <c r="K820" s="28" t="str">
        <f t="shared" si="25"/>
        <v/>
      </c>
      <c r="L820" s="27"/>
      <c r="M820" s="27"/>
      <c r="N820" s="27"/>
      <c r="O820" s="27"/>
      <c r="P820" s="27" t="s">
        <v>4233</v>
      </c>
      <c r="Q820" s="27" t="s">
        <v>4234</v>
      </c>
    </row>
    <row r="821" spans="1:17" ht="15" customHeight="1" x14ac:dyDescent="0.3">
      <c r="A821" s="27" t="s">
        <v>4235</v>
      </c>
      <c r="B821" s="27" t="s">
        <v>4236</v>
      </c>
      <c r="C821" s="27" t="s">
        <v>4237</v>
      </c>
      <c r="D821" s="27">
        <v>2023</v>
      </c>
      <c r="E821" s="27" t="s">
        <v>48</v>
      </c>
      <c r="F821" s="27" t="s">
        <v>11</v>
      </c>
      <c r="G821" s="27"/>
      <c r="H821" s="27"/>
      <c r="I821" s="28" t="str">
        <f t="shared" si="24"/>
        <v/>
      </c>
      <c r="J821" s="27"/>
      <c r="K821" s="28" t="str">
        <f t="shared" si="25"/>
        <v/>
      </c>
      <c r="L821" s="27"/>
      <c r="M821" s="27"/>
      <c r="N821" s="27"/>
      <c r="O821" s="27"/>
      <c r="P821" s="27" t="s">
        <v>4238</v>
      </c>
      <c r="Q821" s="27" t="s">
        <v>4239</v>
      </c>
    </row>
    <row r="822" spans="1:17" ht="15" customHeight="1" x14ac:dyDescent="0.3">
      <c r="A822" s="27" t="s">
        <v>4240</v>
      </c>
      <c r="B822" s="27" t="s">
        <v>4241</v>
      </c>
      <c r="C822" s="27" t="s">
        <v>4242</v>
      </c>
      <c r="D822" s="27">
        <v>2025</v>
      </c>
      <c r="E822" s="27" t="s">
        <v>48</v>
      </c>
      <c r="F822" s="27" t="s">
        <v>13</v>
      </c>
      <c r="G822" s="27"/>
      <c r="H822" s="27"/>
      <c r="I822" s="28" t="str">
        <f t="shared" si="24"/>
        <v/>
      </c>
      <c r="J822" s="27"/>
      <c r="K822" s="28" t="str">
        <f t="shared" si="25"/>
        <v/>
      </c>
      <c r="L822" s="27"/>
      <c r="M822" s="27"/>
      <c r="N822" s="27"/>
      <c r="O822" s="27"/>
      <c r="P822" s="27" t="s">
        <v>4243</v>
      </c>
      <c r="Q822" s="27" t="s">
        <v>4244</v>
      </c>
    </row>
    <row r="823" spans="1:17" ht="15" customHeight="1" x14ac:dyDescent="0.3">
      <c r="A823" s="27" t="s">
        <v>4245</v>
      </c>
      <c r="B823" s="27" t="s">
        <v>4246</v>
      </c>
      <c r="C823" s="27" t="s">
        <v>4247</v>
      </c>
      <c r="D823" s="27">
        <v>2022</v>
      </c>
      <c r="E823" s="27" t="s">
        <v>48</v>
      </c>
      <c r="F823" s="27" t="s">
        <v>15</v>
      </c>
      <c r="G823" s="27"/>
      <c r="H823" s="27"/>
      <c r="I823" s="28" t="str">
        <f t="shared" si="24"/>
        <v/>
      </c>
      <c r="J823" s="27"/>
      <c r="K823" s="28" t="str">
        <f t="shared" si="25"/>
        <v/>
      </c>
      <c r="L823" s="27"/>
      <c r="M823" s="27"/>
      <c r="N823" s="27"/>
      <c r="O823" s="27"/>
      <c r="P823" s="27" t="s">
        <v>4248</v>
      </c>
      <c r="Q823" s="27" t="s">
        <v>4249</v>
      </c>
    </row>
    <row r="824" spans="1:17" ht="15" customHeight="1" x14ac:dyDescent="0.3">
      <c r="A824" s="27" t="s">
        <v>4250</v>
      </c>
      <c r="B824" s="27" t="s">
        <v>4251</v>
      </c>
      <c r="C824" s="27" t="s">
        <v>4252</v>
      </c>
      <c r="D824" s="27">
        <v>2020</v>
      </c>
      <c r="E824" s="27" t="s">
        <v>48</v>
      </c>
      <c r="F824" s="27" t="s">
        <v>11</v>
      </c>
      <c r="G824" s="27"/>
      <c r="H824" s="27"/>
      <c r="I824" s="28" t="str">
        <f t="shared" si="24"/>
        <v/>
      </c>
      <c r="J824" s="27"/>
      <c r="K824" s="28" t="str">
        <f t="shared" si="25"/>
        <v/>
      </c>
      <c r="L824" s="27"/>
      <c r="M824" s="27"/>
      <c r="N824" s="27"/>
      <c r="O824" s="27"/>
      <c r="P824" s="27" t="s">
        <v>4253</v>
      </c>
      <c r="Q824" s="27" t="s">
        <v>4254</v>
      </c>
    </row>
    <row r="825" spans="1:17" ht="15" customHeight="1" x14ac:dyDescent="0.3">
      <c r="A825" s="27" t="s">
        <v>4255</v>
      </c>
      <c r="B825" s="27" t="s">
        <v>4256</v>
      </c>
      <c r="C825" s="27" t="s">
        <v>4257</v>
      </c>
      <c r="D825" s="27">
        <v>2026</v>
      </c>
      <c r="E825" s="27" t="s">
        <v>48</v>
      </c>
      <c r="F825" s="27" t="s">
        <v>13</v>
      </c>
      <c r="G825" s="27"/>
      <c r="H825" s="27"/>
      <c r="I825" s="28" t="str">
        <f t="shared" si="24"/>
        <v/>
      </c>
      <c r="J825" s="27"/>
      <c r="K825" s="28" t="str">
        <f t="shared" si="25"/>
        <v/>
      </c>
      <c r="L825" s="27"/>
      <c r="M825" s="27"/>
      <c r="N825" s="27"/>
      <c r="O825" s="27"/>
      <c r="P825" s="27" t="s">
        <v>4258</v>
      </c>
      <c r="Q825" s="27" t="s">
        <v>4259</v>
      </c>
    </row>
    <row r="826" spans="1:17" ht="15" customHeight="1" x14ac:dyDescent="0.3">
      <c r="A826" s="27" t="s">
        <v>4260</v>
      </c>
      <c r="B826" s="27" t="s">
        <v>4261</v>
      </c>
      <c r="C826" s="27" t="s">
        <v>4262</v>
      </c>
      <c r="D826" s="27">
        <v>2020</v>
      </c>
      <c r="E826" s="27" t="s">
        <v>48</v>
      </c>
      <c r="F826" s="27" t="s">
        <v>15</v>
      </c>
      <c r="G826" s="27"/>
      <c r="H826" s="27"/>
      <c r="I826" s="28" t="str">
        <f t="shared" si="24"/>
        <v/>
      </c>
      <c r="J826" s="27"/>
      <c r="K826" s="28" t="str">
        <f t="shared" si="25"/>
        <v/>
      </c>
      <c r="L826" s="27"/>
      <c r="M826" s="27"/>
      <c r="N826" s="27"/>
      <c r="O826" s="27"/>
      <c r="P826" s="27" t="s">
        <v>4263</v>
      </c>
      <c r="Q826" s="27" t="s">
        <v>4264</v>
      </c>
    </row>
    <row r="827" spans="1:17" ht="15" customHeight="1" x14ac:dyDescent="0.3">
      <c r="A827" s="27" t="s">
        <v>4265</v>
      </c>
      <c r="B827" s="27" t="s">
        <v>4266</v>
      </c>
      <c r="C827" s="27" t="s">
        <v>4267</v>
      </c>
      <c r="D827" s="27">
        <v>2025</v>
      </c>
      <c r="E827" s="27" t="s">
        <v>48</v>
      </c>
      <c r="F827" s="27" t="s">
        <v>11</v>
      </c>
      <c r="G827" s="27"/>
      <c r="H827" s="27"/>
      <c r="I827" s="28" t="str">
        <f t="shared" si="24"/>
        <v/>
      </c>
      <c r="J827" s="27"/>
      <c r="K827" s="28" t="str">
        <f t="shared" si="25"/>
        <v/>
      </c>
      <c r="L827" s="27"/>
      <c r="M827" s="27"/>
      <c r="N827" s="27"/>
      <c r="O827" s="27"/>
      <c r="P827" s="27" t="s">
        <v>4268</v>
      </c>
      <c r="Q827" s="27" t="s">
        <v>4269</v>
      </c>
    </row>
    <row r="828" spans="1:17" ht="15" customHeight="1" x14ac:dyDescent="0.3">
      <c r="A828" s="27" t="s">
        <v>4270</v>
      </c>
      <c r="B828" s="27" t="s">
        <v>4271</v>
      </c>
      <c r="C828" s="27" t="s">
        <v>4272</v>
      </c>
      <c r="D828" s="27">
        <v>2023</v>
      </c>
      <c r="E828" s="27" t="s">
        <v>48</v>
      </c>
      <c r="F828" s="27" t="s">
        <v>13</v>
      </c>
      <c r="G828" s="27"/>
      <c r="H828" s="27"/>
      <c r="I828" s="28" t="str">
        <f t="shared" si="24"/>
        <v/>
      </c>
      <c r="J828" s="27"/>
      <c r="K828" s="28" t="str">
        <f t="shared" si="25"/>
        <v/>
      </c>
      <c r="L828" s="27"/>
      <c r="M828" s="27"/>
      <c r="N828" s="27"/>
      <c r="O828" s="27"/>
      <c r="P828" s="27" t="s">
        <v>4273</v>
      </c>
      <c r="Q828" s="27" t="s">
        <v>4274</v>
      </c>
    </row>
    <row r="829" spans="1:17" ht="15" customHeight="1" x14ac:dyDescent="0.3">
      <c r="A829" s="27" t="s">
        <v>4275</v>
      </c>
      <c r="B829" s="27" t="s">
        <v>4276</v>
      </c>
      <c r="C829" s="27" t="s">
        <v>4277</v>
      </c>
      <c r="D829" s="27">
        <v>2025</v>
      </c>
      <c r="E829" s="27" t="s">
        <v>48</v>
      </c>
      <c r="F829" s="27" t="s">
        <v>15</v>
      </c>
      <c r="G829" s="27"/>
      <c r="H829" s="27"/>
      <c r="I829" s="28" t="str">
        <f t="shared" si="24"/>
        <v/>
      </c>
      <c r="J829" s="27"/>
      <c r="K829" s="28" t="str">
        <f t="shared" si="25"/>
        <v/>
      </c>
      <c r="L829" s="27"/>
      <c r="M829" s="27"/>
      <c r="N829" s="27"/>
      <c r="O829" s="27"/>
      <c r="P829" s="27" t="s">
        <v>4278</v>
      </c>
      <c r="Q829" s="27" t="s">
        <v>4279</v>
      </c>
    </row>
    <row r="830" spans="1:17" ht="15" customHeight="1" x14ac:dyDescent="0.3">
      <c r="A830" s="27" t="s">
        <v>4280</v>
      </c>
      <c r="B830" s="27" t="s">
        <v>4281</v>
      </c>
      <c r="C830" s="27" t="s">
        <v>4282</v>
      </c>
      <c r="D830" s="27">
        <v>2026</v>
      </c>
      <c r="E830" s="27" t="s">
        <v>48</v>
      </c>
      <c r="F830" s="27" t="s">
        <v>11</v>
      </c>
      <c r="G830" s="27"/>
      <c r="H830" s="27"/>
      <c r="I830" s="28" t="str">
        <f t="shared" si="24"/>
        <v/>
      </c>
      <c r="J830" s="27"/>
      <c r="K830" s="28" t="str">
        <f t="shared" si="25"/>
        <v/>
      </c>
      <c r="L830" s="27"/>
      <c r="M830" s="27"/>
      <c r="N830" s="27"/>
      <c r="O830" s="27"/>
      <c r="P830" s="27" t="s">
        <v>4283</v>
      </c>
      <c r="Q830" s="27" t="s">
        <v>4284</v>
      </c>
    </row>
    <row r="831" spans="1:17" ht="15" customHeight="1" x14ac:dyDescent="0.3">
      <c r="A831" s="27" t="s">
        <v>4285</v>
      </c>
      <c r="B831" s="27" t="s">
        <v>4286</v>
      </c>
      <c r="C831" s="27" t="s">
        <v>4287</v>
      </c>
      <c r="D831" s="27">
        <v>2025</v>
      </c>
      <c r="E831" s="27" t="s">
        <v>48</v>
      </c>
      <c r="F831" s="27" t="s">
        <v>13</v>
      </c>
      <c r="G831" s="27"/>
      <c r="H831" s="27"/>
      <c r="I831" s="28" t="str">
        <f t="shared" si="24"/>
        <v/>
      </c>
      <c r="J831" s="27"/>
      <c r="K831" s="28" t="str">
        <f t="shared" si="25"/>
        <v/>
      </c>
      <c r="L831" s="27"/>
      <c r="M831" s="27"/>
      <c r="N831" s="27"/>
      <c r="O831" s="27"/>
      <c r="P831" s="27" t="s">
        <v>4288</v>
      </c>
      <c r="Q831" s="27" t="s">
        <v>4289</v>
      </c>
    </row>
    <row r="832" spans="1:17" ht="15" customHeight="1" x14ac:dyDescent="0.3">
      <c r="A832" s="27" t="s">
        <v>4290</v>
      </c>
      <c r="B832" s="27" t="s">
        <v>4291</v>
      </c>
      <c r="C832" s="27" t="s">
        <v>4292</v>
      </c>
      <c r="D832" s="27">
        <v>2018</v>
      </c>
      <c r="E832" s="27" t="s">
        <v>48</v>
      </c>
      <c r="F832" s="27" t="s">
        <v>15</v>
      </c>
      <c r="G832" s="27"/>
      <c r="H832" s="27"/>
      <c r="I832" s="28" t="str">
        <f t="shared" si="24"/>
        <v/>
      </c>
      <c r="J832" s="27"/>
      <c r="K832" s="28" t="str">
        <f t="shared" si="25"/>
        <v/>
      </c>
      <c r="L832" s="27"/>
      <c r="M832" s="27"/>
      <c r="N832" s="27"/>
      <c r="O832" s="27"/>
      <c r="P832" s="27" t="s">
        <v>4293</v>
      </c>
      <c r="Q832" s="27" t="s">
        <v>4294</v>
      </c>
    </row>
    <row r="833" spans="1:17" ht="15" customHeight="1" x14ac:dyDescent="0.3">
      <c r="A833" s="27" t="s">
        <v>4295</v>
      </c>
      <c r="B833" s="27" t="s">
        <v>4296</v>
      </c>
      <c r="C833" s="27" t="s">
        <v>4297</v>
      </c>
      <c r="D833" s="27">
        <v>2026</v>
      </c>
      <c r="E833" s="27" t="s">
        <v>48</v>
      </c>
      <c r="F833" s="27" t="s">
        <v>11</v>
      </c>
      <c r="G833" s="27"/>
      <c r="H833" s="27"/>
      <c r="I833" s="28" t="str">
        <f t="shared" si="24"/>
        <v/>
      </c>
      <c r="J833" s="27"/>
      <c r="K833" s="28" t="str">
        <f t="shared" si="25"/>
        <v/>
      </c>
      <c r="L833" s="27"/>
      <c r="M833" s="27"/>
      <c r="N833" s="27"/>
      <c r="O833" s="27"/>
      <c r="P833" s="27" t="s">
        <v>4298</v>
      </c>
      <c r="Q833" s="27" t="s">
        <v>4299</v>
      </c>
    </row>
    <row r="834" spans="1:17" ht="15" customHeight="1" x14ac:dyDescent="0.3">
      <c r="A834" s="27" t="s">
        <v>4300</v>
      </c>
      <c r="B834" s="27" t="s">
        <v>4301</v>
      </c>
      <c r="C834" s="27" t="s">
        <v>4302</v>
      </c>
      <c r="D834" s="27">
        <v>2016</v>
      </c>
      <c r="E834" s="27" t="s">
        <v>48</v>
      </c>
      <c r="F834" s="27" t="s">
        <v>13</v>
      </c>
      <c r="G834" s="27"/>
      <c r="H834" s="27"/>
      <c r="I834" s="28" t="str">
        <f t="shared" ref="I834:I897" si="26">IF(OR(G834="",H834=""),"",IF(G834=H834,"Yes","No"))</f>
        <v/>
      </c>
      <c r="J834" s="27"/>
      <c r="K834" s="28" t="str">
        <f t="shared" ref="K834:K897" si="27">IF(OR(E834="Snowballing",E834="Other sources"),"n/a",IF(AND(G834="",H834=""),"",IF(OR(G834="",H834=""),"Waiting",IF(G834=H834,G834,IF(AND(G834&lt;&gt;"Exclude",H834&lt;&gt;"Exclude"),"Maybe",IF(J834&lt;&gt;"",J834,"Pending"))))))</f>
        <v/>
      </c>
      <c r="L834" s="27"/>
      <c r="M834" s="27"/>
      <c r="N834" s="27"/>
      <c r="O834" s="27"/>
      <c r="P834" s="27" t="s">
        <v>4303</v>
      </c>
      <c r="Q834" s="27" t="s">
        <v>4304</v>
      </c>
    </row>
    <row r="835" spans="1:17" ht="15" customHeight="1" x14ac:dyDescent="0.3">
      <c r="A835" s="27" t="s">
        <v>4305</v>
      </c>
      <c r="B835" s="27" t="s">
        <v>4306</v>
      </c>
      <c r="C835" s="27" t="s">
        <v>4307</v>
      </c>
      <c r="D835" s="27">
        <v>2020</v>
      </c>
      <c r="E835" s="27" t="s">
        <v>48</v>
      </c>
      <c r="F835" s="27" t="s">
        <v>15</v>
      </c>
      <c r="G835" s="27"/>
      <c r="H835" s="27"/>
      <c r="I835" s="28" t="str">
        <f t="shared" si="26"/>
        <v/>
      </c>
      <c r="J835" s="27"/>
      <c r="K835" s="28" t="str">
        <f t="shared" si="27"/>
        <v/>
      </c>
      <c r="L835" s="27"/>
      <c r="M835" s="27"/>
      <c r="N835" s="27"/>
      <c r="O835" s="27"/>
      <c r="P835" s="27" t="s">
        <v>4308</v>
      </c>
      <c r="Q835" s="27" t="s">
        <v>4309</v>
      </c>
    </row>
    <row r="836" spans="1:17" ht="15" customHeight="1" x14ac:dyDescent="0.3">
      <c r="A836" s="27" t="s">
        <v>4310</v>
      </c>
      <c r="B836" s="27" t="s">
        <v>4311</v>
      </c>
      <c r="C836" s="27" t="s">
        <v>4312</v>
      </c>
      <c r="D836" s="27">
        <v>2025</v>
      </c>
      <c r="E836" s="27" t="s">
        <v>48</v>
      </c>
      <c r="F836" s="27" t="s">
        <v>11</v>
      </c>
      <c r="G836" s="27"/>
      <c r="H836" s="27"/>
      <c r="I836" s="28" t="str">
        <f t="shared" si="26"/>
        <v/>
      </c>
      <c r="J836" s="27"/>
      <c r="K836" s="28" t="str">
        <f t="shared" si="27"/>
        <v/>
      </c>
      <c r="L836" s="27"/>
      <c r="M836" s="27"/>
      <c r="N836" s="27"/>
      <c r="O836" s="27"/>
      <c r="P836" s="27" t="s">
        <v>4313</v>
      </c>
      <c r="Q836" s="27" t="s">
        <v>4314</v>
      </c>
    </row>
    <row r="837" spans="1:17" ht="15" customHeight="1" x14ac:dyDescent="0.3">
      <c r="A837" s="27" t="s">
        <v>4315</v>
      </c>
      <c r="B837" s="27" t="s">
        <v>4316</v>
      </c>
      <c r="C837" s="27" t="s">
        <v>4317</v>
      </c>
      <c r="D837" s="27">
        <v>2025</v>
      </c>
      <c r="E837" s="27" t="s">
        <v>48</v>
      </c>
      <c r="F837" s="27" t="s">
        <v>13</v>
      </c>
      <c r="G837" s="27"/>
      <c r="H837" s="27"/>
      <c r="I837" s="28" t="str">
        <f t="shared" si="26"/>
        <v/>
      </c>
      <c r="J837" s="27"/>
      <c r="K837" s="28" t="str">
        <f t="shared" si="27"/>
        <v/>
      </c>
      <c r="L837" s="27"/>
      <c r="M837" s="27"/>
      <c r="N837" s="27"/>
      <c r="O837" s="27"/>
      <c r="P837" s="27" t="s">
        <v>4318</v>
      </c>
      <c r="Q837" s="27" t="s">
        <v>4319</v>
      </c>
    </row>
    <row r="838" spans="1:17" ht="15" customHeight="1" x14ac:dyDescent="0.3">
      <c r="A838" s="27" t="s">
        <v>4320</v>
      </c>
      <c r="B838" s="27" t="s">
        <v>4321</v>
      </c>
      <c r="C838" s="27" t="s">
        <v>4322</v>
      </c>
      <c r="D838" s="27">
        <v>2026</v>
      </c>
      <c r="E838" s="27" t="s">
        <v>48</v>
      </c>
      <c r="F838" s="27" t="s">
        <v>15</v>
      </c>
      <c r="G838" s="27"/>
      <c r="H838" s="27"/>
      <c r="I838" s="28" t="str">
        <f t="shared" si="26"/>
        <v/>
      </c>
      <c r="J838" s="27"/>
      <c r="K838" s="28" t="str">
        <f t="shared" si="27"/>
        <v/>
      </c>
      <c r="L838" s="27"/>
      <c r="M838" s="27"/>
      <c r="N838" s="27"/>
      <c r="O838" s="27"/>
      <c r="P838" s="27" t="s">
        <v>4323</v>
      </c>
      <c r="Q838" s="27" t="s">
        <v>4324</v>
      </c>
    </row>
    <row r="839" spans="1:17" ht="15" customHeight="1" x14ac:dyDescent="0.3">
      <c r="A839" s="27" t="s">
        <v>4325</v>
      </c>
      <c r="B839" s="27" t="s">
        <v>4326</v>
      </c>
      <c r="C839" s="27" t="s">
        <v>4327</v>
      </c>
      <c r="D839" s="27">
        <v>2024</v>
      </c>
      <c r="E839" s="27" t="s">
        <v>48</v>
      </c>
      <c r="F839" s="27" t="s">
        <v>11</v>
      </c>
      <c r="G839" s="27"/>
      <c r="H839" s="27"/>
      <c r="I839" s="28" t="str">
        <f t="shared" si="26"/>
        <v/>
      </c>
      <c r="J839" s="27"/>
      <c r="K839" s="28" t="str">
        <f t="shared" si="27"/>
        <v/>
      </c>
      <c r="L839" s="27"/>
      <c r="M839" s="27"/>
      <c r="N839" s="27"/>
      <c r="O839" s="27"/>
      <c r="P839" s="27" t="s">
        <v>4328</v>
      </c>
      <c r="Q839" s="27" t="s">
        <v>4329</v>
      </c>
    </row>
    <row r="840" spans="1:17" ht="15" customHeight="1" x14ac:dyDescent="0.3">
      <c r="A840" s="27" t="s">
        <v>4330</v>
      </c>
      <c r="B840" s="27" t="s">
        <v>4331</v>
      </c>
      <c r="C840" s="27" t="s">
        <v>4332</v>
      </c>
      <c r="D840" s="27">
        <v>2022</v>
      </c>
      <c r="E840" s="27" t="s">
        <v>48</v>
      </c>
      <c r="F840" s="27" t="s">
        <v>13</v>
      </c>
      <c r="G840" s="27"/>
      <c r="H840" s="27"/>
      <c r="I840" s="28" t="str">
        <f t="shared" si="26"/>
        <v/>
      </c>
      <c r="J840" s="27"/>
      <c r="K840" s="28" t="str">
        <f t="shared" si="27"/>
        <v/>
      </c>
      <c r="L840" s="27"/>
      <c r="M840" s="27"/>
      <c r="N840" s="27"/>
      <c r="O840" s="27"/>
      <c r="P840" s="27" t="s">
        <v>4333</v>
      </c>
      <c r="Q840" s="27" t="s">
        <v>4334</v>
      </c>
    </row>
    <row r="841" spans="1:17" ht="15" customHeight="1" x14ac:dyDescent="0.3">
      <c r="A841" s="27" t="s">
        <v>4335</v>
      </c>
      <c r="B841" s="27" t="s">
        <v>4336</v>
      </c>
      <c r="C841" s="27" t="s">
        <v>4337</v>
      </c>
      <c r="D841" s="27">
        <v>2025</v>
      </c>
      <c r="E841" s="27" t="s">
        <v>48</v>
      </c>
      <c r="F841" s="27" t="s">
        <v>15</v>
      </c>
      <c r="G841" s="27"/>
      <c r="H841" s="27"/>
      <c r="I841" s="28" t="str">
        <f t="shared" si="26"/>
        <v/>
      </c>
      <c r="J841" s="27"/>
      <c r="K841" s="28" t="str">
        <f t="shared" si="27"/>
        <v/>
      </c>
      <c r="L841" s="27"/>
      <c r="M841" s="27"/>
      <c r="N841" s="27"/>
      <c r="O841" s="27"/>
      <c r="P841" s="27" t="s">
        <v>4338</v>
      </c>
      <c r="Q841" s="27" t="s">
        <v>4339</v>
      </c>
    </row>
    <row r="842" spans="1:17" ht="15" customHeight="1" x14ac:dyDescent="0.3">
      <c r="A842" s="27" t="s">
        <v>4340</v>
      </c>
      <c r="B842" s="27" t="s">
        <v>4341</v>
      </c>
      <c r="C842" s="27" t="s">
        <v>4342</v>
      </c>
      <c r="D842" s="27">
        <v>2026</v>
      </c>
      <c r="E842" s="27" t="s">
        <v>48</v>
      </c>
      <c r="F842" s="27" t="s">
        <v>11</v>
      </c>
      <c r="G842" s="27"/>
      <c r="H842" s="27"/>
      <c r="I842" s="28" t="str">
        <f t="shared" si="26"/>
        <v/>
      </c>
      <c r="J842" s="27"/>
      <c r="K842" s="28" t="str">
        <f t="shared" si="27"/>
        <v/>
      </c>
      <c r="L842" s="27"/>
      <c r="M842" s="27"/>
      <c r="N842" s="27"/>
      <c r="O842" s="27"/>
      <c r="P842" s="27" t="s">
        <v>4343</v>
      </c>
      <c r="Q842" s="27" t="s">
        <v>4344</v>
      </c>
    </row>
    <row r="843" spans="1:17" ht="15" customHeight="1" x14ac:dyDescent="0.3">
      <c r="A843" s="27" t="s">
        <v>4345</v>
      </c>
      <c r="B843" s="27" t="s">
        <v>4346</v>
      </c>
      <c r="C843" s="27" t="s">
        <v>4347</v>
      </c>
      <c r="D843" s="27">
        <v>2025</v>
      </c>
      <c r="E843" s="27" t="s">
        <v>48</v>
      </c>
      <c r="F843" s="27" t="s">
        <v>13</v>
      </c>
      <c r="G843" s="27"/>
      <c r="H843" s="27"/>
      <c r="I843" s="28" t="str">
        <f t="shared" si="26"/>
        <v/>
      </c>
      <c r="J843" s="27"/>
      <c r="K843" s="28" t="str">
        <f t="shared" si="27"/>
        <v/>
      </c>
      <c r="L843" s="27"/>
      <c r="M843" s="27"/>
      <c r="N843" s="27"/>
      <c r="O843" s="27"/>
      <c r="P843" s="27" t="s">
        <v>4348</v>
      </c>
      <c r="Q843" s="27" t="s">
        <v>4349</v>
      </c>
    </row>
    <row r="844" spans="1:17" ht="15" customHeight="1" x14ac:dyDescent="0.3">
      <c r="A844" s="27" t="s">
        <v>4350</v>
      </c>
      <c r="B844" s="27" t="s">
        <v>4351</v>
      </c>
      <c r="C844" s="27" t="s">
        <v>4352</v>
      </c>
      <c r="D844" s="27">
        <v>2026</v>
      </c>
      <c r="E844" s="27" t="s">
        <v>48</v>
      </c>
      <c r="F844" s="27" t="s">
        <v>15</v>
      </c>
      <c r="G844" s="27"/>
      <c r="H844" s="27"/>
      <c r="I844" s="28" t="str">
        <f t="shared" si="26"/>
        <v/>
      </c>
      <c r="J844" s="27"/>
      <c r="K844" s="28" t="str">
        <f t="shared" si="27"/>
        <v/>
      </c>
      <c r="L844" s="27"/>
      <c r="M844" s="27"/>
      <c r="N844" s="27"/>
      <c r="O844" s="27"/>
      <c r="P844" s="27" t="s">
        <v>4353</v>
      </c>
      <c r="Q844" s="27" t="s">
        <v>4354</v>
      </c>
    </row>
    <row r="845" spans="1:17" ht="15" customHeight="1" x14ac:dyDescent="0.3">
      <c r="A845" s="27" t="s">
        <v>4355</v>
      </c>
      <c r="B845" s="27" t="s">
        <v>4356</v>
      </c>
      <c r="C845" s="27" t="s">
        <v>4357</v>
      </c>
      <c r="D845" s="27">
        <v>2024</v>
      </c>
      <c r="E845" s="27" t="s">
        <v>48</v>
      </c>
      <c r="F845" s="27" t="s">
        <v>11</v>
      </c>
      <c r="G845" s="27"/>
      <c r="H845" s="27"/>
      <c r="I845" s="28" t="str">
        <f t="shared" si="26"/>
        <v/>
      </c>
      <c r="J845" s="27"/>
      <c r="K845" s="28" t="str">
        <f t="shared" si="27"/>
        <v/>
      </c>
      <c r="L845" s="27"/>
      <c r="M845" s="27"/>
      <c r="N845" s="27"/>
      <c r="O845" s="27"/>
      <c r="P845" s="27" t="s">
        <v>4358</v>
      </c>
      <c r="Q845" s="27" t="s">
        <v>4359</v>
      </c>
    </row>
    <row r="846" spans="1:17" ht="15" customHeight="1" x14ac:dyDescent="0.3">
      <c r="A846" s="27" t="s">
        <v>4360</v>
      </c>
      <c r="B846" s="27" t="s">
        <v>4361</v>
      </c>
      <c r="C846" s="27" t="s">
        <v>4362</v>
      </c>
      <c r="D846" s="27">
        <v>2019</v>
      </c>
      <c r="E846" s="27" t="s">
        <v>48</v>
      </c>
      <c r="F846" s="27" t="s">
        <v>13</v>
      </c>
      <c r="G846" s="27"/>
      <c r="H846" s="27"/>
      <c r="I846" s="28" t="str">
        <f t="shared" si="26"/>
        <v/>
      </c>
      <c r="J846" s="27"/>
      <c r="K846" s="28" t="str">
        <f t="shared" si="27"/>
        <v/>
      </c>
      <c r="L846" s="27"/>
      <c r="M846" s="27"/>
      <c r="N846" s="27"/>
      <c r="O846" s="27"/>
      <c r="P846" s="27" t="s">
        <v>4363</v>
      </c>
      <c r="Q846" s="27" t="s">
        <v>4364</v>
      </c>
    </row>
    <row r="847" spans="1:17" ht="15" customHeight="1" x14ac:dyDescent="0.3">
      <c r="A847" s="27" t="s">
        <v>4365</v>
      </c>
      <c r="B847" s="27" t="s">
        <v>4366</v>
      </c>
      <c r="C847" s="27" t="s">
        <v>4367</v>
      </c>
      <c r="D847" s="27">
        <v>2021</v>
      </c>
      <c r="E847" s="27" t="s">
        <v>48</v>
      </c>
      <c r="F847" s="27" t="s">
        <v>15</v>
      </c>
      <c r="G847" s="27"/>
      <c r="H847" s="27"/>
      <c r="I847" s="28" t="str">
        <f t="shared" si="26"/>
        <v/>
      </c>
      <c r="J847" s="27"/>
      <c r="K847" s="28" t="str">
        <f t="shared" si="27"/>
        <v/>
      </c>
      <c r="L847" s="27"/>
      <c r="M847" s="27"/>
      <c r="N847" s="27"/>
      <c r="O847" s="27"/>
      <c r="P847" s="27" t="s">
        <v>4368</v>
      </c>
      <c r="Q847" s="27" t="s">
        <v>4369</v>
      </c>
    </row>
    <row r="848" spans="1:17" ht="15" customHeight="1" x14ac:dyDescent="0.3">
      <c r="A848" s="27" t="s">
        <v>4370</v>
      </c>
      <c r="B848" s="27" t="s">
        <v>4371</v>
      </c>
      <c r="C848" s="27" t="s">
        <v>4372</v>
      </c>
      <c r="D848" s="27">
        <v>2017</v>
      </c>
      <c r="E848" s="27" t="s">
        <v>48</v>
      </c>
      <c r="F848" s="27" t="s">
        <v>11</v>
      </c>
      <c r="G848" s="27"/>
      <c r="H848" s="27"/>
      <c r="I848" s="28" t="str">
        <f t="shared" si="26"/>
        <v/>
      </c>
      <c r="J848" s="27"/>
      <c r="K848" s="28" t="str">
        <f t="shared" si="27"/>
        <v/>
      </c>
      <c r="L848" s="27"/>
      <c r="M848" s="27"/>
      <c r="N848" s="27"/>
      <c r="O848" s="27"/>
      <c r="P848" s="27" t="s">
        <v>4373</v>
      </c>
      <c r="Q848" s="27" t="s">
        <v>4374</v>
      </c>
    </row>
    <row r="849" spans="1:17" ht="15" customHeight="1" x14ac:dyDescent="0.3">
      <c r="A849" s="27" t="s">
        <v>4375</v>
      </c>
      <c r="B849" s="27" t="s">
        <v>4376</v>
      </c>
      <c r="C849" s="27" t="s">
        <v>4377</v>
      </c>
      <c r="D849" s="27">
        <v>2026</v>
      </c>
      <c r="E849" s="27" t="s">
        <v>48</v>
      </c>
      <c r="F849" s="27" t="s">
        <v>13</v>
      </c>
      <c r="G849" s="27"/>
      <c r="H849" s="27"/>
      <c r="I849" s="28" t="str">
        <f t="shared" si="26"/>
        <v/>
      </c>
      <c r="J849" s="27"/>
      <c r="K849" s="28" t="str">
        <f t="shared" si="27"/>
        <v/>
      </c>
      <c r="L849" s="27"/>
      <c r="M849" s="27"/>
      <c r="N849" s="27"/>
      <c r="O849" s="27"/>
      <c r="P849" s="27" t="s">
        <v>4378</v>
      </c>
      <c r="Q849" s="27" t="s">
        <v>4379</v>
      </c>
    </row>
    <row r="850" spans="1:17" ht="15" customHeight="1" x14ac:dyDescent="0.3">
      <c r="A850" s="27" t="s">
        <v>4380</v>
      </c>
      <c r="B850" s="27" t="s">
        <v>4381</v>
      </c>
      <c r="C850" s="27" t="s">
        <v>4382</v>
      </c>
      <c r="D850" s="27">
        <v>2025</v>
      </c>
      <c r="E850" s="27" t="s">
        <v>48</v>
      </c>
      <c r="F850" s="27" t="s">
        <v>15</v>
      </c>
      <c r="G850" s="27"/>
      <c r="H850" s="27"/>
      <c r="I850" s="28" t="str">
        <f t="shared" si="26"/>
        <v/>
      </c>
      <c r="J850" s="27"/>
      <c r="K850" s="28" t="str">
        <f t="shared" si="27"/>
        <v/>
      </c>
      <c r="L850" s="27"/>
      <c r="M850" s="27"/>
      <c r="N850" s="27"/>
      <c r="O850" s="27"/>
      <c r="P850" s="27" t="s">
        <v>4383</v>
      </c>
      <c r="Q850" s="27" t="s">
        <v>4384</v>
      </c>
    </row>
    <row r="851" spans="1:17" ht="15" customHeight="1" x14ac:dyDescent="0.3">
      <c r="A851" s="27" t="s">
        <v>4385</v>
      </c>
      <c r="B851" s="27" t="s">
        <v>4386</v>
      </c>
      <c r="C851" s="27" t="s">
        <v>3003</v>
      </c>
      <c r="D851" s="27">
        <v>2020</v>
      </c>
      <c r="E851" s="27" t="s">
        <v>48</v>
      </c>
      <c r="F851" s="27" t="s">
        <v>11</v>
      </c>
      <c r="G851" s="27"/>
      <c r="H851" s="27"/>
      <c r="I851" s="28" t="str">
        <f t="shared" si="26"/>
        <v/>
      </c>
      <c r="J851" s="27"/>
      <c r="K851" s="28" t="str">
        <f t="shared" si="27"/>
        <v/>
      </c>
      <c r="L851" s="27"/>
      <c r="M851" s="27"/>
      <c r="N851" s="27"/>
      <c r="O851" s="27"/>
      <c r="P851" s="27" t="s">
        <v>4387</v>
      </c>
      <c r="Q851" s="27" t="s">
        <v>4388</v>
      </c>
    </row>
    <row r="852" spans="1:17" ht="15" customHeight="1" x14ac:dyDescent="0.3">
      <c r="A852" s="27" t="s">
        <v>4389</v>
      </c>
      <c r="B852" s="27" t="s">
        <v>4390</v>
      </c>
      <c r="C852" s="27" t="s">
        <v>4391</v>
      </c>
      <c r="D852" s="27">
        <v>2024</v>
      </c>
      <c r="E852" s="27" t="s">
        <v>48</v>
      </c>
      <c r="F852" s="27" t="s">
        <v>13</v>
      </c>
      <c r="G852" s="27"/>
      <c r="H852" s="27"/>
      <c r="I852" s="28" t="str">
        <f t="shared" si="26"/>
        <v/>
      </c>
      <c r="J852" s="27"/>
      <c r="K852" s="28" t="str">
        <f t="shared" si="27"/>
        <v/>
      </c>
      <c r="L852" s="27"/>
      <c r="M852" s="27"/>
      <c r="N852" s="27"/>
      <c r="O852" s="27"/>
      <c r="P852" s="27" t="s">
        <v>4392</v>
      </c>
      <c r="Q852" s="27" t="s">
        <v>4393</v>
      </c>
    </row>
    <row r="853" spans="1:17" ht="15" customHeight="1" x14ac:dyDescent="0.3">
      <c r="A853" s="27" t="s">
        <v>4394</v>
      </c>
      <c r="B853" s="27" t="s">
        <v>4395</v>
      </c>
      <c r="C853" s="27" t="s">
        <v>4396</v>
      </c>
      <c r="D853" s="27">
        <v>2022</v>
      </c>
      <c r="E853" s="27" t="s">
        <v>48</v>
      </c>
      <c r="F853" s="27" t="s">
        <v>15</v>
      </c>
      <c r="G853" s="27"/>
      <c r="H853" s="27"/>
      <c r="I853" s="28" t="str">
        <f t="shared" si="26"/>
        <v/>
      </c>
      <c r="J853" s="27"/>
      <c r="K853" s="28" t="str">
        <f t="shared" si="27"/>
        <v/>
      </c>
      <c r="L853" s="27"/>
      <c r="M853" s="27"/>
      <c r="N853" s="27"/>
      <c r="O853" s="27"/>
      <c r="P853" s="27" t="s">
        <v>4397</v>
      </c>
      <c r="Q853" s="27" t="s">
        <v>4398</v>
      </c>
    </row>
    <row r="854" spans="1:17" ht="15" customHeight="1" x14ac:dyDescent="0.3">
      <c r="A854" s="27" t="s">
        <v>4399</v>
      </c>
      <c r="B854" s="27" t="s">
        <v>4400</v>
      </c>
      <c r="C854" s="27" t="s">
        <v>4401</v>
      </c>
      <c r="D854" s="27">
        <v>2025</v>
      </c>
      <c r="E854" s="27" t="s">
        <v>48</v>
      </c>
      <c r="F854" s="27" t="s">
        <v>11</v>
      </c>
      <c r="G854" s="27"/>
      <c r="H854" s="27"/>
      <c r="I854" s="28" t="str">
        <f t="shared" si="26"/>
        <v/>
      </c>
      <c r="J854" s="27"/>
      <c r="K854" s="28" t="str">
        <f t="shared" si="27"/>
        <v/>
      </c>
      <c r="L854" s="27"/>
      <c r="M854" s="27"/>
      <c r="N854" s="27"/>
      <c r="O854" s="27"/>
      <c r="P854" s="27" t="s">
        <v>4402</v>
      </c>
      <c r="Q854" s="27" t="s">
        <v>4403</v>
      </c>
    </row>
    <row r="855" spans="1:17" ht="15" customHeight="1" x14ac:dyDescent="0.3">
      <c r="A855" s="27" t="s">
        <v>4404</v>
      </c>
      <c r="B855" s="27" t="s">
        <v>4405</v>
      </c>
      <c r="C855" s="27" t="s">
        <v>4406</v>
      </c>
      <c r="D855" s="27">
        <v>2026</v>
      </c>
      <c r="E855" s="27" t="s">
        <v>48</v>
      </c>
      <c r="F855" s="27" t="s">
        <v>13</v>
      </c>
      <c r="G855" s="27"/>
      <c r="H855" s="27"/>
      <c r="I855" s="28" t="str">
        <f t="shared" si="26"/>
        <v/>
      </c>
      <c r="J855" s="27"/>
      <c r="K855" s="28" t="str">
        <f t="shared" si="27"/>
        <v/>
      </c>
      <c r="L855" s="27"/>
      <c r="M855" s="27"/>
      <c r="N855" s="27"/>
      <c r="O855" s="27"/>
      <c r="P855" s="27" t="s">
        <v>4407</v>
      </c>
      <c r="Q855" s="27" t="s">
        <v>4408</v>
      </c>
    </row>
    <row r="856" spans="1:17" ht="15" customHeight="1" x14ac:dyDescent="0.3">
      <c r="A856" s="27" t="s">
        <v>4409</v>
      </c>
      <c r="B856" s="27" t="s">
        <v>4410</v>
      </c>
      <c r="C856" s="27" t="s">
        <v>4411</v>
      </c>
      <c r="D856" s="27">
        <v>2026</v>
      </c>
      <c r="E856" s="27" t="s">
        <v>48</v>
      </c>
      <c r="F856" s="27" t="s">
        <v>15</v>
      </c>
      <c r="G856" s="27"/>
      <c r="H856" s="27"/>
      <c r="I856" s="28" t="str">
        <f t="shared" si="26"/>
        <v/>
      </c>
      <c r="J856" s="27"/>
      <c r="K856" s="28" t="str">
        <f t="shared" si="27"/>
        <v/>
      </c>
      <c r="L856" s="27"/>
      <c r="M856" s="27"/>
      <c r="N856" s="27"/>
      <c r="O856" s="27"/>
      <c r="P856" s="27" t="s">
        <v>4412</v>
      </c>
      <c r="Q856" s="27" t="s">
        <v>4413</v>
      </c>
    </row>
    <row r="857" spans="1:17" ht="15" customHeight="1" x14ac:dyDescent="0.3">
      <c r="A857" s="27" t="s">
        <v>4414</v>
      </c>
      <c r="B857" s="27" t="s">
        <v>4415</v>
      </c>
      <c r="C857" s="27" t="s">
        <v>4416</v>
      </c>
      <c r="D857" s="27">
        <v>2020</v>
      </c>
      <c r="E857" s="27" t="s">
        <v>48</v>
      </c>
      <c r="F857" s="27" t="s">
        <v>11</v>
      </c>
      <c r="G857" s="27"/>
      <c r="H857" s="27"/>
      <c r="I857" s="28" t="str">
        <f t="shared" si="26"/>
        <v/>
      </c>
      <c r="J857" s="27"/>
      <c r="K857" s="28" t="str">
        <f t="shared" si="27"/>
        <v/>
      </c>
      <c r="L857" s="27"/>
      <c r="M857" s="27"/>
      <c r="N857" s="27"/>
      <c r="O857" s="27"/>
      <c r="P857" s="27" t="s">
        <v>4417</v>
      </c>
      <c r="Q857" s="27" t="s">
        <v>4418</v>
      </c>
    </row>
    <row r="858" spans="1:17" ht="15" customHeight="1" x14ac:dyDescent="0.3">
      <c r="A858" s="27" t="s">
        <v>4419</v>
      </c>
      <c r="B858" s="27" t="s">
        <v>4420</v>
      </c>
      <c r="C858" s="27" t="s">
        <v>4421</v>
      </c>
      <c r="D858" s="27">
        <v>2024</v>
      </c>
      <c r="E858" s="27" t="s">
        <v>48</v>
      </c>
      <c r="F858" s="27" t="s">
        <v>13</v>
      </c>
      <c r="G858" s="27"/>
      <c r="H858" s="27"/>
      <c r="I858" s="28" t="str">
        <f t="shared" si="26"/>
        <v/>
      </c>
      <c r="J858" s="27"/>
      <c r="K858" s="28" t="str">
        <f t="shared" si="27"/>
        <v/>
      </c>
      <c r="L858" s="27"/>
      <c r="M858" s="27"/>
      <c r="N858" s="27"/>
      <c r="O858" s="27"/>
      <c r="P858" s="27" t="s">
        <v>4422</v>
      </c>
      <c r="Q858" s="27" t="s">
        <v>4423</v>
      </c>
    </row>
    <row r="859" spans="1:17" ht="15" customHeight="1" x14ac:dyDescent="0.3">
      <c r="A859" s="27" t="s">
        <v>4424</v>
      </c>
      <c r="B859" s="27" t="s">
        <v>4425</v>
      </c>
      <c r="C859" s="27" t="s">
        <v>4426</v>
      </c>
      <c r="D859" s="27">
        <v>2026</v>
      </c>
      <c r="E859" s="27" t="s">
        <v>48</v>
      </c>
      <c r="F859" s="27" t="s">
        <v>15</v>
      </c>
      <c r="G859" s="27"/>
      <c r="H859" s="27"/>
      <c r="I859" s="28" t="str">
        <f t="shared" si="26"/>
        <v/>
      </c>
      <c r="J859" s="27"/>
      <c r="K859" s="28" t="str">
        <f t="shared" si="27"/>
        <v/>
      </c>
      <c r="L859" s="27"/>
      <c r="M859" s="27"/>
      <c r="N859" s="27"/>
      <c r="O859" s="27"/>
      <c r="P859" s="27" t="s">
        <v>4427</v>
      </c>
      <c r="Q859" s="27" t="s">
        <v>4428</v>
      </c>
    </row>
    <row r="860" spans="1:17" ht="15" customHeight="1" x14ac:dyDescent="0.3">
      <c r="A860" s="27" t="s">
        <v>4429</v>
      </c>
      <c r="B860" s="27" t="s">
        <v>4430</v>
      </c>
      <c r="C860" s="27" t="s">
        <v>4431</v>
      </c>
      <c r="D860" s="27">
        <v>2025</v>
      </c>
      <c r="E860" s="27" t="s">
        <v>48</v>
      </c>
      <c r="F860" s="27" t="s">
        <v>11</v>
      </c>
      <c r="G860" s="27"/>
      <c r="H860" s="27"/>
      <c r="I860" s="28" t="str">
        <f t="shared" si="26"/>
        <v/>
      </c>
      <c r="J860" s="27"/>
      <c r="K860" s="28" t="str">
        <f t="shared" si="27"/>
        <v/>
      </c>
      <c r="L860" s="27"/>
      <c r="M860" s="27"/>
      <c r="N860" s="27"/>
      <c r="O860" s="27"/>
      <c r="P860" s="27" t="s">
        <v>4432</v>
      </c>
      <c r="Q860" s="27" t="s">
        <v>4433</v>
      </c>
    </row>
    <row r="861" spans="1:17" ht="15" customHeight="1" x14ac:dyDescent="0.3">
      <c r="A861" s="27" t="s">
        <v>4434</v>
      </c>
      <c r="B861" s="27" t="s">
        <v>4435</v>
      </c>
      <c r="C861" s="27" t="s">
        <v>4436</v>
      </c>
      <c r="D861" s="27">
        <v>2020</v>
      </c>
      <c r="E861" s="27" t="s">
        <v>48</v>
      </c>
      <c r="F861" s="27" t="s">
        <v>13</v>
      </c>
      <c r="G861" s="27"/>
      <c r="H861" s="27"/>
      <c r="I861" s="28" t="str">
        <f t="shared" si="26"/>
        <v/>
      </c>
      <c r="J861" s="27"/>
      <c r="K861" s="28" t="str">
        <f t="shared" si="27"/>
        <v/>
      </c>
      <c r="L861" s="27"/>
      <c r="M861" s="27"/>
      <c r="N861" s="27"/>
      <c r="O861" s="27"/>
      <c r="P861" s="27" t="s">
        <v>4437</v>
      </c>
      <c r="Q861" s="27" t="s">
        <v>4438</v>
      </c>
    </row>
    <row r="862" spans="1:17" ht="15" customHeight="1" x14ac:dyDescent="0.3">
      <c r="A862" s="27" t="s">
        <v>4439</v>
      </c>
      <c r="B862" s="27" t="s">
        <v>4440</v>
      </c>
      <c r="C862" s="27" t="s">
        <v>4441</v>
      </c>
      <c r="D862" s="27">
        <v>2021</v>
      </c>
      <c r="E862" s="27" t="s">
        <v>48</v>
      </c>
      <c r="F862" s="27" t="s">
        <v>15</v>
      </c>
      <c r="G862" s="27"/>
      <c r="H862" s="27"/>
      <c r="I862" s="28" t="str">
        <f t="shared" si="26"/>
        <v/>
      </c>
      <c r="J862" s="27"/>
      <c r="K862" s="28" t="str">
        <f t="shared" si="27"/>
        <v/>
      </c>
      <c r="L862" s="27"/>
      <c r="M862" s="27"/>
      <c r="N862" s="27"/>
      <c r="O862" s="27"/>
      <c r="P862" s="27" t="s">
        <v>4442</v>
      </c>
      <c r="Q862" s="27" t="s">
        <v>4443</v>
      </c>
    </row>
    <row r="863" spans="1:17" ht="15" customHeight="1" x14ac:dyDescent="0.3">
      <c r="A863" s="27" t="s">
        <v>4444</v>
      </c>
      <c r="B863" s="27" t="s">
        <v>4445</v>
      </c>
      <c r="C863" s="27" t="s">
        <v>1075</v>
      </c>
      <c r="D863" s="27">
        <v>2024</v>
      </c>
      <c r="E863" s="27" t="s">
        <v>48</v>
      </c>
      <c r="F863" s="27" t="s">
        <v>11</v>
      </c>
      <c r="G863" s="27"/>
      <c r="H863" s="27"/>
      <c r="I863" s="28" t="str">
        <f t="shared" si="26"/>
        <v/>
      </c>
      <c r="J863" s="27"/>
      <c r="K863" s="28" t="str">
        <f t="shared" si="27"/>
        <v/>
      </c>
      <c r="L863" s="27"/>
      <c r="M863" s="27"/>
      <c r="N863" s="27"/>
      <c r="O863" s="27"/>
      <c r="P863" s="27" t="s">
        <v>4446</v>
      </c>
      <c r="Q863" s="27" t="s">
        <v>4447</v>
      </c>
    </row>
    <row r="864" spans="1:17" ht="15" customHeight="1" x14ac:dyDescent="0.3">
      <c r="A864" s="27" t="s">
        <v>4448</v>
      </c>
      <c r="B864" s="27" t="s">
        <v>4449</v>
      </c>
      <c r="C864" s="27" t="s">
        <v>4450</v>
      </c>
      <c r="D864" s="27">
        <v>2024</v>
      </c>
      <c r="E864" s="27" t="s">
        <v>48</v>
      </c>
      <c r="F864" s="27" t="s">
        <v>13</v>
      </c>
      <c r="G864" s="27"/>
      <c r="H864" s="27"/>
      <c r="I864" s="28" t="str">
        <f t="shared" si="26"/>
        <v/>
      </c>
      <c r="J864" s="27"/>
      <c r="K864" s="28" t="str">
        <f t="shared" si="27"/>
        <v/>
      </c>
      <c r="L864" s="27"/>
      <c r="M864" s="27"/>
      <c r="N864" s="27"/>
      <c r="O864" s="27"/>
      <c r="P864" s="27" t="s">
        <v>4451</v>
      </c>
      <c r="Q864" s="27" t="s">
        <v>4452</v>
      </c>
    </row>
    <row r="865" spans="1:17" ht="15" customHeight="1" x14ac:dyDescent="0.3">
      <c r="A865" s="27" t="s">
        <v>4453</v>
      </c>
      <c r="B865" s="27" t="s">
        <v>4454</v>
      </c>
      <c r="C865" s="27" t="s">
        <v>2377</v>
      </c>
      <c r="D865" s="27">
        <v>2025</v>
      </c>
      <c r="E865" s="27" t="s">
        <v>48</v>
      </c>
      <c r="F865" s="27" t="s">
        <v>15</v>
      </c>
      <c r="G865" s="27"/>
      <c r="H865" s="27"/>
      <c r="I865" s="28" t="str">
        <f t="shared" si="26"/>
        <v/>
      </c>
      <c r="J865" s="27"/>
      <c r="K865" s="28" t="str">
        <f t="shared" si="27"/>
        <v/>
      </c>
      <c r="L865" s="27"/>
      <c r="M865" s="27"/>
      <c r="N865" s="27"/>
      <c r="O865" s="27"/>
      <c r="P865" s="27" t="s">
        <v>4455</v>
      </c>
      <c r="Q865" s="27" t="s">
        <v>4456</v>
      </c>
    </row>
    <row r="866" spans="1:17" ht="15" customHeight="1" x14ac:dyDescent="0.3">
      <c r="A866" s="27" t="s">
        <v>4457</v>
      </c>
      <c r="B866" s="27" t="s">
        <v>4458</v>
      </c>
      <c r="C866" s="27" t="s">
        <v>4459</v>
      </c>
      <c r="D866" s="27">
        <v>2025</v>
      </c>
      <c r="E866" s="27" t="s">
        <v>48</v>
      </c>
      <c r="F866" s="27" t="s">
        <v>11</v>
      </c>
      <c r="G866" s="27"/>
      <c r="H866" s="27"/>
      <c r="I866" s="28" t="str">
        <f t="shared" si="26"/>
        <v/>
      </c>
      <c r="J866" s="27"/>
      <c r="K866" s="28" t="str">
        <f t="shared" si="27"/>
        <v/>
      </c>
      <c r="L866" s="27"/>
      <c r="M866" s="27"/>
      <c r="N866" s="27"/>
      <c r="O866" s="27"/>
      <c r="P866" s="27" t="s">
        <v>4460</v>
      </c>
      <c r="Q866" s="27" t="s">
        <v>4461</v>
      </c>
    </row>
    <row r="867" spans="1:17" ht="15" customHeight="1" x14ac:dyDescent="0.3">
      <c r="A867" s="27" t="s">
        <v>4462</v>
      </c>
      <c r="B867" s="27" t="s">
        <v>4463</v>
      </c>
      <c r="C867" s="27" t="s">
        <v>4464</v>
      </c>
      <c r="D867" s="27">
        <v>2019</v>
      </c>
      <c r="E867" s="27" t="s">
        <v>48</v>
      </c>
      <c r="F867" s="27" t="s">
        <v>13</v>
      </c>
      <c r="G867" s="27"/>
      <c r="H867" s="27"/>
      <c r="I867" s="28" t="str">
        <f t="shared" si="26"/>
        <v/>
      </c>
      <c r="J867" s="27"/>
      <c r="K867" s="28" t="str">
        <f t="shared" si="27"/>
        <v/>
      </c>
      <c r="L867" s="27"/>
      <c r="M867" s="27"/>
      <c r="N867" s="27"/>
      <c r="O867" s="27"/>
      <c r="P867" s="27" t="s">
        <v>4465</v>
      </c>
      <c r="Q867" s="27" t="s">
        <v>4466</v>
      </c>
    </row>
    <row r="868" spans="1:17" ht="15" customHeight="1" x14ac:dyDescent="0.3">
      <c r="A868" s="27" t="s">
        <v>4467</v>
      </c>
      <c r="B868" s="27" t="s">
        <v>4468</v>
      </c>
      <c r="C868" s="27" t="s">
        <v>4469</v>
      </c>
      <c r="D868" s="27">
        <v>2016</v>
      </c>
      <c r="E868" s="27" t="s">
        <v>48</v>
      </c>
      <c r="F868" s="27" t="s">
        <v>15</v>
      </c>
      <c r="G868" s="27"/>
      <c r="H868" s="27"/>
      <c r="I868" s="28" t="str">
        <f t="shared" si="26"/>
        <v/>
      </c>
      <c r="J868" s="27"/>
      <c r="K868" s="28" t="str">
        <f t="shared" si="27"/>
        <v/>
      </c>
      <c r="L868" s="27"/>
      <c r="M868" s="27"/>
      <c r="N868" s="27"/>
      <c r="O868" s="27"/>
      <c r="P868" s="27" t="s">
        <v>4470</v>
      </c>
      <c r="Q868" s="27" t="s">
        <v>4471</v>
      </c>
    </row>
    <row r="869" spans="1:17" ht="15" customHeight="1" x14ac:dyDescent="0.3">
      <c r="A869" s="27" t="s">
        <v>4472</v>
      </c>
      <c r="B869" s="27" t="s">
        <v>4473</v>
      </c>
      <c r="C869" s="27" t="s">
        <v>4474</v>
      </c>
      <c r="D869" s="27">
        <v>2026</v>
      </c>
      <c r="E869" s="27" t="s">
        <v>48</v>
      </c>
      <c r="F869" s="27" t="s">
        <v>11</v>
      </c>
      <c r="G869" s="27"/>
      <c r="H869" s="27"/>
      <c r="I869" s="28" t="str">
        <f t="shared" si="26"/>
        <v/>
      </c>
      <c r="J869" s="27"/>
      <c r="K869" s="28" t="str">
        <f t="shared" si="27"/>
        <v/>
      </c>
      <c r="L869" s="27"/>
      <c r="M869" s="27"/>
      <c r="N869" s="27"/>
      <c r="O869" s="27"/>
      <c r="P869" s="27" t="s">
        <v>4475</v>
      </c>
      <c r="Q869" s="27" t="s">
        <v>4476</v>
      </c>
    </row>
    <row r="870" spans="1:17" ht="15" customHeight="1" x14ac:dyDescent="0.3">
      <c r="A870" s="27" t="s">
        <v>4477</v>
      </c>
      <c r="B870" s="27" t="s">
        <v>4478</v>
      </c>
      <c r="C870" s="27" t="s">
        <v>640</v>
      </c>
      <c r="D870" s="27">
        <v>2025</v>
      </c>
      <c r="E870" s="27" t="s">
        <v>48</v>
      </c>
      <c r="F870" s="27" t="s">
        <v>13</v>
      </c>
      <c r="G870" s="27"/>
      <c r="H870" s="27"/>
      <c r="I870" s="28" t="str">
        <f t="shared" si="26"/>
        <v/>
      </c>
      <c r="J870" s="27"/>
      <c r="K870" s="28" t="str">
        <f t="shared" si="27"/>
        <v/>
      </c>
      <c r="L870" s="27"/>
      <c r="M870" s="27"/>
      <c r="N870" s="27"/>
      <c r="O870" s="27"/>
      <c r="P870" s="27" t="s">
        <v>4479</v>
      </c>
      <c r="Q870" s="27" t="s">
        <v>4480</v>
      </c>
    </row>
    <row r="871" spans="1:17" ht="15" customHeight="1" x14ac:dyDescent="0.3">
      <c r="A871" s="27" t="s">
        <v>4481</v>
      </c>
      <c r="B871" s="27" t="s">
        <v>4482</v>
      </c>
      <c r="C871" s="27" t="s">
        <v>4483</v>
      </c>
      <c r="D871" s="27">
        <v>2025</v>
      </c>
      <c r="E871" s="27" t="s">
        <v>48</v>
      </c>
      <c r="F871" s="27" t="s">
        <v>15</v>
      </c>
      <c r="G871" s="27"/>
      <c r="H871" s="27"/>
      <c r="I871" s="28" t="str">
        <f t="shared" si="26"/>
        <v/>
      </c>
      <c r="J871" s="27"/>
      <c r="K871" s="28" t="str">
        <f t="shared" si="27"/>
        <v/>
      </c>
      <c r="L871" s="27"/>
      <c r="M871" s="27"/>
      <c r="N871" s="27"/>
      <c r="O871" s="27"/>
      <c r="P871" s="27" t="s">
        <v>4484</v>
      </c>
      <c r="Q871" s="27" t="s">
        <v>4485</v>
      </c>
    </row>
    <row r="872" spans="1:17" ht="15" customHeight="1" x14ac:dyDescent="0.3">
      <c r="A872" s="27" t="s">
        <v>4486</v>
      </c>
      <c r="B872" s="27" t="s">
        <v>4487</v>
      </c>
      <c r="C872" s="27" t="s">
        <v>4488</v>
      </c>
      <c r="D872" s="27">
        <v>2026</v>
      </c>
      <c r="E872" s="27" t="s">
        <v>48</v>
      </c>
      <c r="F872" s="27" t="s">
        <v>11</v>
      </c>
      <c r="G872" s="27"/>
      <c r="H872" s="27"/>
      <c r="I872" s="28" t="str">
        <f t="shared" si="26"/>
        <v/>
      </c>
      <c r="J872" s="27"/>
      <c r="K872" s="28" t="str">
        <f t="shared" si="27"/>
        <v/>
      </c>
      <c r="L872" s="27"/>
      <c r="M872" s="27"/>
      <c r="N872" s="27"/>
      <c r="O872" s="27"/>
      <c r="P872" s="27" t="s">
        <v>4489</v>
      </c>
      <c r="Q872" s="27" t="s">
        <v>4490</v>
      </c>
    </row>
    <row r="873" spans="1:17" ht="15" customHeight="1" x14ac:dyDescent="0.3">
      <c r="A873" s="27" t="s">
        <v>4491</v>
      </c>
      <c r="B873" s="27" t="s">
        <v>4492</v>
      </c>
      <c r="C873" s="27" t="s">
        <v>4493</v>
      </c>
      <c r="D873" s="27">
        <v>2024</v>
      </c>
      <c r="E873" s="27" t="s">
        <v>48</v>
      </c>
      <c r="F873" s="27" t="s">
        <v>13</v>
      </c>
      <c r="G873" s="27"/>
      <c r="H873" s="27"/>
      <c r="I873" s="28" t="str">
        <f t="shared" si="26"/>
        <v/>
      </c>
      <c r="J873" s="27"/>
      <c r="K873" s="28" t="str">
        <f t="shared" si="27"/>
        <v/>
      </c>
      <c r="L873" s="27"/>
      <c r="M873" s="27"/>
      <c r="N873" s="27"/>
      <c r="O873" s="27"/>
      <c r="P873" s="27" t="s">
        <v>4494</v>
      </c>
      <c r="Q873" s="27" t="s">
        <v>4495</v>
      </c>
    </row>
    <row r="874" spans="1:17" ht="15" customHeight="1" x14ac:dyDescent="0.3">
      <c r="A874" s="27" t="s">
        <v>4496</v>
      </c>
      <c r="B874" s="27" t="s">
        <v>4497</v>
      </c>
      <c r="C874" s="27" t="s">
        <v>4498</v>
      </c>
      <c r="D874" s="27">
        <v>2023</v>
      </c>
      <c r="E874" s="27" t="s">
        <v>48</v>
      </c>
      <c r="F874" s="27" t="s">
        <v>15</v>
      </c>
      <c r="G874" s="27"/>
      <c r="H874" s="27"/>
      <c r="I874" s="28" t="str">
        <f t="shared" si="26"/>
        <v/>
      </c>
      <c r="J874" s="27"/>
      <c r="K874" s="28" t="str">
        <f t="shared" si="27"/>
        <v/>
      </c>
      <c r="L874" s="27"/>
      <c r="M874" s="27"/>
      <c r="N874" s="27"/>
      <c r="O874" s="27"/>
      <c r="P874" s="27" t="s">
        <v>4499</v>
      </c>
      <c r="Q874" s="27" t="s">
        <v>4500</v>
      </c>
    </row>
    <row r="875" spans="1:17" ht="15" customHeight="1" x14ac:dyDescent="0.3">
      <c r="A875" s="27" t="s">
        <v>4501</v>
      </c>
      <c r="B875" s="27" t="s">
        <v>4502</v>
      </c>
      <c r="C875" s="27" t="s">
        <v>4503</v>
      </c>
      <c r="D875" s="27">
        <v>2026</v>
      </c>
      <c r="E875" s="27" t="s">
        <v>48</v>
      </c>
      <c r="F875" s="27" t="s">
        <v>11</v>
      </c>
      <c r="G875" s="27"/>
      <c r="H875" s="27"/>
      <c r="I875" s="28" t="str">
        <f t="shared" si="26"/>
        <v/>
      </c>
      <c r="J875" s="27"/>
      <c r="K875" s="28" t="str">
        <f t="shared" si="27"/>
        <v/>
      </c>
      <c r="L875" s="27"/>
      <c r="M875" s="27"/>
      <c r="N875" s="27"/>
      <c r="O875" s="27"/>
      <c r="P875" s="27" t="s">
        <v>4504</v>
      </c>
      <c r="Q875" s="27" t="s">
        <v>4505</v>
      </c>
    </row>
    <row r="876" spans="1:17" ht="15" customHeight="1" x14ac:dyDescent="0.3">
      <c r="A876" s="27" t="s">
        <v>4506</v>
      </c>
      <c r="B876" s="27" t="s">
        <v>4507</v>
      </c>
      <c r="C876" s="27" t="s">
        <v>4508</v>
      </c>
      <c r="D876" s="27">
        <v>2025</v>
      </c>
      <c r="E876" s="27" t="s">
        <v>48</v>
      </c>
      <c r="F876" s="27" t="s">
        <v>13</v>
      </c>
      <c r="G876" s="27"/>
      <c r="H876" s="27"/>
      <c r="I876" s="28" t="str">
        <f t="shared" si="26"/>
        <v/>
      </c>
      <c r="J876" s="27"/>
      <c r="K876" s="28" t="str">
        <f t="shared" si="27"/>
        <v/>
      </c>
      <c r="L876" s="27"/>
      <c r="M876" s="27"/>
      <c r="N876" s="27"/>
      <c r="O876" s="27"/>
      <c r="P876" s="27" t="s">
        <v>4509</v>
      </c>
      <c r="Q876" s="27" t="s">
        <v>4510</v>
      </c>
    </row>
    <row r="877" spans="1:17" ht="15" customHeight="1" x14ac:dyDescent="0.3">
      <c r="A877" s="27" t="s">
        <v>4511</v>
      </c>
      <c r="B877" s="27" t="s">
        <v>4512</v>
      </c>
      <c r="C877" s="27" t="s">
        <v>4513</v>
      </c>
      <c r="D877" s="27">
        <v>2020</v>
      </c>
      <c r="E877" s="27" t="s">
        <v>48</v>
      </c>
      <c r="F877" s="27" t="s">
        <v>15</v>
      </c>
      <c r="G877" s="27"/>
      <c r="H877" s="27"/>
      <c r="I877" s="28" t="str">
        <f t="shared" si="26"/>
        <v/>
      </c>
      <c r="J877" s="27"/>
      <c r="K877" s="28" t="str">
        <f t="shared" si="27"/>
        <v/>
      </c>
      <c r="L877" s="27"/>
      <c r="M877" s="27"/>
      <c r="N877" s="27"/>
      <c r="O877" s="27"/>
      <c r="P877" s="27" t="s">
        <v>4514</v>
      </c>
      <c r="Q877" s="27" t="s">
        <v>4515</v>
      </c>
    </row>
    <row r="878" spans="1:17" ht="15" customHeight="1" x14ac:dyDescent="0.3">
      <c r="A878" s="27" t="s">
        <v>4516</v>
      </c>
      <c r="B878" s="27" t="s">
        <v>4517</v>
      </c>
      <c r="C878" s="27" t="s">
        <v>4518</v>
      </c>
      <c r="D878" s="27">
        <v>2026</v>
      </c>
      <c r="E878" s="27" t="s">
        <v>48</v>
      </c>
      <c r="F878" s="27" t="s">
        <v>11</v>
      </c>
      <c r="G878" s="27"/>
      <c r="H878" s="27"/>
      <c r="I878" s="28" t="str">
        <f t="shared" si="26"/>
        <v/>
      </c>
      <c r="J878" s="27"/>
      <c r="K878" s="28" t="str">
        <f t="shared" si="27"/>
        <v/>
      </c>
      <c r="L878" s="27"/>
      <c r="M878" s="27"/>
      <c r="N878" s="27"/>
      <c r="O878" s="27"/>
      <c r="P878" s="27" t="s">
        <v>4519</v>
      </c>
      <c r="Q878" s="27" t="s">
        <v>4520</v>
      </c>
    </row>
    <row r="879" spans="1:17" ht="15" customHeight="1" x14ac:dyDescent="0.3">
      <c r="A879" s="27" t="s">
        <v>4521</v>
      </c>
      <c r="B879" s="27" t="s">
        <v>4522</v>
      </c>
      <c r="C879" s="27" t="s">
        <v>4523</v>
      </c>
      <c r="D879" s="27">
        <v>2025</v>
      </c>
      <c r="E879" s="27" t="s">
        <v>48</v>
      </c>
      <c r="F879" s="27" t="s">
        <v>13</v>
      </c>
      <c r="G879" s="27"/>
      <c r="H879" s="27"/>
      <c r="I879" s="28" t="str">
        <f t="shared" si="26"/>
        <v/>
      </c>
      <c r="J879" s="27"/>
      <c r="K879" s="28" t="str">
        <f t="shared" si="27"/>
        <v/>
      </c>
      <c r="L879" s="27"/>
      <c r="M879" s="27"/>
      <c r="N879" s="27"/>
      <c r="O879" s="27"/>
      <c r="P879" s="27" t="s">
        <v>4524</v>
      </c>
      <c r="Q879" s="27" t="s">
        <v>4525</v>
      </c>
    </row>
    <row r="880" spans="1:17" ht="15" customHeight="1" x14ac:dyDescent="0.3">
      <c r="A880" s="27" t="s">
        <v>4526</v>
      </c>
      <c r="B880" s="27" t="s">
        <v>4527</v>
      </c>
      <c r="C880" s="27" t="s">
        <v>4528</v>
      </c>
      <c r="D880" s="27">
        <v>2018</v>
      </c>
      <c r="E880" s="27" t="s">
        <v>48</v>
      </c>
      <c r="F880" s="27" t="s">
        <v>15</v>
      </c>
      <c r="G880" s="27"/>
      <c r="H880" s="27"/>
      <c r="I880" s="28" t="str">
        <f t="shared" si="26"/>
        <v/>
      </c>
      <c r="J880" s="27"/>
      <c r="K880" s="28" t="str">
        <f t="shared" si="27"/>
        <v/>
      </c>
      <c r="L880" s="27"/>
      <c r="M880" s="27"/>
      <c r="N880" s="27"/>
      <c r="O880" s="27"/>
      <c r="P880" s="27" t="s">
        <v>4529</v>
      </c>
      <c r="Q880" s="27" t="s">
        <v>4530</v>
      </c>
    </row>
    <row r="881" spans="1:17" ht="15" customHeight="1" x14ac:dyDescent="0.3">
      <c r="A881" s="27" t="s">
        <v>4531</v>
      </c>
      <c r="B881" s="27" t="s">
        <v>4532</v>
      </c>
      <c r="C881" s="27" t="s">
        <v>4533</v>
      </c>
      <c r="D881" s="27">
        <v>2025</v>
      </c>
      <c r="E881" s="27" t="s">
        <v>48</v>
      </c>
      <c r="F881" s="27" t="s">
        <v>11</v>
      </c>
      <c r="G881" s="27"/>
      <c r="H881" s="27"/>
      <c r="I881" s="28" t="str">
        <f t="shared" si="26"/>
        <v/>
      </c>
      <c r="J881" s="27"/>
      <c r="K881" s="28" t="str">
        <f t="shared" si="27"/>
        <v/>
      </c>
      <c r="L881" s="27"/>
      <c r="M881" s="27"/>
      <c r="N881" s="27"/>
      <c r="O881" s="27"/>
      <c r="P881" s="27" t="s">
        <v>4534</v>
      </c>
      <c r="Q881" s="27" t="s">
        <v>4535</v>
      </c>
    </row>
    <row r="882" spans="1:17" ht="15" customHeight="1" x14ac:dyDescent="0.3">
      <c r="A882" s="27" t="s">
        <v>4536</v>
      </c>
      <c r="B882" s="27" t="s">
        <v>4537</v>
      </c>
      <c r="C882" s="27" t="s">
        <v>4538</v>
      </c>
      <c r="D882" s="27">
        <v>2023</v>
      </c>
      <c r="E882" s="27" t="s">
        <v>48</v>
      </c>
      <c r="F882" s="27" t="s">
        <v>13</v>
      </c>
      <c r="G882" s="27"/>
      <c r="H882" s="27"/>
      <c r="I882" s="28" t="str">
        <f t="shared" si="26"/>
        <v/>
      </c>
      <c r="J882" s="27"/>
      <c r="K882" s="28" t="str">
        <f t="shared" si="27"/>
        <v/>
      </c>
      <c r="L882" s="27"/>
      <c r="M882" s="27"/>
      <c r="N882" s="27"/>
      <c r="O882" s="27"/>
      <c r="P882" s="27" t="s">
        <v>4539</v>
      </c>
      <c r="Q882" s="27" t="s">
        <v>4540</v>
      </c>
    </row>
    <row r="883" spans="1:17" ht="15" customHeight="1" x14ac:dyDescent="0.3">
      <c r="A883" s="27" t="s">
        <v>4541</v>
      </c>
      <c r="B883" s="27" t="s">
        <v>4542</v>
      </c>
      <c r="C883" s="27" t="s">
        <v>719</v>
      </c>
      <c r="D883" s="27">
        <v>2021</v>
      </c>
      <c r="E883" s="27" t="s">
        <v>48</v>
      </c>
      <c r="F883" s="27" t="s">
        <v>15</v>
      </c>
      <c r="G883" s="27"/>
      <c r="H883" s="27"/>
      <c r="I883" s="28" t="str">
        <f t="shared" si="26"/>
        <v/>
      </c>
      <c r="J883" s="27"/>
      <c r="K883" s="28" t="str">
        <f t="shared" si="27"/>
        <v/>
      </c>
      <c r="L883" s="27"/>
      <c r="M883" s="27"/>
      <c r="N883" s="27"/>
      <c r="O883" s="27"/>
      <c r="P883" s="27" t="s">
        <v>4543</v>
      </c>
      <c r="Q883" s="27" t="s">
        <v>4544</v>
      </c>
    </row>
    <row r="884" spans="1:17" ht="15" customHeight="1" x14ac:dyDescent="0.3">
      <c r="A884" s="27" t="s">
        <v>4545</v>
      </c>
      <c r="B884" s="27" t="s">
        <v>4546</v>
      </c>
      <c r="C884" s="27" t="s">
        <v>4547</v>
      </c>
      <c r="D884" s="27">
        <v>2025</v>
      </c>
      <c r="E884" s="27" t="s">
        <v>48</v>
      </c>
      <c r="F884" s="27" t="s">
        <v>11</v>
      </c>
      <c r="G884" s="27"/>
      <c r="H884" s="27"/>
      <c r="I884" s="28" t="str">
        <f t="shared" si="26"/>
        <v/>
      </c>
      <c r="J884" s="27"/>
      <c r="K884" s="28" t="str">
        <f t="shared" si="27"/>
        <v/>
      </c>
      <c r="L884" s="27"/>
      <c r="M884" s="27"/>
      <c r="N884" s="27"/>
      <c r="O884" s="27"/>
      <c r="P884" s="27" t="s">
        <v>4548</v>
      </c>
      <c r="Q884" s="27" t="s">
        <v>4549</v>
      </c>
    </row>
    <row r="885" spans="1:17" ht="15" customHeight="1" x14ac:dyDescent="0.3">
      <c r="A885" s="27" t="s">
        <v>4550</v>
      </c>
      <c r="B885" s="27" t="s">
        <v>4551</v>
      </c>
      <c r="C885" s="27" t="s">
        <v>4552</v>
      </c>
      <c r="D885" s="27">
        <v>2025</v>
      </c>
      <c r="E885" s="27" t="s">
        <v>48</v>
      </c>
      <c r="F885" s="27" t="s">
        <v>13</v>
      </c>
      <c r="G885" s="27"/>
      <c r="H885" s="27"/>
      <c r="I885" s="28" t="str">
        <f t="shared" si="26"/>
        <v/>
      </c>
      <c r="J885" s="27"/>
      <c r="K885" s="28" t="str">
        <f t="shared" si="27"/>
        <v/>
      </c>
      <c r="L885" s="27"/>
      <c r="M885" s="27"/>
      <c r="N885" s="27"/>
      <c r="O885" s="27"/>
      <c r="P885" s="27" t="s">
        <v>4553</v>
      </c>
      <c r="Q885" s="27" t="s">
        <v>4554</v>
      </c>
    </row>
    <row r="886" spans="1:17" ht="15" customHeight="1" x14ac:dyDescent="0.3">
      <c r="A886" s="27" t="s">
        <v>4555</v>
      </c>
      <c r="B886" s="27" t="s">
        <v>4556</v>
      </c>
      <c r="C886" s="27" t="s">
        <v>4557</v>
      </c>
      <c r="D886" s="27">
        <v>2019</v>
      </c>
      <c r="E886" s="27" t="s">
        <v>48</v>
      </c>
      <c r="F886" s="27" t="s">
        <v>15</v>
      </c>
      <c r="G886" s="27"/>
      <c r="H886" s="27"/>
      <c r="I886" s="28" t="str">
        <f t="shared" si="26"/>
        <v/>
      </c>
      <c r="J886" s="27"/>
      <c r="K886" s="28" t="str">
        <f t="shared" si="27"/>
        <v/>
      </c>
      <c r="L886" s="27"/>
      <c r="M886" s="27"/>
      <c r="N886" s="27"/>
      <c r="O886" s="27"/>
      <c r="P886" s="27" t="s">
        <v>4558</v>
      </c>
      <c r="Q886" s="27" t="s">
        <v>4559</v>
      </c>
    </row>
    <row r="887" spans="1:17" ht="15" customHeight="1" x14ac:dyDescent="0.3">
      <c r="A887" s="27" t="s">
        <v>4560</v>
      </c>
      <c r="B887" s="27" t="s">
        <v>4561</v>
      </c>
      <c r="C887" s="27" t="s">
        <v>4562</v>
      </c>
      <c r="D887" s="27">
        <v>2025</v>
      </c>
      <c r="E887" s="27" t="s">
        <v>48</v>
      </c>
      <c r="F887" s="27" t="s">
        <v>11</v>
      </c>
      <c r="G887" s="27"/>
      <c r="H887" s="27"/>
      <c r="I887" s="28" t="str">
        <f t="shared" si="26"/>
        <v/>
      </c>
      <c r="J887" s="27"/>
      <c r="K887" s="28" t="str">
        <f t="shared" si="27"/>
        <v/>
      </c>
      <c r="L887" s="27"/>
      <c r="M887" s="27"/>
      <c r="N887" s="27"/>
      <c r="O887" s="27"/>
      <c r="P887" s="27" t="s">
        <v>4563</v>
      </c>
      <c r="Q887" s="27" t="s">
        <v>4564</v>
      </c>
    </row>
    <row r="888" spans="1:17" ht="15" customHeight="1" x14ac:dyDescent="0.3">
      <c r="A888" s="27" t="s">
        <v>4565</v>
      </c>
      <c r="B888" s="27" t="s">
        <v>4566</v>
      </c>
      <c r="C888" s="27" t="s">
        <v>4567</v>
      </c>
      <c r="D888" s="27">
        <v>2021</v>
      </c>
      <c r="E888" s="27" t="s">
        <v>48</v>
      </c>
      <c r="F888" s="27" t="s">
        <v>13</v>
      </c>
      <c r="G888" s="27"/>
      <c r="H888" s="27"/>
      <c r="I888" s="28" t="str">
        <f t="shared" si="26"/>
        <v/>
      </c>
      <c r="J888" s="27"/>
      <c r="K888" s="28" t="str">
        <f t="shared" si="27"/>
        <v/>
      </c>
      <c r="L888" s="27"/>
      <c r="M888" s="27"/>
      <c r="N888" s="27"/>
      <c r="O888" s="27"/>
      <c r="P888" s="27" t="s">
        <v>4568</v>
      </c>
      <c r="Q888" s="27" t="s">
        <v>4569</v>
      </c>
    </row>
    <row r="889" spans="1:17" ht="15" customHeight="1" x14ac:dyDescent="0.3">
      <c r="A889" s="27" t="s">
        <v>4570</v>
      </c>
      <c r="B889" s="27" t="s">
        <v>4571</v>
      </c>
      <c r="C889" s="27" t="s">
        <v>4572</v>
      </c>
      <c r="D889" s="27">
        <v>2024</v>
      </c>
      <c r="E889" s="27" t="s">
        <v>48</v>
      </c>
      <c r="F889" s="27" t="s">
        <v>15</v>
      </c>
      <c r="G889" s="27"/>
      <c r="H889" s="27"/>
      <c r="I889" s="28" t="str">
        <f t="shared" si="26"/>
        <v/>
      </c>
      <c r="J889" s="27"/>
      <c r="K889" s="28" t="str">
        <f t="shared" si="27"/>
        <v/>
      </c>
      <c r="L889" s="27"/>
      <c r="M889" s="27"/>
      <c r="N889" s="27"/>
      <c r="O889" s="27"/>
      <c r="P889" s="27" t="s">
        <v>4573</v>
      </c>
      <c r="Q889" s="27" t="s">
        <v>4574</v>
      </c>
    </row>
    <row r="890" spans="1:17" ht="15" customHeight="1" x14ac:dyDescent="0.3">
      <c r="A890" s="27" t="s">
        <v>4575</v>
      </c>
      <c r="B890" s="27" t="s">
        <v>4576</v>
      </c>
      <c r="C890" s="27" t="s">
        <v>4577</v>
      </c>
      <c r="D890" s="27">
        <v>2025</v>
      </c>
      <c r="E890" s="27" t="s">
        <v>48</v>
      </c>
      <c r="F890" s="27" t="s">
        <v>11</v>
      </c>
      <c r="G890" s="27"/>
      <c r="H890" s="27"/>
      <c r="I890" s="28" t="str">
        <f t="shared" si="26"/>
        <v/>
      </c>
      <c r="J890" s="27"/>
      <c r="K890" s="28" t="str">
        <f t="shared" si="27"/>
        <v/>
      </c>
      <c r="L890" s="27"/>
      <c r="M890" s="27"/>
      <c r="N890" s="27"/>
      <c r="O890" s="27"/>
      <c r="P890" s="27" t="s">
        <v>4578</v>
      </c>
      <c r="Q890" s="27" t="s">
        <v>4579</v>
      </c>
    </row>
    <row r="891" spans="1:17" ht="15" customHeight="1" x14ac:dyDescent="0.3">
      <c r="A891" s="27" t="s">
        <v>4580</v>
      </c>
      <c r="B891" s="27" t="s">
        <v>4581</v>
      </c>
      <c r="C891" s="27" t="s">
        <v>4582</v>
      </c>
      <c r="D891" s="27">
        <v>2026</v>
      </c>
      <c r="E891" s="27" t="s">
        <v>48</v>
      </c>
      <c r="F891" s="27" t="s">
        <v>13</v>
      </c>
      <c r="G891" s="27"/>
      <c r="H891" s="27"/>
      <c r="I891" s="28" t="str">
        <f t="shared" si="26"/>
        <v/>
      </c>
      <c r="J891" s="27"/>
      <c r="K891" s="28" t="str">
        <f t="shared" si="27"/>
        <v/>
      </c>
      <c r="L891" s="27"/>
      <c r="M891" s="27"/>
      <c r="N891" s="27"/>
      <c r="O891" s="27"/>
      <c r="P891" s="27" t="s">
        <v>4583</v>
      </c>
      <c r="Q891" s="27" t="s">
        <v>4584</v>
      </c>
    </row>
    <row r="892" spans="1:17" ht="15" customHeight="1" x14ac:dyDescent="0.3">
      <c r="A892" s="27" t="s">
        <v>4585</v>
      </c>
      <c r="B892" s="27" t="s">
        <v>4586</v>
      </c>
      <c r="C892" s="27" t="s">
        <v>4587</v>
      </c>
      <c r="D892" s="27">
        <v>2024</v>
      </c>
      <c r="E892" s="27" t="s">
        <v>48</v>
      </c>
      <c r="F892" s="27" t="s">
        <v>15</v>
      </c>
      <c r="G892" s="27"/>
      <c r="H892" s="27"/>
      <c r="I892" s="28" t="str">
        <f t="shared" si="26"/>
        <v/>
      </c>
      <c r="J892" s="27"/>
      <c r="K892" s="28" t="str">
        <f t="shared" si="27"/>
        <v/>
      </c>
      <c r="L892" s="27"/>
      <c r="M892" s="27"/>
      <c r="N892" s="27"/>
      <c r="O892" s="27"/>
      <c r="P892" s="27" t="s">
        <v>4588</v>
      </c>
      <c r="Q892" s="27" t="s">
        <v>4589</v>
      </c>
    </row>
    <row r="893" spans="1:17" ht="15" customHeight="1" x14ac:dyDescent="0.3">
      <c r="A893" s="27" t="s">
        <v>4590</v>
      </c>
      <c r="B893" s="27" t="s">
        <v>4591</v>
      </c>
      <c r="C893" s="27" t="s">
        <v>4592</v>
      </c>
      <c r="D893" s="27">
        <v>2019</v>
      </c>
      <c r="E893" s="27" t="s">
        <v>48</v>
      </c>
      <c r="F893" s="27" t="s">
        <v>11</v>
      </c>
      <c r="G893" s="27"/>
      <c r="H893" s="27"/>
      <c r="I893" s="28" t="str">
        <f t="shared" si="26"/>
        <v/>
      </c>
      <c r="J893" s="27"/>
      <c r="K893" s="28" t="str">
        <f t="shared" si="27"/>
        <v/>
      </c>
      <c r="L893" s="27"/>
      <c r="M893" s="27"/>
      <c r="N893" s="27"/>
      <c r="O893" s="27"/>
      <c r="P893" s="27" t="s">
        <v>4593</v>
      </c>
      <c r="Q893" s="27" t="s">
        <v>4594</v>
      </c>
    </row>
    <row r="894" spans="1:17" ht="15" customHeight="1" x14ac:dyDescent="0.3">
      <c r="A894" s="27" t="s">
        <v>4595</v>
      </c>
      <c r="B894" s="27" t="s">
        <v>4596</v>
      </c>
      <c r="C894" s="27" t="s">
        <v>4597</v>
      </c>
      <c r="D894" s="27">
        <v>2026</v>
      </c>
      <c r="E894" s="27" t="s">
        <v>48</v>
      </c>
      <c r="F894" s="27" t="s">
        <v>13</v>
      </c>
      <c r="G894" s="27"/>
      <c r="H894" s="27"/>
      <c r="I894" s="28" t="str">
        <f t="shared" si="26"/>
        <v/>
      </c>
      <c r="J894" s="27"/>
      <c r="K894" s="28" t="str">
        <f t="shared" si="27"/>
        <v/>
      </c>
      <c r="L894" s="27"/>
      <c r="M894" s="27"/>
      <c r="N894" s="27"/>
      <c r="O894" s="27"/>
      <c r="P894" s="27" t="s">
        <v>4598</v>
      </c>
      <c r="Q894" s="27" t="s">
        <v>4599</v>
      </c>
    </row>
    <row r="895" spans="1:17" ht="15" customHeight="1" x14ac:dyDescent="0.3">
      <c r="A895" s="27" t="s">
        <v>4600</v>
      </c>
      <c r="B895" s="27" t="s">
        <v>4601</v>
      </c>
      <c r="C895" s="27" t="s">
        <v>4602</v>
      </c>
      <c r="D895" s="27">
        <v>2024</v>
      </c>
      <c r="E895" s="27" t="s">
        <v>48</v>
      </c>
      <c r="F895" s="27" t="s">
        <v>15</v>
      </c>
      <c r="G895" s="27"/>
      <c r="H895" s="27"/>
      <c r="I895" s="28" t="str">
        <f t="shared" si="26"/>
        <v/>
      </c>
      <c r="J895" s="27"/>
      <c r="K895" s="28" t="str">
        <f t="shared" si="27"/>
        <v/>
      </c>
      <c r="L895" s="27"/>
      <c r="M895" s="27"/>
      <c r="N895" s="27"/>
      <c r="O895" s="27"/>
      <c r="P895" s="27" t="s">
        <v>4603</v>
      </c>
      <c r="Q895" s="27" t="s">
        <v>4604</v>
      </c>
    </row>
    <row r="896" spans="1:17" ht="15" customHeight="1" x14ac:dyDescent="0.3">
      <c r="A896" s="27" t="s">
        <v>4605</v>
      </c>
      <c r="B896" s="27" t="s">
        <v>4606</v>
      </c>
      <c r="C896" s="27" t="s">
        <v>4607</v>
      </c>
      <c r="D896" s="27">
        <v>2024</v>
      </c>
      <c r="E896" s="27" t="s">
        <v>48</v>
      </c>
      <c r="F896" s="27" t="s">
        <v>11</v>
      </c>
      <c r="G896" s="27"/>
      <c r="H896" s="27"/>
      <c r="I896" s="28" t="str">
        <f t="shared" si="26"/>
        <v/>
      </c>
      <c r="J896" s="27"/>
      <c r="K896" s="28" t="str">
        <f t="shared" si="27"/>
        <v/>
      </c>
      <c r="L896" s="27"/>
      <c r="M896" s="27"/>
      <c r="N896" s="27"/>
      <c r="O896" s="27"/>
      <c r="P896" s="27" t="s">
        <v>4608</v>
      </c>
      <c r="Q896" s="27" t="s">
        <v>4609</v>
      </c>
    </row>
    <row r="897" spans="1:17" ht="15" customHeight="1" x14ac:dyDescent="0.3">
      <c r="A897" s="27" t="s">
        <v>4610</v>
      </c>
      <c r="B897" s="27" t="s">
        <v>4611</v>
      </c>
      <c r="C897" s="27" t="s">
        <v>4612</v>
      </c>
      <c r="D897" s="27">
        <v>2026</v>
      </c>
      <c r="E897" s="27" t="s">
        <v>48</v>
      </c>
      <c r="F897" s="27" t="s">
        <v>13</v>
      </c>
      <c r="G897" s="27"/>
      <c r="H897" s="27"/>
      <c r="I897" s="28" t="str">
        <f t="shared" si="26"/>
        <v/>
      </c>
      <c r="J897" s="27"/>
      <c r="K897" s="28" t="str">
        <f t="shared" si="27"/>
        <v/>
      </c>
      <c r="L897" s="27"/>
      <c r="M897" s="27"/>
      <c r="N897" s="27"/>
      <c r="O897" s="27"/>
      <c r="P897" s="27" t="s">
        <v>4613</v>
      </c>
      <c r="Q897" s="27" t="s">
        <v>4614</v>
      </c>
    </row>
    <row r="898" spans="1:17" ht="15" customHeight="1" x14ac:dyDescent="0.3">
      <c r="A898" s="27" t="s">
        <v>4615</v>
      </c>
      <c r="B898" s="27" t="s">
        <v>4616</v>
      </c>
      <c r="C898" s="27" t="s">
        <v>4617</v>
      </c>
      <c r="D898" s="27">
        <v>2022</v>
      </c>
      <c r="E898" s="27" t="s">
        <v>48</v>
      </c>
      <c r="F898" s="27" t="s">
        <v>15</v>
      </c>
      <c r="G898" s="27"/>
      <c r="H898" s="27"/>
      <c r="I898" s="28" t="str">
        <f t="shared" ref="I898:I961" si="28">IF(OR(G898="",H898=""),"",IF(G898=H898,"Yes","No"))</f>
        <v/>
      </c>
      <c r="J898" s="27"/>
      <c r="K898" s="28" t="str">
        <f t="shared" ref="K898:K961" si="29">IF(OR(E898="Snowballing",E898="Other sources"),"n/a",IF(AND(G898="",H898=""),"",IF(OR(G898="",H898=""),"Waiting",IF(G898=H898,G898,IF(AND(G898&lt;&gt;"Exclude",H898&lt;&gt;"Exclude"),"Maybe",IF(J898&lt;&gt;"",J898,"Pending"))))))</f>
        <v/>
      </c>
      <c r="L898" s="27"/>
      <c r="M898" s="27"/>
      <c r="N898" s="27"/>
      <c r="O898" s="27"/>
      <c r="P898" s="27" t="s">
        <v>4618</v>
      </c>
      <c r="Q898" s="27" t="s">
        <v>4619</v>
      </c>
    </row>
    <row r="899" spans="1:17" ht="15" customHeight="1" x14ac:dyDescent="0.3">
      <c r="A899" s="27" t="s">
        <v>4620</v>
      </c>
      <c r="B899" s="27" t="s">
        <v>4621</v>
      </c>
      <c r="C899" s="27" t="s">
        <v>4622</v>
      </c>
      <c r="D899" s="27">
        <v>2019</v>
      </c>
      <c r="E899" s="27" t="s">
        <v>48</v>
      </c>
      <c r="F899" s="27" t="s">
        <v>11</v>
      </c>
      <c r="G899" s="27"/>
      <c r="H899" s="27"/>
      <c r="I899" s="28" t="str">
        <f t="shared" si="28"/>
        <v/>
      </c>
      <c r="J899" s="27"/>
      <c r="K899" s="28" t="str">
        <f t="shared" si="29"/>
        <v/>
      </c>
      <c r="L899" s="27"/>
      <c r="M899" s="27"/>
      <c r="N899" s="27"/>
      <c r="O899" s="27"/>
      <c r="P899" s="27" t="s">
        <v>4623</v>
      </c>
      <c r="Q899" s="27" t="s">
        <v>4624</v>
      </c>
    </row>
    <row r="900" spans="1:17" ht="15" customHeight="1" x14ac:dyDescent="0.3">
      <c r="A900" s="27" t="s">
        <v>4625</v>
      </c>
      <c r="B900" s="27" t="s">
        <v>4626</v>
      </c>
      <c r="C900" s="27" t="s">
        <v>4627</v>
      </c>
      <c r="D900" s="27">
        <v>2024</v>
      </c>
      <c r="E900" s="27" t="s">
        <v>48</v>
      </c>
      <c r="F900" s="27" t="s">
        <v>13</v>
      </c>
      <c r="G900" s="27"/>
      <c r="H900" s="27"/>
      <c r="I900" s="28" t="str">
        <f t="shared" si="28"/>
        <v/>
      </c>
      <c r="J900" s="27"/>
      <c r="K900" s="28" t="str">
        <f t="shared" si="29"/>
        <v/>
      </c>
      <c r="L900" s="27"/>
      <c r="M900" s="27"/>
      <c r="N900" s="27"/>
      <c r="O900" s="27"/>
      <c r="P900" s="27" t="s">
        <v>4628</v>
      </c>
      <c r="Q900" s="27" t="s">
        <v>4629</v>
      </c>
    </row>
    <row r="901" spans="1:17" ht="15" customHeight="1" x14ac:dyDescent="0.3">
      <c r="A901" s="27" t="s">
        <v>4630</v>
      </c>
      <c r="B901" s="27" t="s">
        <v>4631</v>
      </c>
      <c r="C901" s="27" t="s">
        <v>4632</v>
      </c>
      <c r="D901" s="27">
        <v>2022</v>
      </c>
      <c r="E901" s="27" t="s">
        <v>48</v>
      </c>
      <c r="F901" s="27" t="s">
        <v>15</v>
      </c>
      <c r="G901" s="27"/>
      <c r="H901" s="27"/>
      <c r="I901" s="28" t="str">
        <f t="shared" si="28"/>
        <v/>
      </c>
      <c r="J901" s="27"/>
      <c r="K901" s="28" t="str">
        <f t="shared" si="29"/>
        <v/>
      </c>
      <c r="L901" s="27"/>
      <c r="M901" s="27"/>
      <c r="N901" s="27"/>
      <c r="O901" s="27"/>
      <c r="P901" s="27" t="s">
        <v>4633</v>
      </c>
      <c r="Q901" s="27" t="s">
        <v>4634</v>
      </c>
    </row>
    <row r="902" spans="1:17" ht="15" customHeight="1" x14ac:dyDescent="0.3">
      <c r="A902" s="27" t="s">
        <v>4635</v>
      </c>
      <c r="B902" s="27" t="s">
        <v>4636</v>
      </c>
      <c r="C902" s="27" t="s">
        <v>4637</v>
      </c>
      <c r="D902" s="27">
        <v>2025</v>
      </c>
      <c r="E902" s="27" t="s">
        <v>48</v>
      </c>
      <c r="F902" s="27" t="s">
        <v>11</v>
      </c>
      <c r="G902" s="27"/>
      <c r="H902" s="27"/>
      <c r="I902" s="28" t="str">
        <f t="shared" si="28"/>
        <v/>
      </c>
      <c r="J902" s="27"/>
      <c r="K902" s="28" t="str">
        <f t="shared" si="29"/>
        <v/>
      </c>
      <c r="L902" s="27"/>
      <c r="M902" s="27"/>
      <c r="N902" s="27"/>
      <c r="O902" s="27"/>
      <c r="P902" s="27" t="s">
        <v>4638</v>
      </c>
      <c r="Q902" s="27" t="s">
        <v>4639</v>
      </c>
    </row>
    <row r="903" spans="1:17" ht="15" customHeight="1" x14ac:dyDescent="0.3">
      <c r="A903" s="27" t="s">
        <v>4640</v>
      </c>
      <c r="B903" s="27" t="s">
        <v>4641</v>
      </c>
      <c r="C903" s="27" t="s">
        <v>4642</v>
      </c>
      <c r="D903" s="27">
        <v>2025</v>
      </c>
      <c r="E903" s="27" t="s">
        <v>48</v>
      </c>
      <c r="F903" s="27" t="s">
        <v>13</v>
      </c>
      <c r="G903" s="27"/>
      <c r="H903" s="27"/>
      <c r="I903" s="28" t="str">
        <f t="shared" si="28"/>
        <v/>
      </c>
      <c r="J903" s="27"/>
      <c r="K903" s="28" t="str">
        <f t="shared" si="29"/>
        <v/>
      </c>
      <c r="L903" s="27"/>
      <c r="M903" s="27"/>
      <c r="N903" s="27"/>
      <c r="O903" s="27"/>
      <c r="P903" s="27" t="s">
        <v>4643</v>
      </c>
      <c r="Q903" s="27" t="s">
        <v>4644</v>
      </c>
    </row>
    <row r="904" spans="1:17" ht="15" customHeight="1" x14ac:dyDescent="0.3">
      <c r="A904" s="27" t="s">
        <v>4645</v>
      </c>
      <c r="B904" s="27" t="s">
        <v>4646</v>
      </c>
      <c r="C904" s="27" t="s">
        <v>4647</v>
      </c>
      <c r="D904" s="27">
        <v>2024</v>
      </c>
      <c r="E904" s="27" t="s">
        <v>48</v>
      </c>
      <c r="F904" s="27" t="s">
        <v>15</v>
      </c>
      <c r="G904" s="27"/>
      <c r="H904" s="27"/>
      <c r="I904" s="28" t="str">
        <f t="shared" si="28"/>
        <v/>
      </c>
      <c r="J904" s="27"/>
      <c r="K904" s="28" t="str">
        <f t="shared" si="29"/>
        <v/>
      </c>
      <c r="L904" s="27"/>
      <c r="M904" s="27"/>
      <c r="N904" s="27"/>
      <c r="O904" s="27"/>
      <c r="P904" s="27" t="s">
        <v>4648</v>
      </c>
      <c r="Q904" s="27" t="s">
        <v>4649</v>
      </c>
    </row>
    <row r="905" spans="1:17" ht="15" customHeight="1" x14ac:dyDescent="0.3">
      <c r="A905" s="27" t="s">
        <v>4650</v>
      </c>
      <c r="B905" s="27" t="s">
        <v>4651</v>
      </c>
      <c r="C905" s="27" t="s">
        <v>4652</v>
      </c>
      <c r="D905" s="27">
        <v>2020</v>
      </c>
      <c r="E905" s="27" t="s">
        <v>48</v>
      </c>
      <c r="F905" s="27" t="s">
        <v>11</v>
      </c>
      <c r="G905" s="27"/>
      <c r="H905" s="27"/>
      <c r="I905" s="28" t="str">
        <f t="shared" si="28"/>
        <v/>
      </c>
      <c r="J905" s="27"/>
      <c r="K905" s="28" t="str">
        <f t="shared" si="29"/>
        <v/>
      </c>
      <c r="L905" s="27"/>
      <c r="M905" s="27"/>
      <c r="N905" s="27"/>
      <c r="O905" s="27"/>
      <c r="P905" s="27" t="s">
        <v>4653</v>
      </c>
      <c r="Q905" s="27" t="s">
        <v>4654</v>
      </c>
    </row>
    <row r="906" spans="1:17" ht="15" customHeight="1" x14ac:dyDescent="0.3">
      <c r="A906" s="27" t="s">
        <v>4655</v>
      </c>
      <c r="B906" s="27" t="s">
        <v>4656</v>
      </c>
      <c r="C906" s="27" t="s">
        <v>4657</v>
      </c>
      <c r="D906" s="27">
        <v>2025</v>
      </c>
      <c r="E906" s="27" t="s">
        <v>48</v>
      </c>
      <c r="F906" s="27" t="s">
        <v>13</v>
      </c>
      <c r="G906" s="27"/>
      <c r="H906" s="27"/>
      <c r="I906" s="28" t="str">
        <f t="shared" si="28"/>
        <v/>
      </c>
      <c r="J906" s="27"/>
      <c r="K906" s="28" t="str">
        <f t="shared" si="29"/>
        <v/>
      </c>
      <c r="L906" s="27"/>
      <c r="M906" s="27"/>
      <c r="N906" s="27"/>
      <c r="O906" s="27"/>
      <c r="P906" s="27" t="s">
        <v>4658</v>
      </c>
      <c r="Q906" s="27" t="s">
        <v>4659</v>
      </c>
    </row>
    <row r="907" spans="1:17" ht="15" customHeight="1" x14ac:dyDescent="0.3">
      <c r="A907" s="27" t="s">
        <v>4660</v>
      </c>
      <c r="B907" s="27" t="s">
        <v>4661</v>
      </c>
      <c r="C907" s="27" t="s">
        <v>4662</v>
      </c>
      <c r="D907" s="27">
        <v>2023</v>
      </c>
      <c r="E907" s="27" t="s">
        <v>48</v>
      </c>
      <c r="F907" s="27" t="s">
        <v>15</v>
      </c>
      <c r="G907" s="27"/>
      <c r="H907" s="27"/>
      <c r="I907" s="28" t="str">
        <f t="shared" si="28"/>
        <v/>
      </c>
      <c r="J907" s="27"/>
      <c r="K907" s="28" t="str">
        <f t="shared" si="29"/>
        <v/>
      </c>
      <c r="L907" s="27"/>
      <c r="M907" s="27"/>
      <c r="N907" s="27"/>
      <c r="O907" s="27"/>
      <c r="P907" s="27" t="s">
        <v>4663</v>
      </c>
      <c r="Q907" s="27" t="s">
        <v>4664</v>
      </c>
    </row>
    <row r="908" spans="1:17" ht="15" customHeight="1" x14ac:dyDescent="0.3">
      <c r="A908" s="27" t="s">
        <v>4665</v>
      </c>
      <c r="B908" s="27" t="s">
        <v>4666</v>
      </c>
      <c r="C908" s="27" t="s">
        <v>4667</v>
      </c>
      <c r="D908" s="27">
        <v>2024</v>
      </c>
      <c r="E908" s="27" t="s">
        <v>48</v>
      </c>
      <c r="F908" s="27" t="s">
        <v>11</v>
      </c>
      <c r="G908" s="27"/>
      <c r="H908" s="27"/>
      <c r="I908" s="28" t="str">
        <f t="shared" si="28"/>
        <v/>
      </c>
      <c r="J908" s="27"/>
      <c r="K908" s="28" t="str">
        <f t="shared" si="29"/>
        <v/>
      </c>
      <c r="L908" s="27"/>
      <c r="M908" s="27"/>
      <c r="N908" s="27"/>
      <c r="O908" s="27"/>
      <c r="P908" s="27" t="s">
        <v>4668</v>
      </c>
      <c r="Q908" s="27" t="s">
        <v>4669</v>
      </c>
    </row>
    <row r="909" spans="1:17" ht="15" customHeight="1" x14ac:dyDescent="0.3">
      <c r="A909" s="27" t="s">
        <v>4670</v>
      </c>
      <c r="B909" s="27" t="s">
        <v>4671</v>
      </c>
      <c r="C909" s="27" t="s">
        <v>4672</v>
      </c>
      <c r="D909" s="27">
        <v>2017</v>
      </c>
      <c r="E909" s="27" t="s">
        <v>48</v>
      </c>
      <c r="F909" s="27" t="s">
        <v>13</v>
      </c>
      <c r="G909" s="27"/>
      <c r="H909" s="27"/>
      <c r="I909" s="28" t="str">
        <f t="shared" si="28"/>
        <v/>
      </c>
      <c r="J909" s="27"/>
      <c r="K909" s="28" t="str">
        <f t="shared" si="29"/>
        <v/>
      </c>
      <c r="L909" s="27"/>
      <c r="M909" s="27"/>
      <c r="N909" s="27"/>
      <c r="O909" s="27"/>
      <c r="P909" s="27" t="s">
        <v>4673</v>
      </c>
      <c r="Q909" s="27" t="s">
        <v>4674</v>
      </c>
    </row>
    <row r="910" spans="1:17" ht="15" customHeight="1" x14ac:dyDescent="0.3">
      <c r="A910" s="27" t="s">
        <v>4675</v>
      </c>
      <c r="B910" s="27" t="s">
        <v>4676</v>
      </c>
      <c r="C910" s="27" t="s">
        <v>4677</v>
      </c>
      <c r="D910" s="27">
        <v>2026</v>
      </c>
      <c r="E910" s="27" t="s">
        <v>48</v>
      </c>
      <c r="F910" s="27" t="s">
        <v>15</v>
      </c>
      <c r="G910" s="27"/>
      <c r="H910" s="27"/>
      <c r="I910" s="28" t="str">
        <f t="shared" si="28"/>
        <v/>
      </c>
      <c r="J910" s="27"/>
      <c r="K910" s="28" t="str">
        <f t="shared" si="29"/>
        <v/>
      </c>
      <c r="L910" s="27"/>
      <c r="M910" s="27"/>
      <c r="N910" s="27"/>
      <c r="O910" s="27"/>
      <c r="P910" s="27" t="s">
        <v>4678</v>
      </c>
      <c r="Q910" s="27" t="s">
        <v>4679</v>
      </c>
    </row>
    <row r="911" spans="1:17" ht="15" customHeight="1" x14ac:dyDescent="0.3">
      <c r="A911" s="27" t="s">
        <v>4680</v>
      </c>
      <c r="B911" s="27" t="s">
        <v>4681</v>
      </c>
      <c r="C911" s="27" t="s">
        <v>4682</v>
      </c>
      <c r="D911" s="27">
        <v>2025</v>
      </c>
      <c r="E911" s="27" t="s">
        <v>48</v>
      </c>
      <c r="F911" s="27" t="s">
        <v>11</v>
      </c>
      <c r="G911" s="27"/>
      <c r="H911" s="27"/>
      <c r="I911" s="28" t="str">
        <f t="shared" si="28"/>
        <v/>
      </c>
      <c r="J911" s="27"/>
      <c r="K911" s="28" t="str">
        <f t="shared" si="29"/>
        <v/>
      </c>
      <c r="L911" s="27"/>
      <c r="M911" s="27"/>
      <c r="N911" s="27"/>
      <c r="O911" s="27"/>
      <c r="P911" s="27" t="s">
        <v>4683</v>
      </c>
      <c r="Q911" s="27" t="s">
        <v>4684</v>
      </c>
    </row>
    <row r="912" spans="1:17" ht="15" customHeight="1" x14ac:dyDescent="0.3">
      <c r="A912" s="27" t="s">
        <v>4685</v>
      </c>
      <c r="B912" s="27" t="s">
        <v>4686</v>
      </c>
      <c r="C912" s="27" t="s">
        <v>4687</v>
      </c>
      <c r="D912" s="27">
        <v>2021</v>
      </c>
      <c r="E912" s="27" t="s">
        <v>48</v>
      </c>
      <c r="F912" s="27" t="s">
        <v>13</v>
      </c>
      <c r="G912" s="27"/>
      <c r="H912" s="27"/>
      <c r="I912" s="28" t="str">
        <f t="shared" si="28"/>
        <v/>
      </c>
      <c r="J912" s="27"/>
      <c r="K912" s="28" t="str">
        <f t="shared" si="29"/>
        <v/>
      </c>
      <c r="L912" s="27"/>
      <c r="M912" s="27"/>
      <c r="N912" s="27"/>
      <c r="O912" s="27"/>
      <c r="P912" s="27" t="s">
        <v>4688</v>
      </c>
      <c r="Q912" s="27" t="s">
        <v>4689</v>
      </c>
    </row>
    <row r="913" spans="1:17" ht="15" customHeight="1" x14ac:dyDescent="0.3">
      <c r="A913" s="27" t="s">
        <v>4690</v>
      </c>
      <c r="B913" s="27" t="s">
        <v>4691</v>
      </c>
      <c r="C913" s="27" t="s">
        <v>4692</v>
      </c>
      <c r="D913" s="27">
        <v>2026</v>
      </c>
      <c r="E913" s="27" t="s">
        <v>48</v>
      </c>
      <c r="F913" s="27" t="s">
        <v>15</v>
      </c>
      <c r="G913" s="27"/>
      <c r="H913" s="27"/>
      <c r="I913" s="28" t="str">
        <f t="shared" si="28"/>
        <v/>
      </c>
      <c r="J913" s="27"/>
      <c r="K913" s="28" t="str">
        <f t="shared" si="29"/>
        <v/>
      </c>
      <c r="L913" s="27"/>
      <c r="M913" s="27"/>
      <c r="N913" s="27"/>
      <c r="O913" s="27"/>
      <c r="P913" s="27" t="s">
        <v>4693</v>
      </c>
      <c r="Q913" s="27" t="s">
        <v>4694</v>
      </c>
    </row>
    <row r="914" spans="1:17" ht="15" customHeight="1" x14ac:dyDescent="0.3">
      <c r="A914" s="27" t="s">
        <v>4695</v>
      </c>
      <c r="B914" s="27" t="s">
        <v>4696</v>
      </c>
      <c r="C914" s="27" t="s">
        <v>4697</v>
      </c>
      <c r="D914" s="27">
        <v>2018</v>
      </c>
      <c r="E914" s="27" t="s">
        <v>48</v>
      </c>
      <c r="F914" s="27" t="s">
        <v>11</v>
      </c>
      <c r="G914" s="27"/>
      <c r="H914" s="27"/>
      <c r="I914" s="28" t="str">
        <f t="shared" si="28"/>
        <v/>
      </c>
      <c r="J914" s="27"/>
      <c r="K914" s="28" t="str">
        <f t="shared" si="29"/>
        <v/>
      </c>
      <c r="L914" s="27"/>
      <c r="M914" s="27"/>
      <c r="N914" s="27"/>
      <c r="O914" s="27"/>
      <c r="P914" s="27" t="s">
        <v>4698</v>
      </c>
      <c r="Q914" s="27" t="s">
        <v>4699</v>
      </c>
    </row>
    <row r="915" spans="1:17" ht="15" customHeight="1" x14ac:dyDescent="0.3">
      <c r="A915" s="27" t="s">
        <v>4700</v>
      </c>
      <c r="B915" s="27" t="s">
        <v>4701</v>
      </c>
      <c r="C915" s="27" t="s">
        <v>4702</v>
      </c>
      <c r="D915" s="27">
        <v>2026</v>
      </c>
      <c r="E915" s="27" t="s">
        <v>48</v>
      </c>
      <c r="F915" s="27" t="s">
        <v>13</v>
      </c>
      <c r="G915" s="27"/>
      <c r="H915" s="27"/>
      <c r="I915" s="28" t="str">
        <f t="shared" si="28"/>
        <v/>
      </c>
      <c r="J915" s="27"/>
      <c r="K915" s="28" t="str">
        <f t="shared" si="29"/>
        <v/>
      </c>
      <c r="L915" s="27"/>
      <c r="M915" s="27"/>
      <c r="N915" s="27"/>
      <c r="O915" s="27"/>
      <c r="P915" s="27" t="s">
        <v>4703</v>
      </c>
      <c r="Q915" s="27" t="s">
        <v>4704</v>
      </c>
    </row>
    <row r="916" spans="1:17" ht="15" customHeight="1" x14ac:dyDescent="0.3">
      <c r="A916" s="27" t="s">
        <v>4705</v>
      </c>
      <c r="B916" s="27" t="s">
        <v>4706</v>
      </c>
      <c r="C916" s="27" t="s">
        <v>4707</v>
      </c>
      <c r="D916" s="27">
        <v>2026</v>
      </c>
      <c r="E916" s="27" t="s">
        <v>48</v>
      </c>
      <c r="F916" s="27" t="s">
        <v>15</v>
      </c>
      <c r="G916" s="27"/>
      <c r="H916" s="27"/>
      <c r="I916" s="28" t="str">
        <f t="shared" si="28"/>
        <v/>
      </c>
      <c r="J916" s="27"/>
      <c r="K916" s="28" t="str">
        <f t="shared" si="29"/>
        <v/>
      </c>
      <c r="L916" s="27"/>
      <c r="M916" s="27"/>
      <c r="N916" s="27"/>
      <c r="O916" s="27"/>
      <c r="P916" s="27" t="s">
        <v>4708</v>
      </c>
      <c r="Q916" s="27" t="s">
        <v>4709</v>
      </c>
    </row>
    <row r="917" spans="1:17" ht="15" customHeight="1" x14ac:dyDescent="0.3">
      <c r="A917" s="27" t="s">
        <v>4710</v>
      </c>
      <c r="B917" s="27" t="s">
        <v>4711</v>
      </c>
      <c r="C917" s="27" t="s">
        <v>3965</v>
      </c>
      <c r="D917" s="27">
        <v>2024</v>
      </c>
      <c r="E917" s="27" t="s">
        <v>48</v>
      </c>
      <c r="F917" s="27" t="s">
        <v>11</v>
      </c>
      <c r="G917" s="27"/>
      <c r="H917" s="27"/>
      <c r="I917" s="28" t="str">
        <f t="shared" si="28"/>
        <v/>
      </c>
      <c r="J917" s="27"/>
      <c r="K917" s="28" t="str">
        <f t="shared" si="29"/>
        <v/>
      </c>
      <c r="L917" s="27"/>
      <c r="M917" s="27"/>
      <c r="N917" s="27"/>
      <c r="O917" s="27"/>
      <c r="P917" s="27" t="s">
        <v>4712</v>
      </c>
      <c r="Q917" s="27" t="s">
        <v>4713</v>
      </c>
    </row>
    <row r="918" spans="1:17" ht="15" customHeight="1" x14ac:dyDescent="0.3">
      <c r="A918" s="27" t="s">
        <v>4714</v>
      </c>
      <c r="B918" s="27" t="s">
        <v>4715</v>
      </c>
      <c r="C918" s="27" t="s">
        <v>4716</v>
      </c>
      <c r="D918" s="27">
        <v>2026</v>
      </c>
      <c r="E918" s="27" t="s">
        <v>142</v>
      </c>
      <c r="F918" s="27" t="s">
        <v>13</v>
      </c>
      <c r="G918" s="27"/>
      <c r="H918" s="27"/>
      <c r="I918" s="28" t="str">
        <f t="shared" si="28"/>
        <v/>
      </c>
      <c r="J918" s="27"/>
      <c r="K918" s="28" t="str">
        <f t="shared" si="29"/>
        <v/>
      </c>
      <c r="L918" s="27"/>
      <c r="M918" s="27"/>
      <c r="N918" s="27"/>
      <c r="O918" s="27"/>
      <c r="P918" s="27" t="s">
        <v>4717</v>
      </c>
      <c r="Q918" s="27" t="s">
        <v>4718</v>
      </c>
    </row>
    <row r="919" spans="1:17" ht="15" customHeight="1" x14ac:dyDescent="0.3">
      <c r="A919" s="27" t="s">
        <v>4719</v>
      </c>
      <c r="B919" s="27" t="s">
        <v>4720</v>
      </c>
      <c r="C919" s="27" t="s">
        <v>4721</v>
      </c>
      <c r="D919" s="27">
        <v>2023</v>
      </c>
      <c r="E919" s="27" t="s">
        <v>48</v>
      </c>
      <c r="F919" s="27" t="s">
        <v>15</v>
      </c>
      <c r="G919" s="27"/>
      <c r="H919" s="27"/>
      <c r="I919" s="28" t="str">
        <f t="shared" si="28"/>
        <v/>
      </c>
      <c r="J919" s="27"/>
      <c r="K919" s="28" t="str">
        <f t="shared" si="29"/>
        <v/>
      </c>
      <c r="L919" s="27"/>
      <c r="M919" s="27"/>
      <c r="N919" s="27"/>
      <c r="O919" s="27"/>
      <c r="P919" s="27" t="s">
        <v>4722</v>
      </c>
      <c r="Q919" s="27" t="s">
        <v>4723</v>
      </c>
    </row>
    <row r="920" spans="1:17" ht="15" customHeight="1" x14ac:dyDescent="0.3">
      <c r="A920" s="27" t="s">
        <v>4724</v>
      </c>
      <c r="B920" s="27" t="s">
        <v>4725</v>
      </c>
      <c r="C920" s="27" t="s">
        <v>4726</v>
      </c>
      <c r="D920" s="27">
        <v>2025</v>
      </c>
      <c r="E920" s="27" t="s">
        <v>48</v>
      </c>
      <c r="F920" s="27" t="s">
        <v>11</v>
      </c>
      <c r="G920" s="27"/>
      <c r="H920" s="27"/>
      <c r="I920" s="28" t="str">
        <f t="shared" si="28"/>
        <v/>
      </c>
      <c r="J920" s="27"/>
      <c r="K920" s="28" t="str">
        <f t="shared" si="29"/>
        <v/>
      </c>
      <c r="L920" s="27"/>
      <c r="M920" s="27"/>
      <c r="N920" s="27"/>
      <c r="O920" s="27"/>
      <c r="P920" s="27" t="s">
        <v>4727</v>
      </c>
      <c r="Q920" s="27" t="s">
        <v>4728</v>
      </c>
    </row>
    <row r="921" spans="1:17" ht="15" customHeight="1" x14ac:dyDescent="0.3">
      <c r="A921" s="27" t="s">
        <v>4729</v>
      </c>
      <c r="B921" s="27" t="s">
        <v>4730</v>
      </c>
      <c r="C921" s="27" t="s">
        <v>4731</v>
      </c>
      <c r="D921" s="27">
        <v>2024</v>
      </c>
      <c r="E921" s="27" t="s">
        <v>48</v>
      </c>
      <c r="F921" s="27" t="s">
        <v>13</v>
      </c>
      <c r="G921" s="27"/>
      <c r="H921" s="27"/>
      <c r="I921" s="28" t="str">
        <f t="shared" si="28"/>
        <v/>
      </c>
      <c r="J921" s="27"/>
      <c r="K921" s="28" t="str">
        <f t="shared" si="29"/>
        <v/>
      </c>
      <c r="L921" s="27"/>
      <c r="M921" s="27"/>
      <c r="N921" s="27"/>
      <c r="O921" s="27"/>
      <c r="P921" s="27" t="s">
        <v>4732</v>
      </c>
      <c r="Q921" s="27" t="s">
        <v>4733</v>
      </c>
    </row>
    <row r="922" spans="1:17" ht="15" customHeight="1" x14ac:dyDescent="0.3">
      <c r="A922" s="27" t="s">
        <v>4734</v>
      </c>
      <c r="B922" s="27" t="s">
        <v>4735</v>
      </c>
      <c r="C922" s="27" t="s">
        <v>4736</v>
      </c>
      <c r="D922" s="27">
        <v>2025</v>
      </c>
      <c r="E922" s="27" t="s">
        <v>48</v>
      </c>
      <c r="F922" s="27" t="s">
        <v>15</v>
      </c>
      <c r="G922" s="27"/>
      <c r="H922" s="27"/>
      <c r="I922" s="28" t="str">
        <f t="shared" si="28"/>
        <v/>
      </c>
      <c r="J922" s="27"/>
      <c r="K922" s="28" t="str">
        <f t="shared" si="29"/>
        <v/>
      </c>
      <c r="L922" s="27"/>
      <c r="M922" s="27"/>
      <c r="N922" s="27"/>
      <c r="O922" s="27"/>
      <c r="P922" s="27" t="s">
        <v>4737</v>
      </c>
      <c r="Q922" s="27" t="s">
        <v>4738</v>
      </c>
    </row>
    <row r="923" spans="1:17" ht="15" customHeight="1" x14ac:dyDescent="0.3">
      <c r="A923" s="27" t="s">
        <v>4739</v>
      </c>
      <c r="B923" s="27" t="s">
        <v>4740</v>
      </c>
      <c r="C923" s="27" t="s">
        <v>4741</v>
      </c>
      <c r="D923" s="27">
        <v>2025</v>
      </c>
      <c r="E923" s="27" t="s">
        <v>48</v>
      </c>
      <c r="F923" s="27" t="s">
        <v>11</v>
      </c>
      <c r="G923" s="27"/>
      <c r="H923" s="27"/>
      <c r="I923" s="28" t="str">
        <f t="shared" si="28"/>
        <v/>
      </c>
      <c r="J923" s="27"/>
      <c r="K923" s="28" t="str">
        <f t="shared" si="29"/>
        <v/>
      </c>
      <c r="L923" s="27"/>
      <c r="M923" s="27"/>
      <c r="N923" s="27"/>
      <c r="O923" s="27"/>
      <c r="P923" s="27" t="s">
        <v>4742</v>
      </c>
      <c r="Q923" s="27" t="s">
        <v>4743</v>
      </c>
    </row>
    <row r="924" spans="1:17" ht="15" customHeight="1" x14ac:dyDescent="0.3">
      <c r="A924" s="27" t="s">
        <v>4744</v>
      </c>
      <c r="B924" s="27" t="s">
        <v>4745</v>
      </c>
      <c r="C924" s="27" t="s">
        <v>4746</v>
      </c>
      <c r="D924" s="27">
        <v>2022</v>
      </c>
      <c r="E924" s="27" t="s">
        <v>48</v>
      </c>
      <c r="F924" s="27" t="s">
        <v>13</v>
      </c>
      <c r="G924" s="27"/>
      <c r="H924" s="27"/>
      <c r="I924" s="28" t="str">
        <f t="shared" si="28"/>
        <v/>
      </c>
      <c r="J924" s="27"/>
      <c r="K924" s="28" t="str">
        <f t="shared" si="29"/>
        <v/>
      </c>
      <c r="L924" s="27"/>
      <c r="M924" s="27"/>
      <c r="N924" s="27"/>
      <c r="O924" s="27"/>
      <c r="P924" s="27" t="s">
        <v>238</v>
      </c>
      <c r="Q924" s="27" t="s">
        <v>4747</v>
      </c>
    </row>
    <row r="925" spans="1:17" ht="15" customHeight="1" x14ac:dyDescent="0.3">
      <c r="A925" s="27" t="s">
        <v>4748</v>
      </c>
      <c r="B925" s="27" t="s">
        <v>4749</v>
      </c>
      <c r="C925" s="27" t="s">
        <v>4750</v>
      </c>
      <c r="D925" s="27">
        <v>2025</v>
      </c>
      <c r="E925" s="27" t="s">
        <v>48</v>
      </c>
      <c r="F925" s="27" t="s">
        <v>15</v>
      </c>
      <c r="G925" s="27"/>
      <c r="H925" s="27"/>
      <c r="I925" s="28" t="str">
        <f t="shared" si="28"/>
        <v/>
      </c>
      <c r="J925" s="27"/>
      <c r="K925" s="28" t="str">
        <f t="shared" si="29"/>
        <v/>
      </c>
      <c r="L925" s="27"/>
      <c r="M925" s="27"/>
      <c r="N925" s="27"/>
      <c r="O925" s="27"/>
      <c r="P925" s="27" t="s">
        <v>4751</v>
      </c>
      <c r="Q925" s="27" t="s">
        <v>4752</v>
      </c>
    </row>
    <row r="926" spans="1:17" ht="15" customHeight="1" x14ac:dyDescent="0.3">
      <c r="A926" s="27" t="s">
        <v>4753</v>
      </c>
      <c r="B926" s="27" t="s">
        <v>4754</v>
      </c>
      <c r="C926" s="27" t="s">
        <v>4755</v>
      </c>
      <c r="D926" s="27">
        <v>2017</v>
      </c>
      <c r="E926" s="27" t="s">
        <v>48</v>
      </c>
      <c r="F926" s="27" t="s">
        <v>11</v>
      </c>
      <c r="G926" s="27"/>
      <c r="H926" s="27"/>
      <c r="I926" s="28" t="str">
        <f t="shared" si="28"/>
        <v/>
      </c>
      <c r="J926" s="27"/>
      <c r="K926" s="28" t="str">
        <f t="shared" si="29"/>
        <v/>
      </c>
      <c r="L926" s="27"/>
      <c r="M926" s="27"/>
      <c r="N926" s="27"/>
      <c r="O926" s="27"/>
      <c r="P926" s="27" t="s">
        <v>4756</v>
      </c>
      <c r="Q926" s="27" t="s">
        <v>4757</v>
      </c>
    </row>
    <row r="927" spans="1:17" ht="15" customHeight="1" x14ac:dyDescent="0.3">
      <c r="A927" s="27" t="s">
        <v>4758</v>
      </c>
      <c r="B927" s="27" t="s">
        <v>4759</v>
      </c>
      <c r="C927" s="27" t="s">
        <v>4760</v>
      </c>
      <c r="D927" s="27">
        <v>2025</v>
      </c>
      <c r="E927" s="27" t="s">
        <v>48</v>
      </c>
      <c r="F927" s="27" t="s">
        <v>13</v>
      </c>
      <c r="G927" s="27"/>
      <c r="H927" s="27"/>
      <c r="I927" s="28" t="str">
        <f t="shared" si="28"/>
        <v/>
      </c>
      <c r="J927" s="27"/>
      <c r="K927" s="28" t="str">
        <f t="shared" si="29"/>
        <v/>
      </c>
      <c r="L927" s="27"/>
      <c r="M927" s="27"/>
      <c r="N927" s="27"/>
      <c r="O927" s="27"/>
      <c r="P927" s="27" t="s">
        <v>4761</v>
      </c>
      <c r="Q927" s="27" t="s">
        <v>4762</v>
      </c>
    </row>
    <row r="928" spans="1:17" ht="15" customHeight="1" x14ac:dyDescent="0.3">
      <c r="A928" s="27" t="s">
        <v>4763</v>
      </c>
      <c r="B928" s="27" t="s">
        <v>4764</v>
      </c>
      <c r="C928" s="27" t="s">
        <v>4765</v>
      </c>
      <c r="D928" s="27">
        <v>2025</v>
      </c>
      <c r="E928" s="27" t="s">
        <v>48</v>
      </c>
      <c r="F928" s="27" t="s">
        <v>15</v>
      </c>
      <c r="G928" s="27"/>
      <c r="H928" s="27"/>
      <c r="I928" s="28" t="str">
        <f t="shared" si="28"/>
        <v/>
      </c>
      <c r="J928" s="27"/>
      <c r="K928" s="28" t="str">
        <f t="shared" si="29"/>
        <v/>
      </c>
      <c r="L928" s="27"/>
      <c r="M928" s="27"/>
      <c r="N928" s="27"/>
      <c r="O928" s="27"/>
      <c r="P928" s="27" t="s">
        <v>4766</v>
      </c>
      <c r="Q928" s="27" t="s">
        <v>4767</v>
      </c>
    </row>
    <row r="929" spans="1:17" ht="15" customHeight="1" x14ac:dyDescent="0.3">
      <c r="A929" s="27" t="s">
        <v>4768</v>
      </c>
      <c r="B929" s="27" t="s">
        <v>4769</v>
      </c>
      <c r="C929" s="27" t="s">
        <v>4770</v>
      </c>
      <c r="D929" s="27">
        <v>2022</v>
      </c>
      <c r="E929" s="27" t="s">
        <v>48</v>
      </c>
      <c r="F929" s="27" t="s">
        <v>11</v>
      </c>
      <c r="G929" s="27"/>
      <c r="H929" s="27"/>
      <c r="I929" s="28" t="str">
        <f t="shared" si="28"/>
        <v/>
      </c>
      <c r="J929" s="27"/>
      <c r="K929" s="28" t="str">
        <f t="shared" si="29"/>
        <v/>
      </c>
      <c r="L929" s="27"/>
      <c r="M929" s="27"/>
      <c r="N929" s="27"/>
      <c r="O929" s="27"/>
      <c r="P929" s="27" t="s">
        <v>4771</v>
      </c>
      <c r="Q929" s="27" t="s">
        <v>4772</v>
      </c>
    </row>
    <row r="930" spans="1:17" ht="15" customHeight="1" x14ac:dyDescent="0.3">
      <c r="A930" s="27" t="s">
        <v>4773</v>
      </c>
      <c r="B930" s="27" t="s">
        <v>4774</v>
      </c>
      <c r="C930" s="27" t="s">
        <v>4775</v>
      </c>
      <c r="D930" s="27">
        <v>2016</v>
      </c>
      <c r="E930" s="27" t="s">
        <v>48</v>
      </c>
      <c r="F930" s="27" t="s">
        <v>13</v>
      </c>
      <c r="G930" s="27"/>
      <c r="H930" s="27"/>
      <c r="I930" s="28" t="str">
        <f t="shared" si="28"/>
        <v/>
      </c>
      <c r="J930" s="27"/>
      <c r="K930" s="28" t="str">
        <f t="shared" si="29"/>
        <v/>
      </c>
      <c r="L930" s="27"/>
      <c r="M930" s="27"/>
      <c r="N930" s="27"/>
      <c r="O930" s="27"/>
      <c r="P930" s="27" t="s">
        <v>4776</v>
      </c>
      <c r="Q930" s="27" t="s">
        <v>4777</v>
      </c>
    </row>
    <row r="931" spans="1:17" ht="15" customHeight="1" x14ac:dyDescent="0.3">
      <c r="A931" s="27" t="s">
        <v>4778</v>
      </c>
      <c r="B931" s="27" t="s">
        <v>4779</v>
      </c>
      <c r="C931" s="27" t="s">
        <v>4780</v>
      </c>
      <c r="D931" s="27">
        <v>2024</v>
      </c>
      <c r="E931" s="27" t="s">
        <v>48</v>
      </c>
      <c r="F931" s="27" t="s">
        <v>15</v>
      </c>
      <c r="G931" s="27"/>
      <c r="H931" s="27"/>
      <c r="I931" s="28" t="str">
        <f t="shared" si="28"/>
        <v/>
      </c>
      <c r="J931" s="27"/>
      <c r="K931" s="28" t="str">
        <f t="shared" si="29"/>
        <v/>
      </c>
      <c r="L931" s="27"/>
      <c r="M931" s="27"/>
      <c r="N931" s="27"/>
      <c r="O931" s="27"/>
      <c r="P931" s="27" t="s">
        <v>4781</v>
      </c>
      <c r="Q931" s="27" t="s">
        <v>4782</v>
      </c>
    </row>
    <row r="932" spans="1:17" ht="15" customHeight="1" x14ac:dyDescent="0.3">
      <c r="A932" s="27" t="s">
        <v>4783</v>
      </c>
      <c r="B932" s="27" t="s">
        <v>4784</v>
      </c>
      <c r="C932" s="27" t="s">
        <v>4785</v>
      </c>
      <c r="D932" s="27">
        <v>2021</v>
      </c>
      <c r="E932" s="27" t="s">
        <v>48</v>
      </c>
      <c r="F932" s="27" t="s">
        <v>11</v>
      </c>
      <c r="G932" s="27"/>
      <c r="H932" s="27"/>
      <c r="I932" s="28" t="str">
        <f t="shared" si="28"/>
        <v/>
      </c>
      <c r="J932" s="27"/>
      <c r="K932" s="28" t="str">
        <f t="shared" si="29"/>
        <v/>
      </c>
      <c r="L932" s="27"/>
      <c r="M932" s="27"/>
      <c r="N932" s="27"/>
      <c r="O932" s="27"/>
      <c r="P932" s="27" t="s">
        <v>4786</v>
      </c>
      <c r="Q932" s="27" t="s">
        <v>4787</v>
      </c>
    </row>
    <row r="933" spans="1:17" ht="15" customHeight="1" x14ac:dyDescent="0.3">
      <c r="A933" s="27" t="s">
        <v>4788</v>
      </c>
      <c r="B933" s="27" t="s">
        <v>4789</v>
      </c>
      <c r="C933" s="27" t="s">
        <v>4790</v>
      </c>
      <c r="D933" s="27">
        <v>2024</v>
      </c>
      <c r="E933" s="27" t="s">
        <v>48</v>
      </c>
      <c r="F933" s="27" t="s">
        <v>13</v>
      </c>
      <c r="G933" s="27"/>
      <c r="H933" s="27"/>
      <c r="I933" s="28" t="str">
        <f t="shared" si="28"/>
        <v/>
      </c>
      <c r="J933" s="27"/>
      <c r="K933" s="28" t="str">
        <f t="shared" si="29"/>
        <v/>
      </c>
      <c r="L933" s="27"/>
      <c r="M933" s="27"/>
      <c r="N933" s="27"/>
      <c r="O933" s="27"/>
      <c r="P933" s="27" t="s">
        <v>4791</v>
      </c>
      <c r="Q933" s="27" t="s">
        <v>4792</v>
      </c>
    </row>
    <row r="934" spans="1:17" ht="15" customHeight="1" x14ac:dyDescent="0.3">
      <c r="A934" s="27" t="s">
        <v>4793</v>
      </c>
      <c r="B934" s="27" t="s">
        <v>4794</v>
      </c>
      <c r="C934" s="27" t="s">
        <v>4795</v>
      </c>
      <c r="D934" s="27">
        <v>2024</v>
      </c>
      <c r="E934" s="27" t="s">
        <v>48</v>
      </c>
      <c r="F934" s="27" t="s">
        <v>15</v>
      </c>
      <c r="G934" s="27"/>
      <c r="H934" s="27"/>
      <c r="I934" s="28" t="str">
        <f t="shared" si="28"/>
        <v/>
      </c>
      <c r="J934" s="27"/>
      <c r="K934" s="28" t="str">
        <f t="shared" si="29"/>
        <v/>
      </c>
      <c r="L934" s="27"/>
      <c r="M934" s="27"/>
      <c r="N934" s="27"/>
      <c r="O934" s="27"/>
      <c r="P934" s="27" t="s">
        <v>4796</v>
      </c>
      <c r="Q934" s="27" t="s">
        <v>4797</v>
      </c>
    </row>
    <row r="935" spans="1:17" ht="15" customHeight="1" x14ac:dyDescent="0.3">
      <c r="A935" s="27" t="s">
        <v>4798</v>
      </c>
      <c r="B935" s="27" t="s">
        <v>4799</v>
      </c>
      <c r="C935" s="27" t="s">
        <v>4800</v>
      </c>
      <c r="D935" s="27">
        <v>2024</v>
      </c>
      <c r="E935" s="27" t="s">
        <v>48</v>
      </c>
      <c r="F935" s="27" t="s">
        <v>11</v>
      </c>
      <c r="G935" s="27"/>
      <c r="H935" s="27"/>
      <c r="I935" s="28" t="str">
        <f t="shared" si="28"/>
        <v/>
      </c>
      <c r="J935" s="27"/>
      <c r="K935" s="28" t="str">
        <f t="shared" si="29"/>
        <v/>
      </c>
      <c r="L935" s="27"/>
      <c r="M935" s="27"/>
      <c r="N935" s="27"/>
      <c r="O935" s="27"/>
      <c r="P935" s="27" t="s">
        <v>4801</v>
      </c>
      <c r="Q935" s="27" t="s">
        <v>4802</v>
      </c>
    </row>
    <row r="936" spans="1:17" ht="15" customHeight="1" x14ac:dyDescent="0.3">
      <c r="A936" s="27" t="s">
        <v>4803</v>
      </c>
      <c r="B936" s="27" t="s">
        <v>4804</v>
      </c>
      <c r="C936" s="27" t="s">
        <v>4805</v>
      </c>
      <c r="D936" s="27">
        <v>2020</v>
      </c>
      <c r="E936" s="27" t="s">
        <v>48</v>
      </c>
      <c r="F936" s="27" t="s">
        <v>13</v>
      </c>
      <c r="G936" s="27"/>
      <c r="H936" s="27"/>
      <c r="I936" s="28" t="str">
        <f t="shared" si="28"/>
        <v/>
      </c>
      <c r="J936" s="27"/>
      <c r="K936" s="28" t="str">
        <f t="shared" si="29"/>
        <v/>
      </c>
      <c r="L936" s="27"/>
      <c r="M936" s="27"/>
      <c r="N936" s="27"/>
      <c r="O936" s="27"/>
      <c r="P936" s="27" t="s">
        <v>4806</v>
      </c>
      <c r="Q936" s="27" t="s">
        <v>4807</v>
      </c>
    </row>
    <row r="937" spans="1:17" ht="15" customHeight="1" x14ac:dyDescent="0.3">
      <c r="A937" s="27" t="s">
        <v>4808</v>
      </c>
      <c r="B937" s="27" t="s">
        <v>4809</v>
      </c>
      <c r="C937" s="27" t="s">
        <v>4810</v>
      </c>
      <c r="D937" s="27">
        <v>2023</v>
      </c>
      <c r="E937" s="27" t="s">
        <v>48</v>
      </c>
      <c r="F937" s="27" t="s">
        <v>15</v>
      </c>
      <c r="G937" s="27"/>
      <c r="H937" s="27"/>
      <c r="I937" s="28" t="str">
        <f t="shared" si="28"/>
        <v/>
      </c>
      <c r="J937" s="27"/>
      <c r="K937" s="28" t="str">
        <f t="shared" si="29"/>
        <v/>
      </c>
      <c r="L937" s="27"/>
      <c r="M937" s="27"/>
      <c r="N937" s="27"/>
      <c r="O937" s="27"/>
      <c r="P937" s="27" t="s">
        <v>4811</v>
      </c>
      <c r="Q937" s="27" t="s">
        <v>4812</v>
      </c>
    </row>
    <row r="938" spans="1:17" ht="15" customHeight="1" x14ac:dyDescent="0.3">
      <c r="A938" s="27" t="s">
        <v>4813</v>
      </c>
      <c r="B938" s="27" t="s">
        <v>4814</v>
      </c>
      <c r="C938" s="27" t="s">
        <v>4815</v>
      </c>
      <c r="D938" s="27">
        <v>2025</v>
      </c>
      <c r="E938" s="27" t="s">
        <v>48</v>
      </c>
      <c r="F938" s="27" t="s">
        <v>11</v>
      </c>
      <c r="G938" s="27"/>
      <c r="H938" s="27"/>
      <c r="I938" s="28" t="str">
        <f t="shared" si="28"/>
        <v/>
      </c>
      <c r="J938" s="27"/>
      <c r="K938" s="28" t="str">
        <f t="shared" si="29"/>
        <v/>
      </c>
      <c r="L938" s="27"/>
      <c r="M938" s="27"/>
      <c r="N938" s="27"/>
      <c r="O938" s="27"/>
      <c r="P938" s="27" t="s">
        <v>4816</v>
      </c>
      <c r="Q938" s="27" t="s">
        <v>4817</v>
      </c>
    </row>
    <row r="939" spans="1:17" ht="15" customHeight="1" x14ac:dyDescent="0.3">
      <c r="A939" s="27" t="s">
        <v>4818</v>
      </c>
      <c r="B939" s="27" t="s">
        <v>4819</v>
      </c>
      <c r="C939" s="27" t="s">
        <v>4820</v>
      </c>
      <c r="D939" s="27">
        <v>2022</v>
      </c>
      <c r="E939" s="27" t="s">
        <v>48</v>
      </c>
      <c r="F939" s="27" t="s">
        <v>13</v>
      </c>
      <c r="G939" s="27"/>
      <c r="H939" s="27"/>
      <c r="I939" s="28" t="str">
        <f t="shared" si="28"/>
        <v/>
      </c>
      <c r="J939" s="27"/>
      <c r="K939" s="28" t="str">
        <f t="shared" si="29"/>
        <v/>
      </c>
      <c r="L939" s="27"/>
      <c r="M939" s="27"/>
      <c r="N939" s="27"/>
      <c r="O939" s="27"/>
      <c r="P939" s="27" t="s">
        <v>4821</v>
      </c>
      <c r="Q939" s="27" t="s">
        <v>4822</v>
      </c>
    </row>
    <row r="940" spans="1:17" ht="15" customHeight="1" x14ac:dyDescent="0.3">
      <c r="A940" s="27" t="s">
        <v>4823</v>
      </c>
      <c r="B940" s="27" t="s">
        <v>4824</v>
      </c>
      <c r="C940" s="27" t="s">
        <v>4825</v>
      </c>
      <c r="D940" s="27">
        <v>2024</v>
      </c>
      <c r="E940" s="27" t="s">
        <v>48</v>
      </c>
      <c r="F940" s="27" t="s">
        <v>15</v>
      </c>
      <c r="G940" s="27"/>
      <c r="H940" s="27"/>
      <c r="I940" s="28" t="str">
        <f t="shared" si="28"/>
        <v/>
      </c>
      <c r="J940" s="27"/>
      <c r="K940" s="28" t="str">
        <f t="shared" si="29"/>
        <v/>
      </c>
      <c r="L940" s="27"/>
      <c r="M940" s="27"/>
      <c r="N940" s="27"/>
      <c r="O940" s="27"/>
      <c r="P940" s="27" t="s">
        <v>4826</v>
      </c>
      <c r="Q940" s="27" t="s">
        <v>4827</v>
      </c>
    </row>
    <row r="941" spans="1:17" ht="15" customHeight="1" x14ac:dyDescent="0.3">
      <c r="A941" s="27" t="s">
        <v>4828</v>
      </c>
      <c r="B941" s="27" t="s">
        <v>4829</v>
      </c>
      <c r="C941" s="27" t="s">
        <v>4830</v>
      </c>
      <c r="D941" s="27">
        <v>2024</v>
      </c>
      <c r="E941" s="27" t="s">
        <v>48</v>
      </c>
      <c r="F941" s="27" t="s">
        <v>11</v>
      </c>
      <c r="G941" s="27"/>
      <c r="H941" s="27"/>
      <c r="I941" s="28" t="str">
        <f t="shared" si="28"/>
        <v/>
      </c>
      <c r="J941" s="27"/>
      <c r="K941" s="28" t="str">
        <f t="shared" si="29"/>
        <v/>
      </c>
      <c r="L941" s="27"/>
      <c r="M941" s="27"/>
      <c r="N941" s="27"/>
      <c r="O941" s="27"/>
      <c r="P941" s="27" t="s">
        <v>4831</v>
      </c>
      <c r="Q941" s="27" t="s">
        <v>4832</v>
      </c>
    </row>
    <row r="942" spans="1:17" ht="15" customHeight="1" x14ac:dyDescent="0.3">
      <c r="A942" s="27" t="s">
        <v>4833</v>
      </c>
      <c r="B942" s="27" t="s">
        <v>4834</v>
      </c>
      <c r="C942" s="27" t="s">
        <v>4835</v>
      </c>
      <c r="D942" s="27">
        <v>2023</v>
      </c>
      <c r="E942" s="27" t="s">
        <v>48</v>
      </c>
      <c r="F942" s="27" t="s">
        <v>13</v>
      </c>
      <c r="G942" s="27"/>
      <c r="H942" s="27"/>
      <c r="I942" s="28" t="str">
        <f t="shared" si="28"/>
        <v/>
      </c>
      <c r="J942" s="27"/>
      <c r="K942" s="28" t="str">
        <f t="shared" si="29"/>
        <v/>
      </c>
      <c r="L942" s="27"/>
      <c r="M942" s="27"/>
      <c r="N942" s="27"/>
      <c r="O942" s="27"/>
      <c r="P942" s="27" t="s">
        <v>4836</v>
      </c>
      <c r="Q942" s="27" t="s">
        <v>4837</v>
      </c>
    </row>
    <row r="943" spans="1:17" ht="15" customHeight="1" x14ac:dyDescent="0.3">
      <c r="A943" s="27" t="s">
        <v>4838</v>
      </c>
      <c r="B943" s="27" t="s">
        <v>4839</v>
      </c>
      <c r="C943" s="27" t="s">
        <v>4840</v>
      </c>
      <c r="D943" s="27">
        <v>2025</v>
      </c>
      <c r="E943" s="27" t="s">
        <v>48</v>
      </c>
      <c r="F943" s="27" t="s">
        <v>15</v>
      </c>
      <c r="G943" s="27"/>
      <c r="H943" s="27"/>
      <c r="I943" s="28" t="str">
        <f t="shared" si="28"/>
        <v/>
      </c>
      <c r="J943" s="27"/>
      <c r="K943" s="28" t="str">
        <f t="shared" si="29"/>
        <v/>
      </c>
      <c r="L943" s="27"/>
      <c r="M943" s="27"/>
      <c r="N943" s="27"/>
      <c r="O943" s="27"/>
      <c r="P943" s="27" t="s">
        <v>4841</v>
      </c>
      <c r="Q943" s="27" t="s">
        <v>4842</v>
      </c>
    </row>
    <row r="944" spans="1:17" ht="15" customHeight="1" x14ac:dyDescent="0.3">
      <c r="A944" s="27" t="s">
        <v>4843</v>
      </c>
      <c r="B944" s="27" t="s">
        <v>4844</v>
      </c>
      <c r="C944" s="27" t="s">
        <v>4845</v>
      </c>
      <c r="D944" s="27">
        <v>2025</v>
      </c>
      <c r="E944" s="27" t="s">
        <v>48</v>
      </c>
      <c r="F944" s="27" t="s">
        <v>11</v>
      </c>
      <c r="G944" s="27"/>
      <c r="H944" s="27"/>
      <c r="I944" s="28" t="str">
        <f t="shared" si="28"/>
        <v/>
      </c>
      <c r="J944" s="27"/>
      <c r="K944" s="28" t="str">
        <f t="shared" si="29"/>
        <v/>
      </c>
      <c r="L944" s="27"/>
      <c r="M944" s="27"/>
      <c r="N944" s="27"/>
      <c r="O944" s="27"/>
      <c r="P944" s="27" t="s">
        <v>4846</v>
      </c>
      <c r="Q944" s="27" t="s">
        <v>4847</v>
      </c>
    </row>
    <row r="945" spans="1:17" ht="15" customHeight="1" x14ac:dyDescent="0.3">
      <c r="A945" s="27" t="s">
        <v>4848</v>
      </c>
      <c r="B945" s="27" t="s">
        <v>4849</v>
      </c>
      <c r="C945" s="27" t="s">
        <v>4850</v>
      </c>
      <c r="D945" s="27">
        <v>2024</v>
      </c>
      <c r="E945" s="27" t="s">
        <v>48</v>
      </c>
      <c r="F945" s="27" t="s">
        <v>13</v>
      </c>
      <c r="G945" s="27"/>
      <c r="H945" s="27"/>
      <c r="I945" s="28" t="str">
        <f t="shared" si="28"/>
        <v/>
      </c>
      <c r="J945" s="27"/>
      <c r="K945" s="28" t="str">
        <f t="shared" si="29"/>
        <v/>
      </c>
      <c r="L945" s="27"/>
      <c r="M945" s="27"/>
      <c r="N945" s="27"/>
      <c r="O945" s="27"/>
      <c r="P945" s="27" t="s">
        <v>4851</v>
      </c>
      <c r="Q945" s="27" t="s">
        <v>4852</v>
      </c>
    </row>
    <row r="946" spans="1:17" ht="15" customHeight="1" x14ac:dyDescent="0.3">
      <c r="A946" s="27" t="s">
        <v>4853</v>
      </c>
      <c r="B946" s="27" t="s">
        <v>4854</v>
      </c>
      <c r="C946" s="27" t="s">
        <v>4855</v>
      </c>
      <c r="D946" s="27">
        <v>2020</v>
      </c>
      <c r="E946" s="27" t="s">
        <v>48</v>
      </c>
      <c r="F946" s="27" t="s">
        <v>15</v>
      </c>
      <c r="G946" s="27"/>
      <c r="H946" s="27"/>
      <c r="I946" s="28" t="str">
        <f t="shared" si="28"/>
        <v/>
      </c>
      <c r="J946" s="27"/>
      <c r="K946" s="28" t="str">
        <f t="shared" si="29"/>
        <v/>
      </c>
      <c r="L946" s="27"/>
      <c r="M946" s="27"/>
      <c r="N946" s="27"/>
      <c r="O946" s="27"/>
      <c r="P946" s="27" t="s">
        <v>4856</v>
      </c>
      <c r="Q946" s="27" t="s">
        <v>4857</v>
      </c>
    </row>
    <row r="947" spans="1:17" ht="15" customHeight="1" x14ac:dyDescent="0.3">
      <c r="A947" s="27" t="s">
        <v>4858</v>
      </c>
      <c r="B947" s="27" t="s">
        <v>4859</v>
      </c>
      <c r="C947" s="27" t="s">
        <v>4860</v>
      </c>
      <c r="D947" s="27">
        <v>2021</v>
      </c>
      <c r="E947" s="27" t="s">
        <v>48</v>
      </c>
      <c r="F947" s="27" t="s">
        <v>11</v>
      </c>
      <c r="G947" s="27"/>
      <c r="H947" s="27"/>
      <c r="I947" s="28" t="str">
        <f t="shared" si="28"/>
        <v/>
      </c>
      <c r="J947" s="27"/>
      <c r="K947" s="28" t="str">
        <f t="shared" si="29"/>
        <v/>
      </c>
      <c r="L947" s="27"/>
      <c r="M947" s="27"/>
      <c r="N947" s="27"/>
      <c r="O947" s="27"/>
      <c r="P947" s="27" t="s">
        <v>4861</v>
      </c>
      <c r="Q947" s="27" t="s">
        <v>4862</v>
      </c>
    </row>
    <row r="948" spans="1:17" ht="15" customHeight="1" x14ac:dyDescent="0.3">
      <c r="A948" s="27" t="s">
        <v>4863</v>
      </c>
      <c r="B948" s="27" t="s">
        <v>4864</v>
      </c>
      <c r="C948" s="27" t="s">
        <v>4865</v>
      </c>
      <c r="D948" s="27">
        <v>2025</v>
      </c>
      <c r="E948" s="27" t="s">
        <v>48</v>
      </c>
      <c r="F948" s="27" t="s">
        <v>13</v>
      </c>
      <c r="G948" s="27"/>
      <c r="H948" s="27"/>
      <c r="I948" s="28" t="str">
        <f t="shared" si="28"/>
        <v/>
      </c>
      <c r="J948" s="27"/>
      <c r="K948" s="28" t="str">
        <f t="shared" si="29"/>
        <v/>
      </c>
      <c r="L948" s="27"/>
      <c r="M948" s="27"/>
      <c r="N948" s="27"/>
      <c r="O948" s="27"/>
      <c r="P948" s="27" t="s">
        <v>4866</v>
      </c>
      <c r="Q948" s="27" t="s">
        <v>4867</v>
      </c>
    </row>
    <row r="949" spans="1:17" ht="15" customHeight="1" x14ac:dyDescent="0.3">
      <c r="A949" s="27" t="s">
        <v>4868</v>
      </c>
      <c r="B949" s="27" t="s">
        <v>4869</v>
      </c>
      <c r="C949" s="27" t="s">
        <v>4870</v>
      </c>
      <c r="D949" s="27">
        <v>2019</v>
      </c>
      <c r="E949" s="27" t="s">
        <v>48</v>
      </c>
      <c r="F949" s="27" t="s">
        <v>15</v>
      </c>
      <c r="G949" s="27"/>
      <c r="H949" s="27"/>
      <c r="I949" s="28" t="str">
        <f t="shared" si="28"/>
        <v/>
      </c>
      <c r="J949" s="27"/>
      <c r="K949" s="28" t="str">
        <f t="shared" si="29"/>
        <v/>
      </c>
      <c r="L949" s="27"/>
      <c r="M949" s="27"/>
      <c r="N949" s="27"/>
      <c r="O949" s="27"/>
      <c r="P949" s="27" t="s">
        <v>4871</v>
      </c>
      <c r="Q949" s="27" t="s">
        <v>4872</v>
      </c>
    </row>
    <row r="950" spans="1:17" ht="15" customHeight="1" x14ac:dyDescent="0.3">
      <c r="A950" s="27" t="s">
        <v>4873</v>
      </c>
      <c r="B950" s="27" t="s">
        <v>4874</v>
      </c>
      <c r="C950" s="27" t="s">
        <v>4875</v>
      </c>
      <c r="D950" s="27">
        <v>2025</v>
      </c>
      <c r="E950" s="27" t="s">
        <v>48</v>
      </c>
      <c r="F950" s="27" t="s">
        <v>11</v>
      </c>
      <c r="G950" s="27"/>
      <c r="H950" s="27"/>
      <c r="I950" s="28" t="str">
        <f t="shared" si="28"/>
        <v/>
      </c>
      <c r="J950" s="27"/>
      <c r="K950" s="28" t="str">
        <f t="shared" si="29"/>
        <v/>
      </c>
      <c r="L950" s="27"/>
      <c r="M950" s="27"/>
      <c r="N950" s="27"/>
      <c r="O950" s="27"/>
      <c r="P950" s="27" t="s">
        <v>4876</v>
      </c>
      <c r="Q950" s="27" t="s">
        <v>4877</v>
      </c>
    </row>
    <row r="951" spans="1:17" ht="15" customHeight="1" x14ac:dyDescent="0.3">
      <c r="A951" s="27" t="s">
        <v>4878</v>
      </c>
      <c r="B951" s="27" t="s">
        <v>4879</v>
      </c>
      <c r="C951" s="27" t="s">
        <v>4880</v>
      </c>
      <c r="D951" s="27">
        <v>2026</v>
      </c>
      <c r="E951" s="27" t="s">
        <v>48</v>
      </c>
      <c r="F951" s="27" t="s">
        <v>13</v>
      </c>
      <c r="G951" s="27"/>
      <c r="H951" s="27"/>
      <c r="I951" s="28" t="str">
        <f t="shared" si="28"/>
        <v/>
      </c>
      <c r="J951" s="27"/>
      <c r="K951" s="28" t="str">
        <f t="shared" si="29"/>
        <v/>
      </c>
      <c r="L951" s="27"/>
      <c r="M951" s="27"/>
      <c r="N951" s="27"/>
      <c r="O951" s="27"/>
      <c r="P951" s="27" t="s">
        <v>4881</v>
      </c>
      <c r="Q951" s="27" t="s">
        <v>4882</v>
      </c>
    </row>
    <row r="952" spans="1:17" ht="15" customHeight="1" x14ac:dyDescent="0.3">
      <c r="A952" s="27" t="s">
        <v>4883</v>
      </c>
      <c r="B952" s="27" t="s">
        <v>4884</v>
      </c>
      <c r="C952" s="27" t="s">
        <v>4885</v>
      </c>
      <c r="D952" s="27">
        <v>2024</v>
      </c>
      <c r="E952" s="27" t="s">
        <v>48</v>
      </c>
      <c r="F952" s="27" t="s">
        <v>15</v>
      </c>
      <c r="G952" s="27"/>
      <c r="H952" s="27"/>
      <c r="I952" s="28" t="str">
        <f t="shared" si="28"/>
        <v/>
      </c>
      <c r="J952" s="27"/>
      <c r="K952" s="28" t="str">
        <f t="shared" si="29"/>
        <v/>
      </c>
      <c r="L952" s="27"/>
      <c r="M952" s="27"/>
      <c r="N952" s="27"/>
      <c r="O952" s="27"/>
      <c r="P952" s="27" t="s">
        <v>4886</v>
      </c>
      <c r="Q952" s="27" t="s">
        <v>4887</v>
      </c>
    </row>
    <row r="953" spans="1:17" ht="15" customHeight="1" x14ac:dyDescent="0.3">
      <c r="A953" s="27" t="s">
        <v>4888</v>
      </c>
      <c r="B953" s="27" t="s">
        <v>4889</v>
      </c>
      <c r="C953" s="27" t="s">
        <v>4890</v>
      </c>
      <c r="D953" s="27">
        <v>2025</v>
      </c>
      <c r="E953" s="27" t="s">
        <v>48</v>
      </c>
      <c r="F953" s="27" t="s">
        <v>11</v>
      </c>
      <c r="G953" s="27"/>
      <c r="H953" s="27"/>
      <c r="I953" s="28" t="str">
        <f t="shared" si="28"/>
        <v/>
      </c>
      <c r="J953" s="27"/>
      <c r="K953" s="28" t="str">
        <f t="shared" si="29"/>
        <v/>
      </c>
      <c r="L953" s="27"/>
      <c r="M953" s="27"/>
      <c r="N953" s="27"/>
      <c r="O953" s="27"/>
      <c r="P953" s="27" t="s">
        <v>4891</v>
      </c>
      <c r="Q953" s="27" t="s">
        <v>4892</v>
      </c>
    </row>
    <row r="954" spans="1:17" ht="15" customHeight="1" x14ac:dyDescent="0.3">
      <c r="A954" s="27" t="s">
        <v>4893</v>
      </c>
      <c r="B954" s="27" t="s">
        <v>4894</v>
      </c>
      <c r="C954" s="27" t="s">
        <v>4895</v>
      </c>
      <c r="D954" s="27">
        <v>2018</v>
      </c>
      <c r="E954" s="27" t="s">
        <v>48</v>
      </c>
      <c r="F954" s="27" t="s">
        <v>13</v>
      </c>
      <c r="G954" s="27"/>
      <c r="H954" s="27"/>
      <c r="I954" s="28" t="str">
        <f t="shared" si="28"/>
        <v/>
      </c>
      <c r="J954" s="27"/>
      <c r="K954" s="28" t="str">
        <f t="shared" si="29"/>
        <v/>
      </c>
      <c r="L954" s="27"/>
      <c r="M954" s="27"/>
      <c r="N954" s="27"/>
      <c r="O954" s="27"/>
      <c r="P954" s="27" t="s">
        <v>4896</v>
      </c>
      <c r="Q954" s="27" t="s">
        <v>4897</v>
      </c>
    </row>
    <row r="955" spans="1:17" ht="15" customHeight="1" x14ac:dyDescent="0.3">
      <c r="A955" s="27" t="s">
        <v>4898</v>
      </c>
      <c r="B955" s="27" t="s">
        <v>4899</v>
      </c>
      <c r="C955" s="27" t="s">
        <v>2559</v>
      </c>
      <c r="D955" s="27">
        <v>2022</v>
      </c>
      <c r="E955" s="27" t="s">
        <v>48</v>
      </c>
      <c r="F955" s="27" t="s">
        <v>15</v>
      </c>
      <c r="G955" s="27"/>
      <c r="H955" s="27"/>
      <c r="I955" s="28" t="str">
        <f t="shared" si="28"/>
        <v/>
      </c>
      <c r="J955" s="27"/>
      <c r="K955" s="28" t="str">
        <f t="shared" si="29"/>
        <v/>
      </c>
      <c r="L955" s="27"/>
      <c r="M955" s="27"/>
      <c r="N955" s="27"/>
      <c r="O955" s="27"/>
      <c r="P955" s="27" t="s">
        <v>4900</v>
      </c>
      <c r="Q955" s="27" t="s">
        <v>4901</v>
      </c>
    </row>
    <row r="956" spans="1:17" ht="15" customHeight="1" x14ac:dyDescent="0.3">
      <c r="A956" s="27" t="s">
        <v>4902</v>
      </c>
      <c r="B956" s="27" t="s">
        <v>4903</v>
      </c>
      <c r="C956" s="27" t="s">
        <v>4904</v>
      </c>
      <c r="D956" s="27">
        <v>2025</v>
      </c>
      <c r="E956" s="27" t="s">
        <v>48</v>
      </c>
      <c r="F956" s="27" t="s">
        <v>11</v>
      </c>
      <c r="G956" s="27"/>
      <c r="H956" s="27"/>
      <c r="I956" s="28" t="str">
        <f t="shared" si="28"/>
        <v/>
      </c>
      <c r="J956" s="27"/>
      <c r="K956" s="28" t="str">
        <f t="shared" si="29"/>
        <v/>
      </c>
      <c r="L956" s="27"/>
      <c r="M956" s="27"/>
      <c r="N956" s="27"/>
      <c r="O956" s="27"/>
      <c r="P956" s="27" t="s">
        <v>4905</v>
      </c>
      <c r="Q956" s="27" t="s">
        <v>4906</v>
      </c>
    </row>
    <row r="957" spans="1:17" ht="15" customHeight="1" x14ac:dyDescent="0.3">
      <c r="A957" s="27" t="s">
        <v>4907</v>
      </c>
      <c r="B957" s="27" t="s">
        <v>4908</v>
      </c>
      <c r="C957" s="27" t="s">
        <v>4909</v>
      </c>
      <c r="D957" s="27">
        <v>2023</v>
      </c>
      <c r="E957" s="27" t="s">
        <v>48</v>
      </c>
      <c r="F957" s="27" t="s">
        <v>13</v>
      </c>
      <c r="G957" s="27"/>
      <c r="H957" s="27"/>
      <c r="I957" s="28" t="str">
        <f t="shared" si="28"/>
        <v/>
      </c>
      <c r="J957" s="27"/>
      <c r="K957" s="28" t="str">
        <f t="shared" si="29"/>
        <v/>
      </c>
      <c r="L957" s="27"/>
      <c r="M957" s="27"/>
      <c r="N957" s="27"/>
      <c r="O957" s="27"/>
      <c r="P957" s="27" t="s">
        <v>4910</v>
      </c>
      <c r="Q957" s="27" t="s">
        <v>4911</v>
      </c>
    </row>
    <row r="958" spans="1:17" ht="15" customHeight="1" x14ac:dyDescent="0.3">
      <c r="A958" s="27" t="s">
        <v>4912</v>
      </c>
      <c r="B958" s="27" t="s">
        <v>4913</v>
      </c>
      <c r="C958" s="27" t="s">
        <v>4914</v>
      </c>
      <c r="D958" s="27">
        <v>2021</v>
      </c>
      <c r="E958" s="27" t="s">
        <v>48</v>
      </c>
      <c r="F958" s="27" t="s">
        <v>15</v>
      </c>
      <c r="G958" s="27"/>
      <c r="H958" s="27"/>
      <c r="I958" s="28" t="str">
        <f t="shared" si="28"/>
        <v/>
      </c>
      <c r="J958" s="27"/>
      <c r="K958" s="28" t="str">
        <f t="shared" si="29"/>
        <v/>
      </c>
      <c r="L958" s="27"/>
      <c r="M958" s="27"/>
      <c r="N958" s="27"/>
      <c r="O958" s="27"/>
      <c r="P958" s="27" t="s">
        <v>4915</v>
      </c>
      <c r="Q958" s="27" t="s">
        <v>4916</v>
      </c>
    </row>
    <row r="959" spans="1:17" ht="15" customHeight="1" x14ac:dyDescent="0.3">
      <c r="A959" s="27" t="s">
        <v>4917</v>
      </c>
      <c r="B959" s="27" t="s">
        <v>4918</v>
      </c>
      <c r="C959" s="27" t="s">
        <v>4919</v>
      </c>
      <c r="D959" s="27">
        <v>2026</v>
      </c>
      <c r="E959" s="27" t="s">
        <v>48</v>
      </c>
      <c r="F959" s="27" t="s">
        <v>11</v>
      </c>
      <c r="G959" s="27"/>
      <c r="H959" s="27"/>
      <c r="I959" s="28" t="str">
        <f t="shared" si="28"/>
        <v/>
      </c>
      <c r="J959" s="27"/>
      <c r="K959" s="28" t="str">
        <f t="shared" si="29"/>
        <v/>
      </c>
      <c r="L959" s="27"/>
      <c r="M959" s="27"/>
      <c r="N959" s="27"/>
      <c r="O959" s="27"/>
      <c r="P959" s="27" t="s">
        <v>4920</v>
      </c>
      <c r="Q959" s="27" t="s">
        <v>4921</v>
      </c>
    </row>
    <row r="960" spans="1:17" ht="15" customHeight="1" x14ac:dyDescent="0.3">
      <c r="A960" s="27" t="s">
        <v>4922</v>
      </c>
      <c r="B960" s="27" t="s">
        <v>4923</v>
      </c>
      <c r="C960" s="27" t="s">
        <v>4924</v>
      </c>
      <c r="D960" s="27">
        <v>2021</v>
      </c>
      <c r="E960" s="27" t="s">
        <v>48</v>
      </c>
      <c r="F960" s="27" t="s">
        <v>13</v>
      </c>
      <c r="G960" s="27"/>
      <c r="H960" s="27"/>
      <c r="I960" s="28" t="str">
        <f t="shared" si="28"/>
        <v/>
      </c>
      <c r="J960" s="27"/>
      <c r="K960" s="28" t="str">
        <f t="shared" si="29"/>
        <v/>
      </c>
      <c r="L960" s="27"/>
      <c r="M960" s="27"/>
      <c r="N960" s="27"/>
      <c r="O960" s="27"/>
      <c r="P960" s="27" t="s">
        <v>4925</v>
      </c>
      <c r="Q960" s="27" t="s">
        <v>4926</v>
      </c>
    </row>
    <row r="961" spans="1:17" ht="15" customHeight="1" x14ac:dyDescent="0.3">
      <c r="A961" s="27" t="s">
        <v>4927</v>
      </c>
      <c r="B961" s="27" t="s">
        <v>4928</v>
      </c>
      <c r="C961" s="27" t="s">
        <v>4929</v>
      </c>
      <c r="D961" s="27">
        <v>2020</v>
      </c>
      <c r="E961" s="27" t="s">
        <v>48</v>
      </c>
      <c r="F961" s="27" t="s">
        <v>15</v>
      </c>
      <c r="G961" s="27"/>
      <c r="H961" s="27"/>
      <c r="I961" s="28" t="str">
        <f t="shared" si="28"/>
        <v/>
      </c>
      <c r="J961" s="27"/>
      <c r="K961" s="28" t="str">
        <f t="shared" si="29"/>
        <v/>
      </c>
      <c r="L961" s="27"/>
      <c r="M961" s="27"/>
      <c r="N961" s="27"/>
      <c r="O961" s="27"/>
      <c r="P961" s="27" t="s">
        <v>4930</v>
      </c>
      <c r="Q961" s="27" t="s">
        <v>4931</v>
      </c>
    </row>
    <row r="962" spans="1:17" ht="15" customHeight="1" x14ac:dyDescent="0.3">
      <c r="A962" s="27" t="s">
        <v>4932</v>
      </c>
      <c r="B962" s="27" t="s">
        <v>4933</v>
      </c>
      <c r="C962" s="27" t="s">
        <v>4934</v>
      </c>
      <c r="D962" s="27">
        <v>2020</v>
      </c>
      <c r="E962" s="27" t="s">
        <v>48</v>
      </c>
      <c r="F962" s="27" t="s">
        <v>11</v>
      </c>
      <c r="G962" s="27"/>
      <c r="H962" s="27"/>
      <c r="I962" s="28" t="str">
        <f t="shared" ref="I962:I1025" si="30">IF(OR(G962="",H962=""),"",IF(G962=H962,"Yes","No"))</f>
        <v/>
      </c>
      <c r="J962" s="27"/>
      <c r="K962" s="28" t="str">
        <f t="shared" ref="K962:K1025" si="31">IF(OR(E962="Snowballing",E962="Other sources"),"n/a",IF(AND(G962="",H962=""),"",IF(OR(G962="",H962=""),"Waiting",IF(G962=H962,G962,IF(AND(G962&lt;&gt;"Exclude",H962&lt;&gt;"Exclude"),"Maybe",IF(J962&lt;&gt;"",J962,"Pending"))))))</f>
        <v/>
      </c>
      <c r="L962" s="27"/>
      <c r="M962" s="27"/>
      <c r="N962" s="27"/>
      <c r="O962" s="27"/>
      <c r="P962" s="27" t="s">
        <v>4935</v>
      </c>
      <c r="Q962" s="27" t="s">
        <v>4936</v>
      </c>
    </row>
    <row r="963" spans="1:17" ht="15" customHeight="1" x14ac:dyDescent="0.3">
      <c r="A963" s="27" t="s">
        <v>4937</v>
      </c>
      <c r="B963" s="27" t="s">
        <v>4938</v>
      </c>
      <c r="C963" s="27" t="s">
        <v>4939</v>
      </c>
      <c r="D963" s="27">
        <v>2026</v>
      </c>
      <c r="E963" s="27" t="s">
        <v>48</v>
      </c>
      <c r="F963" s="27" t="s">
        <v>13</v>
      </c>
      <c r="G963" s="27"/>
      <c r="H963" s="27"/>
      <c r="I963" s="28" t="str">
        <f t="shared" si="30"/>
        <v/>
      </c>
      <c r="J963" s="27"/>
      <c r="K963" s="28" t="str">
        <f t="shared" si="31"/>
        <v/>
      </c>
      <c r="L963" s="27"/>
      <c r="M963" s="27"/>
      <c r="N963" s="27"/>
      <c r="O963" s="27"/>
      <c r="P963" s="27" t="s">
        <v>4940</v>
      </c>
      <c r="Q963" s="27" t="s">
        <v>4941</v>
      </c>
    </row>
    <row r="964" spans="1:17" ht="15" customHeight="1" x14ac:dyDescent="0.3">
      <c r="A964" s="27" t="s">
        <v>4942</v>
      </c>
      <c r="B964" s="27" t="s">
        <v>4943</v>
      </c>
      <c r="C964" s="27" t="s">
        <v>4919</v>
      </c>
      <c r="D964" s="27">
        <v>2025</v>
      </c>
      <c r="E964" s="27" t="s">
        <v>48</v>
      </c>
      <c r="F964" s="27" t="s">
        <v>15</v>
      </c>
      <c r="G964" s="27"/>
      <c r="H964" s="27"/>
      <c r="I964" s="28" t="str">
        <f t="shared" si="30"/>
        <v/>
      </c>
      <c r="J964" s="27"/>
      <c r="K964" s="28" t="str">
        <f t="shared" si="31"/>
        <v/>
      </c>
      <c r="L964" s="27"/>
      <c r="M964" s="27"/>
      <c r="N964" s="27"/>
      <c r="O964" s="27"/>
      <c r="P964" s="27" t="s">
        <v>4944</v>
      </c>
      <c r="Q964" s="27" t="s">
        <v>4945</v>
      </c>
    </row>
    <row r="965" spans="1:17" ht="15" customHeight="1" x14ac:dyDescent="0.3">
      <c r="A965" s="27" t="s">
        <v>4946</v>
      </c>
      <c r="B965" s="27" t="s">
        <v>4947</v>
      </c>
      <c r="C965" s="27" t="s">
        <v>4948</v>
      </c>
      <c r="D965" s="27">
        <v>2024</v>
      </c>
      <c r="E965" s="27" t="s">
        <v>48</v>
      </c>
      <c r="F965" s="27" t="s">
        <v>11</v>
      </c>
      <c r="G965" s="27"/>
      <c r="H965" s="27"/>
      <c r="I965" s="28" t="str">
        <f t="shared" si="30"/>
        <v/>
      </c>
      <c r="J965" s="27"/>
      <c r="K965" s="28" t="str">
        <f t="shared" si="31"/>
        <v/>
      </c>
      <c r="L965" s="27"/>
      <c r="M965" s="27"/>
      <c r="N965" s="27"/>
      <c r="O965" s="27"/>
      <c r="P965" s="27" t="s">
        <v>4949</v>
      </c>
      <c r="Q965" s="27" t="s">
        <v>4950</v>
      </c>
    </row>
    <row r="966" spans="1:17" ht="15" customHeight="1" x14ac:dyDescent="0.3">
      <c r="A966" s="27" t="s">
        <v>4951</v>
      </c>
      <c r="B966" s="27" t="s">
        <v>4952</v>
      </c>
      <c r="C966" s="27" t="s">
        <v>4953</v>
      </c>
      <c r="D966" s="27">
        <v>2021</v>
      </c>
      <c r="E966" s="27" t="s">
        <v>48</v>
      </c>
      <c r="F966" s="27" t="s">
        <v>13</v>
      </c>
      <c r="G966" s="27"/>
      <c r="H966" s="27"/>
      <c r="I966" s="28" t="str">
        <f t="shared" si="30"/>
        <v/>
      </c>
      <c r="J966" s="27"/>
      <c r="K966" s="28" t="str">
        <f t="shared" si="31"/>
        <v/>
      </c>
      <c r="L966" s="27"/>
      <c r="M966" s="27"/>
      <c r="N966" s="27"/>
      <c r="O966" s="27"/>
      <c r="P966" s="27" t="s">
        <v>4954</v>
      </c>
      <c r="Q966" s="27" t="s">
        <v>4955</v>
      </c>
    </row>
    <row r="967" spans="1:17" ht="15" customHeight="1" x14ac:dyDescent="0.3">
      <c r="A967" s="27" t="s">
        <v>4956</v>
      </c>
      <c r="B967" s="27" t="s">
        <v>4957</v>
      </c>
      <c r="C967" s="27" t="s">
        <v>4958</v>
      </c>
      <c r="D967" s="27">
        <v>2023</v>
      </c>
      <c r="E967" s="27" t="s">
        <v>48</v>
      </c>
      <c r="F967" s="27" t="s">
        <v>15</v>
      </c>
      <c r="G967" s="27"/>
      <c r="H967" s="27"/>
      <c r="I967" s="28" t="str">
        <f t="shared" si="30"/>
        <v/>
      </c>
      <c r="J967" s="27"/>
      <c r="K967" s="28" t="str">
        <f t="shared" si="31"/>
        <v/>
      </c>
      <c r="L967" s="27"/>
      <c r="M967" s="27"/>
      <c r="N967" s="27"/>
      <c r="O967" s="27"/>
      <c r="P967" s="27" t="s">
        <v>4959</v>
      </c>
      <c r="Q967" s="27" t="s">
        <v>4960</v>
      </c>
    </row>
    <row r="968" spans="1:17" ht="15" customHeight="1" x14ac:dyDescent="0.3">
      <c r="A968" s="27" t="s">
        <v>4961</v>
      </c>
      <c r="B968" s="27" t="s">
        <v>4962</v>
      </c>
      <c r="C968" s="27" t="s">
        <v>4726</v>
      </c>
      <c r="D968" s="27">
        <v>2025</v>
      </c>
      <c r="E968" s="27" t="s">
        <v>48</v>
      </c>
      <c r="F968" s="27" t="s">
        <v>11</v>
      </c>
      <c r="G968" s="27"/>
      <c r="H968" s="27"/>
      <c r="I968" s="28" t="str">
        <f t="shared" si="30"/>
        <v/>
      </c>
      <c r="J968" s="27"/>
      <c r="K968" s="28" t="str">
        <f t="shared" si="31"/>
        <v/>
      </c>
      <c r="L968" s="27"/>
      <c r="M968" s="27"/>
      <c r="N968" s="27"/>
      <c r="O968" s="27"/>
      <c r="P968" s="27" t="s">
        <v>238</v>
      </c>
      <c r="Q968" s="27" t="s">
        <v>4963</v>
      </c>
    </row>
    <row r="969" spans="1:17" ht="15" customHeight="1" x14ac:dyDescent="0.3">
      <c r="A969" s="27" t="s">
        <v>4964</v>
      </c>
      <c r="B969" s="27" t="s">
        <v>4965</v>
      </c>
      <c r="C969" s="27" t="s">
        <v>4966</v>
      </c>
      <c r="D969" s="27">
        <v>2026</v>
      </c>
      <c r="E969" s="27" t="s">
        <v>48</v>
      </c>
      <c r="F969" s="27" t="s">
        <v>13</v>
      </c>
      <c r="G969" s="27"/>
      <c r="H969" s="27"/>
      <c r="I969" s="28" t="str">
        <f t="shared" si="30"/>
        <v/>
      </c>
      <c r="J969" s="27"/>
      <c r="K969" s="28" t="str">
        <f t="shared" si="31"/>
        <v/>
      </c>
      <c r="L969" s="27"/>
      <c r="M969" s="27"/>
      <c r="N969" s="27"/>
      <c r="O969" s="27"/>
      <c r="P969" s="27" t="s">
        <v>4967</v>
      </c>
      <c r="Q969" s="27" t="s">
        <v>4968</v>
      </c>
    </row>
    <row r="970" spans="1:17" ht="15" customHeight="1" x14ac:dyDescent="0.3">
      <c r="A970" s="27" t="s">
        <v>4969</v>
      </c>
      <c r="B970" s="27" t="s">
        <v>4970</v>
      </c>
      <c r="C970" s="27" t="s">
        <v>4971</v>
      </c>
      <c r="D970" s="27">
        <v>2023</v>
      </c>
      <c r="E970" s="27" t="s">
        <v>48</v>
      </c>
      <c r="F970" s="27" t="s">
        <v>15</v>
      </c>
      <c r="G970" s="27"/>
      <c r="H970" s="27"/>
      <c r="I970" s="28" t="str">
        <f t="shared" si="30"/>
        <v/>
      </c>
      <c r="J970" s="27"/>
      <c r="K970" s="28" t="str">
        <f t="shared" si="31"/>
        <v/>
      </c>
      <c r="L970" s="27"/>
      <c r="M970" s="27"/>
      <c r="N970" s="27"/>
      <c r="O970" s="27"/>
      <c r="P970" s="27" t="s">
        <v>4972</v>
      </c>
      <c r="Q970" s="27" t="s">
        <v>4973</v>
      </c>
    </row>
    <row r="971" spans="1:17" ht="15" customHeight="1" x14ac:dyDescent="0.3">
      <c r="A971" s="27" t="s">
        <v>4974</v>
      </c>
      <c r="B971" s="27" t="s">
        <v>4975</v>
      </c>
      <c r="C971" s="27" t="s">
        <v>3182</v>
      </c>
      <c r="D971" s="27">
        <v>2024</v>
      </c>
      <c r="E971" s="27" t="s">
        <v>48</v>
      </c>
      <c r="F971" s="27" t="s">
        <v>11</v>
      </c>
      <c r="G971" s="27"/>
      <c r="H971" s="27"/>
      <c r="I971" s="28" t="str">
        <f t="shared" si="30"/>
        <v/>
      </c>
      <c r="J971" s="27"/>
      <c r="K971" s="28" t="str">
        <f t="shared" si="31"/>
        <v/>
      </c>
      <c r="L971" s="27"/>
      <c r="M971" s="27"/>
      <c r="N971" s="27"/>
      <c r="O971" s="27"/>
      <c r="P971" s="27" t="s">
        <v>4976</v>
      </c>
      <c r="Q971" s="27" t="s">
        <v>4977</v>
      </c>
    </row>
    <row r="972" spans="1:17" ht="15" customHeight="1" x14ac:dyDescent="0.3">
      <c r="A972" s="27" t="s">
        <v>4978</v>
      </c>
      <c r="B972" s="27" t="s">
        <v>4979</v>
      </c>
      <c r="C972" s="27" t="s">
        <v>4980</v>
      </c>
      <c r="D972" s="27">
        <v>2025</v>
      </c>
      <c r="E972" s="27" t="s">
        <v>48</v>
      </c>
      <c r="F972" s="27" t="s">
        <v>13</v>
      </c>
      <c r="G972" s="27"/>
      <c r="H972" s="27"/>
      <c r="I972" s="28" t="str">
        <f t="shared" si="30"/>
        <v/>
      </c>
      <c r="J972" s="27"/>
      <c r="K972" s="28" t="str">
        <f t="shared" si="31"/>
        <v/>
      </c>
      <c r="L972" s="27"/>
      <c r="M972" s="27"/>
      <c r="N972" s="27"/>
      <c r="O972" s="27"/>
      <c r="P972" s="27" t="s">
        <v>4981</v>
      </c>
      <c r="Q972" s="27" t="s">
        <v>4982</v>
      </c>
    </row>
    <row r="973" spans="1:17" ht="15" customHeight="1" x14ac:dyDescent="0.3">
      <c r="A973" s="27" t="s">
        <v>4983</v>
      </c>
      <c r="B973" s="27" t="s">
        <v>4984</v>
      </c>
      <c r="C973" s="27" t="s">
        <v>4985</v>
      </c>
      <c r="D973" s="27">
        <v>2025</v>
      </c>
      <c r="E973" s="27" t="s">
        <v>48</v>
      </c>
      <c r="F973" s="27" t="s">
        <v>15</v>
      </c>
      <c r="G973" s="27"/>
      <c r="H973" s="27"/>
      <c r="I973" s="28" t="str">
        <f t="shared" si="30"/>
        <v/>
      </c>
      <c r="J973" s="27"/>
      <c r="K973" s="28" t="str">
        <f t="shared" si="31"/>
        <v/>
      </c>
      <c r="L973" s="27"/>
      <c r="M973" s="27"/>
      <c r="N973" s="27"/>
      <c r="O973" s="27"/>
      <c r="P973" s="27" t="s">
        <v>4986</v>
      </c>
      <c r="Q973" s="27" t="s">
        <v>4987</v>
      </c>
    </row>
    <row r="974" spans="1:17" ht="15" customHeight="1" x14ac:dyDescent="0.3">
      <c r="A974" s="27" t="s">
        <v>4988</v>
      </c>
      <c r="B974" s="27" t="s">
        <v>4989</v>
      </c>
      <c r="C974" s="27" t="s">
        <v>4990</v>
      </c>
      <c r="D974" s="27">
        <v>2025</v>
      </c>
      <c r="E974" s="27" t="s">
        <v>48</v>
      </c>
      <c r="F974" s="27" t="s">
        <v>11</v>
      </c>
      <c r="G974" s="27"/>
      <c r="H974" s="27"/>
      <c r="I974" s="28" t="str">
        <f t="shared" si="30"/>
        <v/>
      </c>
      <c r="J974" s="27"/>
      <c r="K974" s="28" t="str">
        <f t="shared" si="31"/>
        <v/>
      </c>
      <c r="L974" s="27"/>
      <c r="M974" s="27"/>
      <c r="N974" s="27"/>
      <c r="O974" s="27"/>
      <c r="P974" s="27" t="s">
        <v>4991</v>
      </c>
      <c r="Q974" s="27" t="s">
        <v>4992</v>
      </c>
    </row>
    <row r="975" spans="1:17" ht="15" customHeight="1" x14ac:dyDescent="0.3">
      <c r="A975" s="27" t="s">
        <v>4993</v>
      </c>
      <c r="B975" s="27" t="s">
        <v>4994</v>
      </c>
      <c r="C975" s="27" t="s">
        <v>4995</v>
      </c>
      <c r="D975" s="27">
        <v>2025</v>
      </c>
      <c r="E975" s="27" t="s">
        <v>48</v>
      </c>
      <c r="F975" s="27" t="s">
        <v>13</v>
      </c>
      <c r="G975" s="27"/>
      <c r="H975" s="27"/>
      <c r="I975" s="28" t="str">
        <f t="shared" si="30"/>
        <v/>
      </c>
      <c r="J975" s="27"/>
      <c r="K975" s="28" t="str">
        <f t="shared" si="31"/>
        <v/>
      </c>
      <c r="L975" s="27"/>
      <c r="M975" s="27"/>
      <c r="N975" s="27"/>
      <c r="O975" s="27"/>
      <c r="P975" s="27" t="s">
        <v>4996</v>
      </c>
      <c r="Q975" s="27" t="s">
        <v>4997</v>
      </c>
    </row>
    <row r="976" spans="1:17" ht="15" customHeight="1" x14ac:dyDescent="0.3">
      <c r="A976" s="27" t="s">
        <v>4998</v>
      </c>
      <c r="B976" s="27" t="s">
        <v>4999</v>
      </c>
      <c r="C976" s="27" t="s">
        <v>5000</v>
      </c>
      <c r="D976" s="27">
        <v>2021</v>
      </c>
      <c r="E976" s="27" t="s">
        <v>48</v>
      </c>
      <c r="F976" s="27" t="s">
        <v>15</v>
      </c>
      <c r="G976" s="27"/>
      <c r="H976" s="27"/>
      <c r="I976" s="28" t="str">
        <f t="shared" si="30"/>
        <v/>
      </c>
      <c r="J976" s="27"/>
      <c r="K976" s="28" t="str">
        <f t="shared" si="31"/>
        <v/>
      </c>
      <c r="L976" s="27"/>
      <c r="M976" s="27"/>
      <c r="N976" s="27"/>
      <c r="O976" s="27"/>
      <c r="P976" s="27" t="s">
        <v>5001</v>
      </c>
      <c r="Q976" s="27" t="s">
        <v>5002</v>
      </c>
    </row>
    <row r="977" spans="1:17" ht="15" customHeight="1" x14ac:dyDescent="0.3">
      <c r="A977" s="27" t="s">
        <v>5003</v>
      </c>
      <c r="B977" s="27" t="s">
        <v>5004</v>
      </c>
      <c r="C977" s="27" t="s">
        <v>5005</v>
      </c>
      <c r="D977" s="27">
        <v>2021</v>
      </c>
      <c r="E977" s="27" t="s">
        <v>48</v>
      </c>
      <c r="F977" s="27" t="s">
        <v>11</v>
      </c>
      <c r="G977" s="27"/>
      <c r="H977" s="27"/>
      <c r="I977" s="28" t="str">
        <f t="shared" si="30"/>
        <v/>
      </c>
      <c r="J977" s="27"/>
      <c r="K977" s="28" t="str">
        <f t="shared" si="31"/>
        <v/>
      </c>
      <c r="L977" s="27"/>
      <c r="M977" s="27"/>
      <c r="N977" s="27"/>
      <c r="O977" s="27"/>
      <c r="P977" s="27" t="s">
        <v>5006</v>
      </c>
      <c r="Q977" s="27" t="s">
        <v>5007</v>
      </c>
    </row>
    <row r="978" spans="1:17" ht="15" customHeight="1" x14ac:dyDescent="0.3">
      <c r="A978" s="27" t="s">
        <v>5008</v>
      </c>
      <c r="B978" s="27" t="s">
        <v>5009</v>
      </c>
      <c r="C978" s="27" t="s">
        <v>5010</v>
      </c>
      <c r="D978" s="27">
        <v>2026</v>
      </c>
      <c r="E978" s="27" t="s">
        <v>48</v>
      </c>
      <c r="F978" s="27" t="s">
        <v>13</v>
      </c>
      <c r="G978" s="27"/>
      <c r="H978" s="27"/>
      <c r="I978" s="28" t="str">
        <f t="shared" si="30"/>
        <v/>
      </c>
      <c r="J978" s="27"/>
      <c r="K978" s="28" t="str">
        <f t="shared" si="31"/>
        <v/>
      </c>
      <c r="L978" s="27"/>
      <c r="M978" s="27"/>
      <c r="N978" s="27"/>
      <c r="O978" s="27"/>
      <c r="P978" s="27" t="s">
        <v>5011</v>
      </c>
      <c r="Q978" s="27" t="s">
        <v>5012</v>
      </c>
    </row>
    <row r="979" spans="1:17" ht="15" customHeight="1" x14ac:dyDescent="0.3">
      <c r="A979" s="27" t="s">
        <v>5013</v>
      </c>
      <c r="B979" s="27" t="s">
        <v>5014</v>
      </c>
      <c r="C979" s="27" t="s">
        <v>5015</v>
      </c>
      <c r="D979" s="27">
        <v>2025</v>
      </c>
      <c r="E979" s="27" t="s">
        <v>48</v>
      </c>
      <c r="F979" s="27" t="s">
        <v>15</v>
      </c>
      <c r="G979" s="27"/>
      <c r="H979" s="27"/>
      <c r="I979" s="28" t="str">
        <f t="shared" si="30"/>
        <v/>
      </c>
      <c r="J979" s="27"/>
      <c r="K979" s="28" t="str">
        <f t="shared" si="31"/>
        <v/>
      </c>
      <c r="L979" s="27"/>
      <c r="M979" s="27"/>
      <c r="N979" s="27"/>
      <c r="O979" s="27"/>
      <c r="P979" s="27" t="s">
        <v>5016</v>
      </c>
      <c r="Q979" s="27" t="s">
        <v>5017</v>
      </c>
    </row>
    <row r="980" spans="1:17" ht="15" customHeight="1" x14ac:dyDescent="0.3">
      <c r="A980" s="27" t="s">
        <v>5018</v>
      </c>
      <c r="B980" s="27" t="s">
        <v>5019</v>
      </c>
      <c r="C980" s="27" t="s">
        <v>5020</v>
      </c>
      <c r="D980" s="27">
        <v>2024</v>
      </c>
      <c r="E980" s="27" t="s">
        <v>48</v>
      </c>
      <c r="F980" s="27" t="s">
        <v>11</v>
      </c>
      <c r="G980" s="27"/>
      <c r="H980" s="27"/>
      <c r="I980" s="28" t="str">
        <f t="shared" si="30"/>
        <v/>
      </c>
      <c r="J980" s="27"/>
      <c r="K980" s="28" t="str">
        <f t="shared" si="31"/>
        <v/>
      </c>
      <c r="L980" s="27"/>
      <c r="M980" s="27"/>
      <c r="N980" s="27"/>
      <c r="O980" s="27"/>
      <c r="P980" s="27" t="s">
        <v>5021</v>
      </c>
      <c r="Q980" s="27" t="s">
        <v>5022</v>
      </c>
    </row>
    <row r="981" spans="1:17" ht="15" customHeight="1" x14ac:dyDescent="0.3">
      <c r="A981" s="27" t="s">
        <v>5023</v>
      </c>
      <c r="B981" s="27" t="s">
        <v>5024</v>
      </c>
      <c r="C981" s="27" t="s">
        <v>5025</v>
      </c>
      <c r="D981" s="27">
        <v>2024</v>
      </c>
      <c r="E981" s="27" t="s">
        <v>48</v>
      </c>
      <c r="F981" s="27" t="s">
        <v>13</v>
      </c>
      <c r="G981" s="27"/>
      <c r="H981" s="27"/>
      <c r="I981" s="28" t="str">
        <f t="shared" si="30"/>
        <v/>
      </c>
      <c r="J981" s="27"/>
      <c r="K981" s="28" t="str">
        <f t="shared" si="31"/>
        <v/>
      </c>
      <c r="L981" s="27"/>
      <c r="M981" s="27"/>
      <c r="N981" s="27"/>
      <c r="O981" s="27"/>
      <c r="P981" s="27" t="s">
        <v>5026</v>
      </c>
      <c r="Q981" s="27" t="s">
        <v>5027</v>
      </c>
    </row>
    <row r="982" spans="1:17" ht="15" customHeight="1" x14ac:dyDescent="0.3">
      <c r="A982" s="27" t="s">
        <v>5028</v>
      </c>
      <c r="B982" s="27" t="s">
        <v>5029</v>
      </c>
      <c r="C982" s="27" t="s">
        <v>5030</v>
      </c>
      <c r="D982" s="27">
        <v>2019</v>
      </c>
      <c r="E982" s="27" t="s">
        <v>48</v>
      </c>
      <c r="F982" s="27" t="s">
        <v>15</v>
      </c>
      <c r="G982" s="27"/>
      <c r="H982" s="27"/>
      <c r="I982" s="28" t="str">
        <f t="shared" si="30"/>
        <v/>
      </c>
      <c r="J982" s="27"/>
      <c r="K982" s="28" t="str">
        <f t="shared" si="31"/>
        <v/>
      </c>
      <c r="L982" s="27"/>
      <c r="M982" s="27"/>
      <c r="N982" s="27"/>
      <c r="O982" s="27"/>
      <c r="P982" s="27" t="s">
        <v>5031</v>
      </c>
      <c r="Q982" s="27" t="s">
        <v>5032</v>
      </c>
    </row>
    <row r="983" spans="1:17" ht="15" customHeight="1" x14ac:dyDescent="0.3">
      <c r="A983" s="27" t="s">
        <v>5033</v>
      </c>
      <c r="B983" s="27" t="s">
        <v>5034</v>
      </c>
      <c r="C983" s="27" t="s">
        <v>5035</v>
      </c>
      <c r="D983" s="27">
        <v>2025</v>
      </c>
      <c r="E983" s="27" t="s">
        <v>48</v>
      </c>
      <c r="F983" s="27" t="s">
        <v>11</v>
      </c>
      <c r="G983" s="27"/>
      <c r="H983" s="27"/>
      <c r="I983" s="28" t="str">
        <f t="shared" si="30"/>
        <v/>
      </c>
      <c r="J983" s="27"/>
      <c r="K983" s="28" t="str">
        <f t="shared" si="31"/>
        <v/>
      </c>
      <c r="L983" s="27"/>
      <c r="M983" s="27"/>
      <c r="N983" s="27"/>
      <c r="O983" s="27"/>
      <c r="P983" s="27" t="s">
        <v>5036</v>
      </c>
      <c r="Q983" s="27" t="s">
        <v>5037</v>
      </c>
    </row>
    <row r="984" spans="1:17" ht="15" customHeight="1" x14ac:dyDescent="0.3">
      <c r="A984" s="27" t="s">
        <v>5038</v>
      </c>
      <c r="B984" s="27" t="s">
        <v>5039</v>
      </c>
      <c r="C984" s="27" t="s">
        <v>5040</v>
      </c>
      <c r="D984" s="27">
        <v>2022</v>
      </c>
      <c r="E984" s="27" t="s">
        <v>48</v>
      </c>
      <c r="F984" s="27" t="s">
        <v>13</v>
      </c>
      <c r="G984" s="27"/>
      <c r="H984" s="27"/>
      <c r="I984" s="28" t="str">
        <f t="shared" si="30"/>
        <v/>
      </c>
      <c r="J984" s="27"/>
      <c r="K984" s="28" t="str">
        <f t="shared" si="31"/>
        <v/>
      </c>
      <c r="L984" s="27"/>
      <c r="M984" s="27"/>
      <c r="N984" s="27"/>
      <c r="O984" s="27"/>
      <c r="P984" s="27" t="s">
        <v>5041</v>
      </c>
      <c r="Q984" s="27" t="s">
        <v>5042</v>
      </c>
    </row>
    <row r="985" spans="1:17" ht="15" customHeight="1" x14ac:dyDescent="0.3">
      <c r="A985" s="27" t="s">
        <v>5043</v>
      </c>
      <c r="B985" s="27" t="s">
        <v>5044</v>
      </c>
      <c r="C985" s="27" t="s">
        <v>3372</v>
      </c>
      <c r="D985" s="27">
        <v>2025</v>
      </c>
      <c r="E985" s="27" t="s">
        <v>48</v>
      </c>
      <c r="F985" s="27" t="s">
        <v>15</v>
      </c>
      <c r="G985" s="27"/>
      <c r="H985" s="27"/>
      <c r="I985" s="28" t="str">
        <f t="shared" si="30"/>
        <v/>
      </c>
      <c r="J985" s="27"/>
      <c r="K985" s="28" t="str">
        <f t="shared" si="31"/>
        <v/>
      </c>
      <c r="L985" s="27"/>
      <c r="M985" s="27"/>
      <c r="N985" s="27"/>
      <c r="O985" s="27"/>
      <c r="P985" s="27" t="s">
        <v>5045</v>
      </c>
      <c r="Q985" s="27" t="s">
        <v>5046</v>
      </c>
    </row>
    <row r="986" spans="1:17" ht="15" customHeight="1" x14ac:dyDescent="0.3">
      <c r="A986" s="27" t="s">
        <v>5047</v>
      </c>
      <c r="B986" s="27" t="s">
        <v>5048</v>
      </c>
      <c r="C986" s="27" t="s">
        <v>5049</v>
      </c>
      <c r="D986" s="27">
        <v>2023</v>
      </c>
      <c r="E986" s="27" t="s">
        <v>48</v>
      </c>
      <c r="F986" s="27" t="s">
        <v>11</v>
      </c>
      <c r="G986" s="27"/>
      <c r="H986" s="27"/>
      <c r="I986" s="28" t="str">
        <f t="shared" si="30"/>
        <v/>
      </c>
      <c r="J986" s="27"/>
      <c r="K986" s="28" t="str">
        <f t="shared" si="31"/>
        <v/>
      </c>
      <c r="L986" s="27"/>
      <c r="M986" s="27"/>
      <c r="N986" s="27"/>
      <c r="O986" s="27"/>
      <c r="P986" s="27" t="s">
        <v>5050</v>
      </c>
      <c r="Q986" s="27" t="s">
        <v>5051</v>
      </c>
    </row>
    <row r="987" spans="1:17" ht="15" customHeight="1" x14ac:dyDescent="0.3">
      <c r="A987" s="27" t="s">
        <v>5052</v>
      </c>
      <c r="B987" s="27" t="s">
        <v>5053</v>
      </c>
      <c r="C987" s="27" t="s">
        <v>5054</v>
      </c>
      <c r="D987" s="27">
        <v>2023</v>
      </c>
      <c r="E987" s="27" t="s">
        <v>48</v>
      </c>
      <c r="F987" s="27" t="s">
        <v>13</v>
      </c>
      <c r="G987" s="27"/>
      <c r="H987" s="27"/>
      <c r="I987" s="28" t="str">
        <f t="shared" si="30"/>
        <v/>
      </c>
      <c r="J987" s="27"/>
      <c r="K987" s="28" t="str">
        <f t="shared" si="31"/>
        <v/>
      </c>
      <c r="L987" s="27"/>
      <c r="M987" s="27"/>
      <c r="N987" s="27"/>
      <c r="O987" s="27"/>
      <c r="P987" s="27" t="s">
        <v>5055</v>
      </c>
      <c r="Q987" s="27" t="s">
        <v>5056</v>
      </c>
    </row>
    <row r="988" spans="1:17" ht="15" customHeight="1" x14ac:dyDescent="0.3">
      <c r="A988" s="27" t="s">
        <v>5057</v>
      </c>
      <c r="B988" s="27" t="s">
        <v>5058</v>
      </c>
      <c r="C988" s="27" t="s">
        <v>5059</v>
      </c>
      <c r="D988" s="27">
        <v>2018</v>
      </c>
      <c r="E988" s="27" t="s">
        <v>48</v>
      </c>
      <c r="F988" s="27" t="s">
        <v>15</v>
      </c>
      <c r="G988" s="27"/>
      <c r="H988" s="27"/>
      <c r="I988" s="28" t="str">
        <f t="shared" si="30"/>
        <v/>
      </c>
      <c r="J988" s="27"/>
      <c r="K988" s="28" t="str">
        <f t="shared" si="31"/>
        <v/>
      </c>
      <c r="L988" s="27"/>
      <c r="M988" s="27"/>
      <c r="N988" s="27"/>
      <c r="O988" s="27"/>
      <c r="P988" s="27" t="s">
        <v>5060</v>
      </c>
      <c r="Q988" s="27" t="s">
        <v>5061</v>
      </c>
    </row>
    <row r="989" spans="1:17" ht="15" customHeight="1" x14ac:dyDescent="0.3">
      <c r="A989" s="27" t="s">
        <v>5062</v>
      </c>
      <c r="B989" s="27" t="s">
        <v>5063</v>
      </c>
      <c r="C989" s="27" t="s">
        <v>5064</v>
      </c>
      <c r="D989" s="27">
        <v>2024</v>
      </c>
      <c r="E989" s="27" t="s">
        <v>48</v>
      </c>
      <c r="F989" s="27" t="s">
        <v>11</v>
      </c>
      <c r="G989" s="27"/>
      <c r="H989" s="27"/>
      <c r="I989" s="28" t="str">
        <f t="shared" si="30"/>
        <v/>
      </c>
      <c r="J989" s="27"/>
      <c r="K989" s="28" t="str">
        <f t="shared" si="31"/>
        <v/>
      </c>
      <c r="L989" s="27"/>
      <c r="M989" s="27"/>
      <c r="N989" s="27"/>
      <c r="O989" s="27"/>
      <c r="P989" s="27" t="s">
        <v>5065</v>
      </c>
      <c r="Q989" s="27" t="s">
        <v>5066</v>
      </c>
    </row>
    <row r="990" spans="1:17" ht="15" customHeight="1" x14ac:dyDescent="0.3">
      <c r="A990" s="27" t="s">
        <v>5067</v>
      </c>
      <c r="B990" s="27" t="s">
        <v>5068</v>
      </c>
      <c r="C990" s="27" t="s">
        <v>5069</v>
      </c>
      <c r="D990" s="27">
        <v>2025</v>
      </c>
      <c r="E990" s="27" t="s">
        <v>48</v>
      </c>
      <c r="F990" s="27" t="s">
        <v>13</v>
      </c>
      <c r="G990" s="27"/>
      <c r="H990" s="27"/>
      <c r="I990" s="28" t="str">
        <f t="shared" si="30"/>
        <v/>
      </c>
      <c r="J990" s="27"/>
      <c r="K990" s="28" t="str">
        <f t="shared" si="31"/>
        <v/>
      </c>
      <c r="L990" s="27"/>
      <c r="M990" s="27"/>
      <c r="N990" s="27"/>
      <c r="O990" s="27"/>
      <c r="P990" s="27" t="s">
        <v>5070</v>
      </c>
      <c r="Q990" s="27" t="s">
        <v>5071</v>
      </c>
    </row>
    <row r="991" spans="1:17" ht="15" customHeight="1" x14ac:dyDescent="0.3">
      <c r="A991" s="27" t="s">
        <v>5072</v>
      </c>
      <c r="B991" s="27" t="s">
        <v>5073</v>
      </c>
      <c r="C991" s="27" t="s">
        <v>5074</v>
      </c>
      <c r="D991" s="27">
        <v>2022</v>
      </c>
      <c r="E991" s="27" t="s">
        <v>48</v>
      </c>
      <c r="F991" s="27" t="s">
        <v>15</v>
      </c>
      <c r="G991" s="27"/>
      <c r="H991" s="27"/>
      <c r="I991" s="28" t="str">
        <f t="shared" si="30"/>
        <v/>
      </c>
      <c r="J991" s="27"/>
      <c r="K991" s="28" t="str">
        <f t="shared" si="31"/>
        <v/>
      </c>
      <c r="L991" s="27"/>
      <c r="M991" s="27"/>
      <c r="N991" s="27"/>
      <c r="O991" s="27"/>
      <c r="P991" s="27" t="s">
        <v>5075</v>
      </c>
      <c r="Q991" s="27" t="s">
        <v>5076</v>
      </c>
    </row>
    <row r="992" spans="1:17" ht="15" customHeight="1" x14ac:dyDescent="0.3">
      <c r="A992" s="27" t="s">
        <v>5077</v>
      </c>
      <c r="B992" s="27" t="s">
        <v>5078</v>
      </c>
      <c r="C992" s="27" t="s">
        <v>5079</v>
      </c>
      <c r="D992" s="27">
        <v>2026</v>
      </c>
      <c r="E992" s="27" t="s">
        <v>48</v>
      </c>
      <c r="F992" s="27" t="s">
        <v>11</v>
      </c>
      <c r="G992" s="27"/>
      <c r="H992" s="27"/>
      <c r="I992" s="28" t="str">
        <f t="shared" si="30"/>
        <v/>
      </c>
      <c r="J992" s="27"/>
      <c r="K992" s="28" t="str">
        <f t="shared" si="31"/>
        <v/>
      </c>
      <c r="L992" s="27"/>
      <c r="M992" s="27"/>
      <c r="N992" s="27"/>
      <c r="O992" s="27"/>
      <c r="P992" s="27" t="s">
        <v>5080</v>
      </c>
      <c r="Q992" s="27" t="s">
        <v>5081</v>
      </c>
    </row>
    <row r="993" spans="1:17" ht="15" customHeight="1" x14ac:dyDescent="0.3">
      <c r="A993" s="27" t="s">
        <v>5082</v>
      </c>
      <c r="B993" s="27" t="s">
        <v>5083</v>
      </c>
      <c r="C993" s="27" t="s">
        <v>5084</v>
      </c>
      <c r="D993" s="27">
        <v>2026</v>
      </c>
      <c r="E993" s="27" t="s">
        <v>48</v>
      </c>
      <c r="F993" s="27" t="s">
        <v>13</v>
      </c>
      <c r="G993" s="27"/>
      <c r="H993" s="27"/>
      <c r="I993" s="28" t="str">
        <f t="shared" si="30"/>
        <v/>
      </c>
      <c r="J993" s="27"/>
      <c r="K993" s="28" t="str">
        <f t="shared" si="31"/>
        <v/>
      </c>
      <c r="L993" s="27"/>
      <c r="M993" s="27"/>
      <c r="N993" s="27"/>
      <c r="O993" s="27"/>
      <c r="P993" s="27" t="s">
        <v>5085</v>
      </c>
      <c r="Q993" s="27" t="s">
        <v>5086</v>
      </c>
    </row>
    <row r="994" spans="1:17" ht="15" customHeight="1" x14ac:dyDescent="0.3">
      <c r="A994" s="27" t="s">
        <v>5087</v>
      </c>
      <c r="B994" s="27" t="s">
        <v>5088</v>
      </c>
      <c r="C994" s="27" t="s">
        <v>5089</v>
      </c>
      <c r="D994" s="27">
        <v>2023</v>
      </c>
      <c r="E994" s="27" t="s">
        <v>48</v>
      </c>
      <c r="F994" s="27" t="s">
        <v>15</v>
      </c>
      <c r="G994" s="27"/>
      <c r="H994" s="27"/>
      <c r="I994" s="28" t="str">
        <f t="shared" si="30"/>
        <v/>
      </c>
      <c r="J994" s="27"/>
      <c r="K994" s="28" t="str">
        <f t="shared" si="31"/>
        <v/>
      </c>
      <c r="L994" s="27"/>
      <c r="M994" s="27"/>
      <c r="N994" s="27"/>
      <c r="O994" s="27"/>
      <c r="P994" s="27" t="s">
        <v>5090</v>
      </c>
      <c r="Q994" s="27" t="s">
        <v>5091</v>
      </c>
    </row>
    <row r="995" spans="1:17" ht="15" customHeight="1" x14ac:dyDescent="0.3">
      <c r="A995" s="27" t="s">
        <v>5092</v>
      </c>
      <c r="B995" s="27" t="s">
        <v>5093</v>
      </c>
      <c r="C995" s="27" t="s">
        <v>5094</v>
      </c>
      <c r="D995" s="27">
        <v>2023</v>
      </c>
      <c r="E995" s="27" t="s">
        <v>48</v>
      </c>
      <c r="F995" s="27" t="s">
        <v>11</v>
      </c>
      <c r="G995" s="27"/>
      <c r="H995" s="27"/>
      <c r="I995" s="28" t="str">
        <f t="shared" si="30"/>
        <v/>
      </c>
      <c r="J995" s="27"/>
      <c r="K995" s="28" t="str">
        <f t="shared" si="31"/>
        <v/>
      </c>
      <c r="L995" s="27"/>
      <c r="M995" s="27"/>
      <c r="N995" s="27"/>
      <c r="O995" s="27"/>
      <c r="P995" s="27" t="s">
        <v>5095</v>
      </c>
      <c r="Q995" s="27" t="s">
        <v>5096</v>
      </c>
    </row>
    <row r="996" spans="1:17" ht="15" customHeight="1" x14ac:dyDescent="0.3">
      <c r="A996" s="27" t="s">
        <v>5097</v>
      </c>
      <c r="B996" s="27" t="s">
        <v>5098</v>
      </c>
      <c r="C996" s="27" t="s">
        <v>5099</v>
      </c>
      <c r="D996" s="27">
        <v>2026</v>
      </c>
      <c r="E996" s="27" t="s">
        <v>48</v>
      </c>
      <c r="F996" s="27" t="s">
        <v>13</v>
      </c>
      <c r="G996" s="27"/>
      <c r="H996" s="27"/>
      <c r="I996" s="28" t="str">
        <f t="shared" si="30"/>
        <v/>
      </c>
      <c r="J996" s="27"/>
      <c r="K996" s="28" t="str">
        <f t="shared" si="31"/>
        <v/>
      </c>
      <c r="L996" s="27"/>
      <c r="M996" s="27"/>
      <c r="N996" s="27"/>
      <c r="O996" s="27"/>
      <c r="P996" s="27" t="s">
        <v>5100</v>
      </c>
      <c r="Q996" s="27" t="s">
        <v>5101</v>
      </c>
    </row>
    <row r="997" spans="1:17" ht="15" customHeight="1" x14ac:dyDescent="0.3">
      <c r="A997" s="27" t="s">
        <v>5102</v>
      </c>
      <c r="B997" s="27" t="s">
        <v>5103</v>
      </c>
      <c r="C997" s="27" t="s">
        <v>5104</v>
      </c>
      <c r="D997" s="27">
        <v>2020</v>
      </c>
      <c r="E997" s="27" t="s">
        <v>48</v>
      </c>
      <c r="F997" s="27" t="s">
        <v>15</v>
      </c>
      <c r="G997" s="27"/>
      <c r="H997" s="27"/>
      <c r="I997" s="28" t="str">
        <f t="shared" si="30"/>
        <v/>
      </c>
      <c r="J997" s="27"/>
      <c r="K997" s="28" t="str">
        <f t="shared" si="31"/>
        <v/>
      </c>
      <c r="L997" s="27"/>
      <c r="M997" s="27"/>
      <c r="N997" s="27"/>
      <c r="O997" s="27"/>
      <c r="P997" s="27" t="s">
        <v>238</v>
      </c>
      <c r="Q997" s="27" t="s">
        <v>5105</v>
      </c>
    </row>
    <row r="998" spans="1:17" ht="15" customHeight="1" x14ac:dyDescent="0.3">
      <c r="A998" s="27" t="s">
        <v>5106</v>
      </c>
      <c r="B998" s="27" t="s">
        <v>5107</v>
      </c>
      <c r="C998" s="27" t="s">
        <v>5108</v>
      </c>
      <c r="D998" s="27">
        <v>2026</v>
      </c>
      <c r="E998" s="27" t="s">
        <v>48</v>
      </c>
      <c r="F998" s="27" t="s">
        <v>11</v>
      </c>
      <c r="G998" s="27"/>
      <c r="H998" s="27"/>
      <c r="I998" s="28" t="str">
        <f t="shared" si="30"/>
        <v/>
      </c>
      <c r="J998" s="27"/>
      <c r="K998" s="28" t="str">
        <f t="shared" si="31"/>
        <v/>
      </c>
      <c r="L998" s="27"/>
      <c r="M998" s="27"/>
      <c r="N998" s="27"/>
      <c r="O998" s="27"/>
      <c r="P998" s="27" t="s">
        <v>5109</v>
      </c>
      <c r="Q998" s="27" t="s">
        <v>5110</v>
      </c>
    </row>
    <row r="999" spans="1:17" ht="15" customHeight="1" x14ac:dyDescent="0.3">
      <c r="A999" s="27" t="s">
        <v>5111</v>
      </c>
      <c r="B999" s="27" t="s">
        <v>5112</v>
      </c>
      <c r="C999" s="27" t="s">
        <v>5113</v>
      </c>
      <c r="D999" s="27">
        <v>2025</v>
      </c>
      <c r="E999" s="27" t="s">
        <v>48</v>
      </c>
      <c r="F999" s="27" t="s">
        <v>13</v>
      </c>
      <c r="G999" s="27"/>
      <c r="H999" s="27"/>
      <c r="I999" s="28" t="str">
        <f t="shared" si="30"/>
        <v/>
      </c>
      <c r="J999" s="27"/>
      <c r="K999" s="28" t="str">
        <f t="shared" si="31"/>
        <v/>
      </c>
      <c r="L999" s="27"/>
      <c r="M999" s="27"/>
      <c r="N999" s="27"/>
      <c r="O999" s="27"/>
      <c r="P999" s="27" t="s">
        <v>5114</v>
      </c>
      <c r="Q999" s="27" t="s">
        <v>5115</v>
      </c>
    </row>
    <row r="1000" spans="1:17" ht="15" customHeight="1" x14ac:dyDescent="0.3">
      <c r="A1000" s="27" t="s">
        <v>5116</v>
      </c>
      <c r="B1000" s="27" t="s">
        <v>5117</v>
      </c>
      <c r="C1000" s="27" t="s">
        <v>5118</v>
      </c>
      <c r="D1000" s="27">
        <v>2026</v>
      </c>
      <c r="E1000" s="27" t="s">
        <v>48</v>
      </c>
      <c r="F1000" s="27" t="s">
        <v>15</v>
      </c>
      <c r="G1000" s="27"/>
      <c r="H1000" s="27"/>
      <c r="I1000" s="28" t="str">
        <f t="shared" si="30"/>
        <v/>
      </c>
      <c r="J1000" s="27"/>
      <c r="K1000" s="28" t="str">
        <f t="shared" si="31"/>
        <v/>
      </c>
      <c r="L1000" s="27"/>
      <c r="M1000" s="27"/>
      <c r="N1000" s="27"/>
      <c r="O1000" s="27"/>
      <c r="P1000" s="27" t="s">
        <v>5119</v>
      </c>
      <c r="Q1000" s="27" t="s">
        <v>5120</v>
      </c>
    </row>
    <row r="1001" spans="1:17" ht="15" customHeight="1" x14ac:dyDescent="0.3">
      <c r="A1001" s="27" t="s">
        <v>5121</v>
      </c>
      <c r="B1001" s="27" t="s">
        <v>5122</v>
      </c>
      <c r="C1001" s="27" t="s">
        <v>5123</v>
      </c>
      <c r="D1001" s="27">
        <v>2019</v>
      </c>
      <c r="E1001" s="27" t="s">
        <v>48</v>
      </c>
      <c r="F1001" s="27" t="s">
        <v>11</v>
      </c>
      <c r="G1001" s="27"/>
      <c r="H1001" s="27"/>
      <c r="I1001" s="28" t="str">
        <f t="shared" si="30"/>
        <v/>
      </c>
      <c r="J1001" s="27"/>
      <c r="K1001" s="28" t="str">
        <f t="shared" si="31"/>
        <v/>
      </c>
      <c r="L1001" s="27"/>
      <c r="M1001" s="27"/>
      <c r="N1001" s="27"/>
      <c r="O1001" s="27"/>
      <c r="P1001" s="27" t="s">
        <v>5124</v>
      </c>
      <c r="Q1001" s="27" t="s">
        <v>5125</v>
      </c>
    </row>
    <row r="1002" spans="1:17" ht="15" customHeight="1" x14ac:dyDescent="0.3">
      <c r="A1002" s="27" t="s">
        <v>5126</v>
      </c>
      <c r="B1002" s="27" t="s">
        <v>5127</v>
      </c>
      <c r="C1002" s="27" t="s">
        <v>5128</v>
      </c>
      <c r="D1002" s="27">
        <v>2026</v>
      </c>
      <c r="E1002" s="27" t="s">
        <v>142</v>
      </c>
      <c r="F1002" s="27" t="s">
        <v>13</v>
      </c>
      <c r="G1002" s="27"/>
      <c r="H1002" s="27"/>
      <c r="I1002" s="28" t="str">
        <f t="shared" si="30"/>
        <v/>
      </c>
      <c r="J1002" s="27"/>
      <c r="K1002" s="28" t="str">
        <f t="shared" si="31"/>
        <v/>
      </c>
      <c r="L1002" s="27"/>
      <c r="M1002" s="27"/>
      <c r="N1002" s="27"/>
      <c r="O1002" s="27"/>
      <c r="P1002" s="27" t="s">
        <v>5129</v>
      </c>
      <c r="Q1002" s="27" t="s">
        <v>5130</v>
      </c>
    </row>
    <row r="1003" spans="1:17" ht="15" customHeight="1" x14ac:dyDescent="0.3">
      <c r="A1003" s="27" t="s">
        <v>5131</v>
      </c>
      <c r="B1003" s="27" t="s">
        <v>5132</v>
      </c>
      <c r="C1003" s="27" t="s">
        <v>5133</v>
      </c>
      <c r="D1003" s="27">
        <v>2026</v>
      </c>
      <c r="E1003" s="27" t="s">
        <v>48</v>
      </c>
      <c r="F1003" s="27" t="s">
        <v>15</v>
      </c>
      <c r="G1003" s="27"/>
      <c r="H1003" s="27"/>
      <c r="I1003" s="28" t="str">
        <f t="shared" si="30"/>
        <v/>
      </c>
      <c r="J1003" s="27"/>
      <c r="K1003" s="28" t="str">
        <f t="shared" si="31"/>
        <v/>
      </c>
      <c r="L1003" s="27"/>
      <c r="M1003" s="27"/>
      <c r="N1003" s="27"/>
      <c r="O1003" s="27"/>
      <c r="P1003" s="27" t="s">
        <v>5134</v>
      </c>
      <c r="Q1003" s="27" t="s">
        <v>5135</v>
      </c>
    </row>
    <row r="1004" spans="1:17" ht="15" customHeight="1" x14ac:dyDescent="0.3">
      <c r="A1004" s="27" t="s">
        <v>5136</v>
      </c>
      <c r="B1004" s="27" t="s">
        <v>5137</v>
      </c>
      <c r="C1004" s="27" t="s">
        <v>5138</v>
      </c>
      <c r="D1004" s="27">
        <v>2026</v>
      </c>
      <c r="E1004" s="27" t="s">
        <v>48</v>
      </c>
      <c r="F1004" s="27" t="s">
        <v>11</v>
      </c>
      <c r="G1004" s="27"/>
      <c r="H1004" s="27"/>
      <c r="I1004" s="28" t="str">
        <f t="shared" si="30"/>
        <v/>
      </c>
      <c r="J1004" s="27"/>
      <c r="K1004" s="28" t="str">
        <f t="shared" si="31"/>
        <v/>
      </c>
      <c r="L1004" s="27"/>
      <c r="M1004" s="27"/>
      <c r="N1004" s="27"/>
      <c r="O1004" s="27"/>
      <c r="P1004" s="27" t="s">
        <v>5139</v>
      </c>
      <c r="Q1004" s="27" t="s">
        <v>5140</v>
      </c>
    </row>
    <row r="1005" spans="1:17" ht="15" customHeight="1" x14ac:dyDescent="0.3">
      <c r="A1005" s="27" t="s">
        <v>5141</v>
      </c>
      <c r="B1005" s="27" t="s">
        <v>5142</v>
      </c>
      <c r="C1005" s="27" t="s">
        <v>5143</v>
      </c>
      <c r="D1005" s="27">
        <v>2025</v>
      </c>
      <c r="E1005" s="27" t="s">
        <v>48</v>
      </c>
      <c r="F1005" s="27" t="s">
        <v>13</v>
      </c>
      <c r="G1005" s="27"/>
      <c r="H1005" s="27"/>
      <c r="I1005" s="28" t="str">
        <f t="shared" si="30"/>
        <v/>
      </c>
      <c r="J1005" s="27"/>
      <c r="K1005" s="28" t="str">
        <f t="shared" si="31"/>
        <v/>
      </c>
      <c r="L1005" s="27"/>
      <c r="M1005" s="27"/>
      <c r="N1005" s="27"/>
      <c r="O1005" s="27"/>
      <c r="P1005" s="27" t="s">
        <v>5144</v>
      </c>
      <c r="Q1005" s="27" t="s">
        <v>5145</v>
      </c>
    </row>
    <row r="1006" spans="1:17" ht="15" customHeight="1" x14ac:dyDescent="0.3">
      <c r="A1006" s="27" t="s">
        <v>5146</v>
      </c>
      <c r="B1006" s="27" t="s">
        <v>5147</v>
      </c>
      <c r="C1006" s="27" t="s">
        <v>5148</v>
      </c>
      <c r="D1006" s="27">
        <v>2018</v>
      </c>
      <c r="E1006" s="27" t="s">
        <v>48</v>
      </c>
      <c r="F1006" s="27" t="s">
        <v>15</v>
      </c>
      <c r="G1006" s="27"/>
      <c r="H1006" s="27"/>
      <c r="I1006" s="28" t="str">
        <f t="shared" si="30"/>
        <v/>
      </c>
      <c r="J1006" s="27"/>
      <c r="K1006" s="28" t="str">
        <f t="shared" si="31"/>
        <v/>
      </c>
      <c r="L1006" s="27"/>
      <c r="M1006" s="27"/>
      <c r="N1006" s="27"/>
      <c r="O1006" s="27"/>
      <c r="P1006" s="27" t="s">
        <v>5149</v>
      </c>
      <c r="Q1006" s="27" t="s">
        <v>5150</v>
      </c>
    </row>
    <row r="1007" spans="1:17" ht="15" customHeight="1" x14ac:dyDescent="0.3">
      <c r="A1007" s="27" t="s">
        <v>5151</v>
      </c>
      <c r="B1007" s="27" t="s">
        <v>5152</v>
      </c>
      <c r="C1007" s="27" t="s">
        <v>5153</v>
      </c>
      <c r="D1007" s="27">
        <v>2025</v>
      </c>
      <c r="E1007" s="27" t="s">
        <v>48</v>
      </c>
      <c r="F1007" s="27" t="s">
        <v>11</v>
      </c>
      <c r="G1007" s="27"/>
      <c r="H1007" s="27"/>
      <c r="I1007" s="28" t="str">
        <f t="shared" si="30"/>
        <v/>
      </c>
      <c r="J1007" s="27"/>
      <c r="K1007" s="28" t="str">
        <f t="shared" si="31"/>
        <v/>
      </c>
      <c r="L1007" s="27"/>
      <c r="M1007" s="27"/>
      <c r="N1007" s="27"/>
      <c r="O1007" s="27"/>
      <c r="P1007" s="27" t="s">
        <v>5154</v>
      </c>
      <c r="Q1007" s="27" t="s">
        <v>5155</v>
      </c>
    </row>
    <row r="1008" spans="1:17" ht="15" customHeight="1" x14ac:dyDescent="0.3">
      <c r="A1008" s="27" t="s">
        <v>5156</v>
      </c>
      <c r="B1008" s="27" t="s">
        <v>5157</v>
      </c>
      <c r="C1008" s="27" t="s">
        <v>5158</v>
      </c>
      <c r="D1008" s="27">
        <v>2024</v>
      </c>
      <c r="E1008" s="27" t="s">
        <v>48</v>
      </c>
      <c r="F1008" s="27" t="s">
        <v>13</v>
      </c>
      <c r="G1008" s="27"/>
      <c r="H1008" s="27"/>
      <c r="I1008" s="28" t="str">
        <f t="shared" si="30"/>
        <v/>
      </c>
      <c r="J1008" s="27"/>
      <c r="K1008" s="28" t="str">
        <f t="shared" si="31"/>
        <v/>
      </c>
      <c r="L1008" s="27"/>
      <c r="M1008" s="27"/>
      <c r="N1008" s="27"/>
      <c r="O1008" s="27"/>
      <c r="P1008" s="27" t="s">
        <v>5159</v>
      </c>
      <c r="Q1008" s="27" t="s">
        <v>5160</v>
      </c>
    </row>
    <row r="1009" spans="1:17" ht="15" customHeight="1" x14ac:dyDescent="0.3">
      <c r="A1009" s="27" t="s">
        <v>5161</v>
      </c>
      <c r="B1009" s="27" t="s">
        <v>5162</v>
      </c>
      <c r="C1009" s="27" t="s">
        <v>5163</v>
      </c>
      <c r="D1009" s="27">
        <v>2026</v>
      </c>
      <c r="E1009" s="27" t="s">
        <v>48</v>
      </c>
      <c r="F1009" s="27" t="s">
        <v>15</v>
      </c>
      <c r="G1009" s="27"/>
      <c r="H1009" s="27"/>
      <c r="I1009" s="28" t="str">
        <f t="shared" si="30"/>
        <v/>
      </c>
      <c r="J1009" s="27"/>
      <c r="K1009" s="28" t="str">
        <f t="shared" si="31"/>
        <v/>
      </c>
      <c r="L1009" s="27"/>
      <c r="M1009" s="27"/>
      <c r="N1009" s="27"/>
      <c r="O1009" s="27"/>
      <c r="P1009" s="27" t="s">
        <v>5164</v>
      </c>
      <c r="Q1009" s="27" t="s">
        <v>5165</v>
      </c>
    </row>
    <row r="1010" spans="1:17" ht="15" customHeight="1" x14ac:dyDescent="0.3">
      <c r="A1010" s="27" t="s">
        <v>5166</v>
      </c>
      <c r="B1010" s="27" t="s">
        <v>5167</v>
      </c>
      <c r="C1010" s="27" t="s">
        <v>5168</v>
      </c>
      <c r="D1010" s="27">
        <v>2024</v>
      </c>
      <c r="E1010" s="27" t="s">
        <v>48</v>
      </c>
      <c r="F1010" s="27" t="s">
        <v>11</v>
      </c>
      <c r="G1010" s="27"/>
      <c r="H1010" s="27"/>
      <c r="I1010" s="28" t="str">
        <f t="shared" si="30"/>
        <v/>
      </c>
      <c r="J1010" s="27"/>
      <c r="K1010" s="28" t="str">
        <f t="shared" si="31"/>
        <v/>
      </c>
      <c r="L1010" s="27"/>
      <c r="M1010" s="27"/>
      <c r="N1010" s="27"/>
      <c r="O1010" s="27"/>
      <c r="P1010" s="27" t="s">
        <v>5169</v>
      </c>
      <c r="Q1010" s="27" t="s">
        <v>5170</v>
      </c>
    </row>
    <row r="1011" spans="1:17" ht="15" customHeight="1" x14ac:dyDescent="0.3">
      <c r="A1011" s="27" t="s">
        <v>5171</v>
      </c>
      <c r="B1011" s="27" t="s">
        <v>5172</v>
      </c>
      <c r="C1011" s="27" t="s">
        <v>5173</v>
      </c>
      <c r="D1011" s="27">
        <v>2026</v>
      </c>
      <c r="E1011" s="27" t="s">
        <v>48</v>
      </c>
      <c r="F1011" s="27" t="s">
        <v>13</v>
      </c>
      <c r="G1011" s="27"/>
      <c r="H1011" s="27"/>
      <c r="I1011" s="28" t="str">
        <f t="shared" si="30"/>
        <v/>
      </c>
      <c r="J1011" s="27"/>
      <c r="K1011" s="28" t="str">
        <f t="shared" si="31"/>
        <v/>
      </c>
      <c r="L1011" s="27"/>
      <c r="M1011" s="27"/>
      <c r="N1011" s="27"/>
      <c r="O1011" s="27"/>
      <c r="P1011" s="27" t="s">
        <v>5174</v>
      </c>
      <c r="Q1011" s="27" t="s">
        <v>5175</v>
      </c>
    </row>
    <row r="1012" spans="1:17" ht="15" customHeight="1" x14ac:dyDescent="0.3">
      <c r="A1012" s="27" t="s">
        <v>5176</v>
      </c>
      <c r="B1012" s="27" t="s">
        <v>5177</v>
      </c>
      <c r="C1012" s="27" t="s">
        <v>5178</v>
      </c>
      <c r="D1012" s="27">
        <v>2023</v>
      </c>
      <c r="E1012" s="27" t="s">
        <v>48</v>
      </c>
      <c r="F1012" s="27" t="s">
        <v>15</v>
      </c>
      <c r="G1012" s="27"/>
      <c r="H1012" s="27"/>
      <c r="I1012" s="28" t="str">
        <f t="shared" si="30"/>
        <v/>
      </c>
      <c r="J1012" s="27"/>
      <c r="K1012" s="28" t="str">
        <f t="shared" si="31"/>
        <v/>
      </c>
      <c r="L1012" s="27"/>
      <c r="M1012" s="27"/>
      <c r="N1012" s="27"/>
      <c r="O1012" s="27"/>
      <c r="P1012" s="27" t="s">
        <v>5179</v>
      </c>
      <c r="Q1012" s="27" t="s">
        <v>5180</v>
      </c>
    </row>
    <row r="1013" spans="1:17" ht="15" customHeight="1" x14ac:dyDescent="0.3">
      <c r="A1013" s="27" t="s">
        <v>5181</v>
      </c>
      <c r="B1013" s="27" t="s">
        <v>5182</v>
      </c>
      <c r="C1013" s="27" t="s">
        <v>5183</v>
      </c>
      <c r="D1013" s="27">
        <v>2026</v>
      </c>
      <c r="E1013" s="27" t="s">
        <v>48</v>
      </c>
      <c r="F1013" s="27" t="s">
        <v>11</v>
      </c>
      <c r="G1013" s="27"/>
      <c r="H1013" s="27"/>
      <c r="I1013" s="28" t="str">
        <f t="shared" si="30"/>
        <v/>
      </c>
      <c r="J1013" s="27"/>
      <c r="K1013" s="28" t="str">
        <f t="shared" si="31"/>
        <v/>
      </c>
      <c r="L1013" s="27"/>
      <c r="M1013" s="27"/>
      <c r="N1013" s="27"/>
      <c r="O1013" s="27"/>
      <c r="P1013" s="27" t="s">
        <v>5184</v>
      </c>
      <c r="Q1013" s="27" t="s">
        <v>5185</v>
      </c>
    </row>
    <row r="1014" spans="1:17" ht="15" customHeight="1" x14ac:dyDescent="0.3">
      <c r="A1014" s="27" t="s">
        <v>5186</v>
      </c>
      <c r="B1014" s="27" t="s">
        <v>5187</v>
      </c>
      <c r="C1014" s="27" t="s">
        <v>5188</v>
      </c>
      <c r="D1014" s="27">
        <v>2024</v>
      </c>
      <c r="E1014" s="27" t="s">
        <v>48</v>
      </c>
      <c r="F1014" s="27" t="s">
        <v>13</v>
      </c>
      <c r="G1014" s="27"/>
      <c r="H1014" s="27"/>
      <c r="I1014" s="28" t="str">
        <f t="shared" si="30"/>
        <v/>
      </c>
      <c r="J1014" s="27"/>
      <c r="K1014" s="28" t="str">
        <f t="shared" si="31"/>
        <v/>
      </c>
      <c r="L1014" s="27"/>
      <c r="M1014" s="27"/>
      <c r="N1014" s="27"/>
      <c r="O1014" s="27"/>
      <c r="P1014" s="27" t="s">
        <v>5189</v>
      </c>
      <c r="Q1014" s="27" t="s">
        <v>5190</v>
      </c>
    </row>
    <row r="1015" spans="1:17" ht="15" customHeight="1" x14ac:dyDescent="0.3">
      <c r="A1015" s="27" t="s">
        <v>5191</v>
      </c>
      <c r="B1015" s="27" t="s">
        <v>5192</v>
      </c>
      <c r="C1015" s="27" t="s">
        <v>5193</v>
      </c>
      <c r="D1015" s="27">
        <v>2022</v>
      </c>
      <c r="E1015" s="27" t="s">
        <v>48</v>
      </c>
      <c r="F1015" s="27" t="s">
        <v>15</v>
      </c>
      <c r="G1015" s="27"/>
      <c r="H1015" s="27"/>
      <c r="I1015" s="28" t="str">
        <f t="shared" si="30"/>
        <v/>
      </c>
      <c r="J1015" s="27"/>
      <c r="K1015" s="28" t="str">
        <f t="shared" si="31"/>
        <v/>
      </c>
      <c r="L1015" s="27"/>
      <c r="M1015" s="27"/>
      <c r="N1015" s="27"/>
      <c r="O1015" s="27"/>
      <c r="P1015" s="27" t="s">
        <v>5194</v>
      </c>
      <c r="Q1015" s="27" t="s">
        <v>5195</v>
      </c>
    </row>
    <row r="1016" spans="1:17" ht="15" customHeight="1" x14ac:dyDescent="0.3">
      <c r="A1016" s="27" t="s">
        <v>5196</v>
      </c>
      <c r="B1016" s="27" t="s">
        <v>5197</v>
      </c>
      <c r="C1016" s="27" t="s">
        <v>5198</v>
      </c>
      <c r="D1016" s="27">
        <v>2024</v>
      </c>
      <c r="E1016" s="27" t="s">
        <v>48</v>
      </c>
      <c r="F1016" s="27" t="s">
        <v>11</v>
      </c>
      <c r="G1016" s="27"/>
      <c r="H1016" s="27"/>
      <c r="I1016" s="28" t="str">
        <f t="shared" si="30"/>
        <v/>
      </c>
      <c r="J1016" s="27"/>
      <c r="K1016" s="28" t="str">
        <f t="shared" si="31"/>
        <v/>
      </c>
      <c r="L1016" s="27"/>
      <c r="M1016" s="27"/>
      <c r="N1016" s="27"/>
      <c r="O1016" s="27"/>
      <c r="P1016" s="27" t="s">
        <v>5199</v>
      </c>
      <c r="Q1016" s="27" t="s">
        <v>5200</v>
      </c>
    </row>
    <row r="1017" spans="1:17" ht="15" customHeight="1" x14ac:dyDescent="0.3">
      <c r="A1017" s="27" t="s">
        <v>5201</v>
      </c>
      <c r="B1017" s="27" t="s">
        <v>5202</v>
      </c>
      <c r="C1017" s="27" t="s">
        <v>5203</v>
      </c>
      <c r="D1017" s="27">
        <v>2025</v>
      </c>
      <c r="E1017" s="27" t="s">
        <v>48</v>
      </c>
      <c r="F1017" s="27" t="s">
        <v>13</v>
      </c>
      <c r="G1017" s="27"/>
      <c r="H1017" s="27"/>
      <c r="I1017" s="28" t="str">
        <f t="shared" si="30"/>
        <v/>
      </c>
      <c r="J1017" s="27"/>
      <c r="K1017" s="28" t="str">
        <f t="shared" si="31"/>
        <v/>
      </c>
      <c r="L1017" s="27"/>
      <c r="M1017" s="27"/>
      <c r="N1017" s="27"/>
      <c r="O1017" s="27"/>
      <c r="P1017" s="27" t="s">
        <v>5204</v>
      </c>
      <c r="Q1017" s="27" t="s">
        <v>5205</v>
      </c>
    </row>
    <row r="1018" spans="1:17" ht="15" customHeight="1" x14ac:dyDescent="0.3">
      <c r="A1018" s="27" t="s">
        <v>5206</v>
      </c>
      <c r="B1018" s="27" t="s">
        <v>5207</v>
      </c>
      <c r="C1018" s="27" t="s">
        <v>5208</v>
      </c>
      <c r="D1018" s="27">
        <v>2023</v>
      </c>
      <c r="E1018" s="27" t="s">
        <v>48</v>
      </c>
      <c r="F1018" s="27" t="s">
        <v>15</v>
      </c>
      <c r="G1018" s="27"/>
      <c r="H1018" s="27"/>
      <c r="I1018" s="28" t="str">
        <f t="shared" si="30"/>
        <v/>
      </c>
      <c r="J1018" s="27"/>
      <c r="K1018" s="28" t="str">
        <f t="shared" si="31"/>
        <v/>
      </c>
      <c r="L1018" s="27"/>
      <c r="M1018" s="27"/>
      <c r="N1018" s="27"/>
      <c r="O1018" s="27"/>
      <c r="P1018" s="27" t="s">
        <v>5209</v>
      </c>
      <c r="Q1018" s="27" t="s">
        <v>5210</v>
      </c>
    </row>
    <row r="1019" spans="1:17" ht="15" customHeight="1" x14ac:dyDescent="0.3">
      <c r="A1019" s="27" t="s">
        <v>5211</v>
      </c>
      <c r="B1019" s="27" t="s">
        <v>5212</v>
      </c>
      <c r="C1019" s="27" t="s">
        <v>5213</v>
      </c>
      <c r="D1019" s="27">
        <v>2018</v>
      </c>
      <c r="E1019" s="27" t="s">
        <v>48</v>
      </c>
      <c r="F1019" s="27" t="s">
        <v>11</v>
      </c>
      <c r="G1019" s="27"/>
      <c r="H1019" s="27"/>
      <c r="I1019" s="28" t="str">
        <f t="shared" si="30"/>
        <v/>
      </c>
      <c r="J1019" s="27"/>
      <c r="K1019" s="28" t="str">
        <f t="shared" si="31"/>
        <v/>
      </c>
      <c r="L1019" s="27"/>
      <c r="M1019" s="27"/>
      <c r="N1019" s="27"/>
      <c r="O1019" s="27"/>
      <c r="P1019" s="27" t="s">
        <v>5214</v>
      </c>
      <c r="Q1019" s="27" t="s">
        <v>5215</v>
      </c>
    </row>
    <row r="1020" spans="1:17" ht="15" customHeight="1" x14ac:dyDescent="0.3">
      <c r="A1020" s="27" t="s">
        <v>5216</v>
      </c>
      <c r="B1020" s="27" t="s">
        <v>5217</v>
      </c>
      <c r="C1020" s="27" t="s">
        <v>5218</v>
      </c>
      <c r="D1020" s="27">
        <v>2025</v>
      </c>
      <c r="E1020" s="27" t="s">
        <v>48</v>
      </c>
      <c r="F1020" s="27" t="s">
        <v>13</v>
      </c>
      <c r="G1020" s="27"/>
      <c r="H1020" s="27"/>
      <c r="I1020" s="28" t="str">
        <f t="shared" si="30"/>
        <v/>
      </c>
      <c r="J1020" s="27"/>
      <c r="K1020" s="28" t="str">
        <f t="shared" si="31"/>
        <v/>
      </c>
      <c r="L1020" s="27"/>
      <c r="M1020" s="27"/>
      <c r="N1020" s="27"/>
      <c r="O1020" s="27"/>
      <c r="P1020" s="27" t="s">
        <v>5219</v>
      </c>
      <c r="Q1020" s="27" t="s">
        <v>5220</v>
      </c>
    </row>
    <row r="1021" spans="1:17" ht="15" customHeight="1" x14ac:dyDescent="0.3">
      <c r="A1021" s="27" t="s">
        <v>5221</v>
      </c>
      <c r="B1021" s="27" t="s">
        <v>5222</v>
      </c>
      <c r="C1021" s="27" t="s">
        <v>5223</v>
      </c>
      <c r="D1021" s="27">
        <v>2025</v>
      </c>
      <c r="E1021" s="27" t="s">
        <v>48</v>
      </c>
      <c r="F1021" s="27" t="s">
        <v>15</v>
      </c>
      <c r="G1021" s="27"/>
      <c r="H1021" s="27"/>
      <c r="I1021" s="28" t="str">
        <f t="shared" si="30"/>
        <v/>
      </c>
      <c r="J1021" s="27"/>
      <c r="K1021" s="28" t="str">
        <f t="shared" si="31"/>
        <v/>
      </c>
      <c r="L1021" s="27"/>
      <c r="M1021" s="27"/>
      <c r="N1021" s="27"/>
      <c r="O1021" s="27"/>
      <c r="P1021" s="27" t="s">
        <v>5224</v>
      </c>
      <c r="Q1021" s="27" t="s">
        <v>5225</v>
      </c>
    </row>
    <row r="1022" spans="1:17" ht="15" customHeight="1" x14ac:dyDescent="0.3">
      <c r="A1022" s="27" t="s">
        <v>5226</v>
      </c>
      <c r="B1022" s="27" t="s">
        <v>5227</v>
      </c>
      <c r="C1022" s="27" t="s">
        <v>5228</v>
      </c>
      <c r="D1022" s="27">
        <v>2019</v>
      </c>
      <c r="E1022" s="27" t="s">
        <v>48</v>
      </c>
      <c r="F1022" s="27" t="s">
        <v>11</v>
      </c>
      <c r="G1022" s="27"/>
      <c r="H1022" s="27"/>
      <c r="I1022" s="28" t="str">
        <f t="shared" si="30"/>
        <v/>
      </c>
      <c r="J1022" s="27"/>
      <c r="K1022" s="28" t="str">
        <f t="shared" si="31"/>
        <v/>
      </c>
      <c r="L1022" s="27"/>
      <c r="M1022" s="27"/>
      <c r="N1022" s="27"/>
      <c r="O1022" s="27"/>
      <c r="P1022" s="27" t="s">
        <v>5229</v>
      </c>
      <c r="Q1022" s="27" t="s">
        <v>5230</v>
      </c>
    </row>
    <row r="1023" spans="1:17" ht="15" customHeight="1" x14ac:dyDescent="0.3">
      <c r="A1023" s="27" t="s">
        <v>5231</v>
      </c>
      <c r="B1023" s="27" t="s">
        <v>5232</v>
      </c>
      <c r="C1023" s="27" t="s">
        <v>5233</v>
      </c>
      <c r="D1023" s="27">
        <v>2023</v>
      </c>
      <c r="E1023" s="27" t="s">
        <v>48</v>
      </c>
      <c r="F1023" s="27" t="s">
        <v>13</v>
      </c>
      <c r="G1023" s="27"/>
      <c r="H1023" s="27"/>
      <c r="I1023" s="28" t="str">
        <f t="shared" si="30"/>
        <v/>
      </c>
      <c r="J1023" s="27"/>
      <c r="K1023" s="28" t="str">
        <f t="shared" si="31"/>
        <v/>
      </c>
      <c r="L1023" s="27"/>
      <c r="M1023" s="27"/>
      <c r="N1023" s="27"/>
      <c r="O1023" s="27"/>
      <c r="P1023" s="27" t="s">
        <v>5234</v>
      </c>
      <c r="Q1023" s="27" t="s">
        <v>5235</v>
      </c>
    </row>
    <row r="1024" spans="1:17" ht="15" customHeight="1" x14ac:dyDescent="0.3">
      <c r="A1024" s="27" t="s">
        <v>5236</v>
      </c>
      <c r="B1024" s="27" t="s">
        <v>5237</v>
      </c>
      <c r="C1024" s="27" t="s">
        <v>5238</v>
      </c>
      <c r="D1024" s="27">
        <v>2026</v>
      </c>
      <c r="E1024" s="27" t="s">
        <v>48</v>
      </c>
      <c r="F1024" s="27" t="s">
        <v>15</v>
      </c>
      <c r="G1024" s="27"/>
      <c r="H1024" s="27"/>
      <c r="I1024" s="28" t="str">
        <f t="shared" si="30"/>
        <v/>
      </c>
      <c r="J1024" s="27"/>
      <c r="K1024" s="28" t="str">
        <f t="shared" si="31"/>
        <v/>
      </c>
      <c r="L1024" s="27"/>
      <c r="M1024" s="27"/>
      <c r="N1024" s="27"/>
      <c r="O1024" s="27"/>
      <c r="P1024" s="27" t="s">
        <v>5239</v>
      </c>
      <c r="Q1024" s="27" t="s">
        <v>5240</v>
      </c>
    </row>
    <row r="1025" spans="1:17" ht="15" customHeight="1" x14ac:dyDescent="0.3">
      <c r="A1025" s="27" t="s">
        <v>5241</v>
      </c>
      <c r="B1025" s="27" t="s">
        <v>5242</v>
      </c>
      <c r="C1025" s="27" t="s">
        <v>5243</v>
      </c>
      <c r="D1025" s="27">
        <v>2021</v>
      </c>
      <c r="E1025" s="27" t="s">
        <v>48</v>
      </c>
      <c r="F1025" s="27" t="s">
        <v>11</v>
      </c>
      <c r="G1025" s="27"/>
      <c r="H1025" s="27"/>
      <c r="I1025" s="28" t="str">
        <f t="shared" si="30"/>
        <v/>
      </c>
      <c r="J1025" s="27"/>
      <c r="K1025" s="28" t="str">
        <f t="shared" si="31"/>
        <v/>
      </c>
      <c r="L1025" s="27"/>
      <c r="M1025" s="27"/>
      <c r="N1025" s="27"/>
      <c r="O1025" s="27"/>
      <c r="P1025" s="27" t="s">
        <v>5244</v>
      </c>
      <c r="Q1025" s="27" t="s">
        <v>5245</v>
      </c>
    </row>
    <row r="1026" spans="1:17" ht="15" customHeight="1" x14ac:dyDescent="0.3">
      <c r="A1026" s="27" t="s">
        <v>5246</v>
      </c>
      <c r="B1026" s="27" t="s">
        <v>5247</v>
      </c>
      <c r="C1026" s="27" t="s">
        <v>5248</v>
      </c>
      <c r="D1026" s="27">
        <v>2024</v>
      </c>
      <c r="E1026" s="27" t="s">
        <v>48</v>
      </c>
      <c r="F1026" s="27" t="s">
        <v>13</v>
      </c>
      <c r="G1026" s="27"/>
      <c r="H1026" s="27"/>
      <c r="I1026" s="28" t="str">
        <f t="shared" ref="I1026:I1089" si="32">IF(OR(G1026="",H1026=""),"",IF(G1026=H1026,"Yes","No"))</f>
        <v/>
      </c>
      <c r="J1026" s="27"/>
      <c r="K1026" s="28" t="str">
        <f t="shared" ref="K1026:K1089" si="33">IF(OR(E1026="Snowballing",E1026="Other sources"),"n/a",IF(AND(G1026="",H1026=""),"",IF(OR(G1026="",H1026=""),"Waiting",IF(G1026=H1026,G1026,IF(AND(G1026&lt;&gt;"Exclude",H1026&lt;&gt;"Exclude"),"Maybe",IF(J1026&lt;&gt;"",J1026,"Pending"))))))</f>
        <v/>
      </c>
      <c r="L1026" s="27"/>
      <c r="M1026" s="27"/>
      <c r="N1026" s="27"/>
      <c r="O1026" s="27"/>
      <c r="P1026" s="27" t="s">
        <v>5249</v>
      </c>
      <c r="Q1026" s="27" t="s">
        <v>5250</v>
      </c>
    </row>
    <row r="1027" spans="1:17" ht="15" customHeight="1" x14ac:dyDescent="0.3">
      <c r="A1027" s="27" t="s">
        <v>5251</v>
      </c>
      <c r="B1027" s="27" t="s">
        <v>5252</v>
      </c>
      <c r="C1027" s="27" t="s">
        <v>5253</v>
      </c>
      <c r="D1027" s="27">
        <v>2021</v>
      </c>
      <c r="E1027" s="27" t="s">
        <v>48</v>
      </c>
      <c r="F1027" s="27" t="s">
        <v>15</v>
      </c>
      <c r="G1027" s="27"/>
      <c r="H1027" s="27"/>
      <c r="I1027" s="28" t="str">
        <f t="shared" si="32"/>
        <v/>
      </c>
      <c r="J1027" s="27"/>
      <c r="K1027" s="28" t="str">
        <f t="shared" si="33"/>
        <v/>
      </c>
      <c r="L1027" s="27"/>
      <c r="M1027" s="27"/>
      <c r="N1027" s="27"/>
      <c r="O1027" s="27"/>
      <c r="P1027" s="27" t="s">
        <v>5254</v>
      </c>
      <c r="Q1027" s="27" t="s">
        <v>5255</v>
      </c>
    </row>
    <row r="1028" spans="1:17" ht="15" customHeight="1" x14ac:dyDescent="0.3">
      <c r="A1028" s="27" t="s">
        <v>5256</v>
      </c>
      <c r="B1028" s="27" t="s">
        <v>5257</v>
      </c>
      <c r="C1028" s="27" t="s">
        <v>5258</v>
      </c>
      <c r="D1028" s="27">
        <v>2025</v>
      </c>
      <c r="E1028" s="27" t="s">
        <v>48</v>
      </c>
      <c r="F1028" s="27" t="s">
        <v>11</v>
      </c>
      <c r="G1028" s="27"/>
      <c r="H1028" s="27"/>
      <c r="I1028" s="28" t="str">
        <f t="shared" si="32"/>
        <v/>
      </c>
      <c r="J1028" s="27"/>
      <c r="K1028" s="28" t="str">
        <f t="shared" si="33"/>
        <v/>
      </c>
      <c r="L1028" s="27"/>
      <c r="M1028" s="27"/>
      <c r="N1028" s="27"/>
      <c r="O1028" s="27"/>
      <c r="P1028" s="27" t="s">
        <v>5259</v>
      </c>
      <c r="Q1028" s="27" t="s">
        <v>5260</v>
      </c>
    </row>
    <row r="1029" spans="1:17" ht="15" customHeight="1" x14ac:dyDescent="0.3">
      <c r="A1029" s="27" t="s">
        <v>5261</v>
      </c>
      <c r="B1029" s="27" t="s">
        <v>5262</v>
      </c>
      <c r="C1029" s="27" t="s">
        <v>5263</v>
      </c>
      <c r="D1029" s="27">
        <v>2024</v>
      </c>
      <c r="E1029" s="27" t="s">
        <v>48</v>
      </c>
      <c r="F1029" s="27" t="s">
        <v>13</v>
      </c>
      <c r="G1029" s="27"/>
      <c r="H1029" s="27"/>
      <c r="I1029" s="28" t="str">
        <f t="shared" si="32"/>
        <v/>
      </c>
      <c r="J1029" s="27"/>
      <c r="K1029" s="28" t="str">
        <f t="shared" si="33"/>
        <v/>
      </c>
      <c r="L1029" s="27"/>
      <c r="M1029" s="27"/>
      <c r="N1029" s="27"/>
      <c r="O1029" s="27"/>
      <c r="P1029" s="27" t="s">
        <v>5264</v>
      </c>
      <c r="Q1029" s="27" t="s">
        <v>5265</v>
      </c>
    </row>
    <row r="1030" spans="1:17" ht="15" customHeight="1" x14ac:dyDescent="0.3">
      <c r="A1030" s="27" t="s">
        <v>5266</v>
      </c>
      <c r="B1030" s="27" t="s">
        <v>5267</v>
      </c>
      <c r="C1030" s="27" t="s">
        <v>5268</v>
      </c>
      <c r="D1030" s="27">
        <v>2025</v>
      </c>
      <c r="E1030" s="27" t="s">
        <v>48</v>
      </c>
      <c r="F1030" s="27" t="s">
        <v>15</v>
      </c>
      <c r="G1030" s="27"/>
      <c r="H1030" s="27"/>
      <c r="I1030" s="28" t="str">
        <f t="shared" si="32"/>
        <v/>
      </c>
      <c r="J1030" s="27"/>
      <c r="K1030" s="28" t="str">
        <f t="shared" si="33"/>
        <v/>
      </c>
      <c r="L1030" s="27"/>
      <c r="M1030" s="27"/>
      <c r="N1030" s="27"/>
      <c r="O1030" s="27"/>
      <c r="P1030" s="27" t="s">
        <v>5269</v>
      </c>
      <c r="Q1030" s="27" t="s">
        <v>5270</v>
      </c>
    </row>
    <row r="1031" spans="1:17" ht="15" customHeight="1" x14ac:dyDescent="0.3">
      <c r="A1031" s="27" t="s">
        <v>5271</v>
      </c>
      <c r="B1031" s="27" t="s">
        <v>5272</v>
      </c>
      <c r="C1031" s="27" t="s">
        <v>5273</v>
      </c>
      <c r="D1031" s="27">
        <v>2026</v>
      </c>
      <c r="E1031" s="27" t="s">
        <v>48</v>
      </c>
      <c r="F1031" s="27" t="s">
        <v>11</v>
      </c>
      <c r="G1031" s="27"/>
      <c r="H1031" s="27"/>
      <c r="I1031" s="28" t="str">
        <f t="shared" si="32"/>
        <v/>
      </c>
      <c r="J1031" s="27"/>
      <c r="K1031" s="28" t="str">
        <f t="shared" si="33"/>
        <v/>
      </c>
      <c r="L1031" s="27"/>
      <c r="M1031" s="27"/>
      <c r="N1031" s="27"/>
      <c r="O1031" s="27"/>
      <c r="P1031" s="27" t="s">
        <v>5274</v>
      </c>
      <c r="Q1031" s="27" t="s">
        <v>5275</v>
      </c>
    </row>
    <row r="1032" spans="1:17" ht="15" customHeight="1" x14ac:dyDescent="0.3">
      <c r="A1032" s="27" t="s">
        <v>5276</v>
      </c>
      <c r="B1032" s="27" t="s">
        <v>5277</v>
      </c>
      <c r="C1032" s="27" t="s">
        <v>5278</v>
      </c>
      <c r="D1032" s="27">
        <v>2017</v>
      </c>
      <c r="E1032" s="27" t="s">
        <v>48</v>
      </c>
      <c r="F1032" s="27" t="s">
        <v>13</v>
      </c>
      <c r="G1032" s="27"/>
      <c r="H1032" s="27"/>
      <c r="I1032" s="28" t="str">
        <f t="shared" si="32"/>
        <v/>
      </c>
      <c r="J1032" s="27"/>
      <c r="K1032" s="28" t="str">
        <f t="shared" si="33"/>
        <v/>
      </c>
      <c r="L1032" s="27"/>
      <c r="M1032" s="27"/>
      <c r="N1032" s="27"/>
      <c r="O1032" s="27"/>
      <c r="P1032" s="27" t="s">
        <v>5279</v>
      </c>
      <c r="Q1032" s="27" t="s">
        <v>5280</v>
      </c>
    </row>
    <row r="1033" spans="1:17" ht="15" customHeight="1" x14ac:dyDescent="0.3">
      <c r="A1033" s="27" t="s">
        <v>5281</v>
      </c>
      <c r="B1033" s="27" t="s">
        <v>5282</v>
      </c>
      <c r="C1033" s="27" t="s">
        <v>5283</v>
      </c>
      <c r="D1033" s="27">
        <v>2025</v>
      </c>
      <c r="E1033" s="27" t="s">
        <v>48</v>
      </c>
      <c r="F1033" s="27" t="s">
        <v>15</v>
      </c>
      <c r="G1033" s="27"/>
      <c r="H1033" s="27"/>
      <c r="I1033" s="28" t="str">
        <f t="shared" si="32"/>
        <v/>
      </c>
      <c r="J1033" s="27"/>
      <c r="K1033" s="28" t="str">
        <f t="shared" si="33"/>
        <v/>
      </c>
      <c r="L1033" s="27"/>
      <c r="M1033" s="27"/>
      <c r="N1033" s="27"/>
      <c r="O1033" s="27"/>
      <c r="P1033" s="27" t="s">
        <v>5284</v>
      </c>
      <c r="Q1033" s="27" t="s">
        <v>5285</v>
      </c>
    </row>
    <row r="1034" spans="1:17" ht="15" customHeight="1" x14ac:dyDescent="0.3">
      <c r="A1034" s="27" t="s">
        <v>5286</v>
      </c>
      <c r="B1034" s="27" t="s">
        <v>5287</v>
      </c>
      <c r="C1034" s="27" t="s">
        <v>5288</v>
      </c>
      <c r="D1034" s="27">
        <v>2026</v>
      </c>
      <c r="E1034" s="27" t="s">
        <v>48</v>
      </c>
      <c r="F1034" s="27" t="s">
        <v>11</v>
      </c>
      <c r="G1034" s="27"/>
      <c r="H1034" s="27"/>
      <c r="I1034" s="28" t="str">
        <f t="shared" si="32"/>
        <v/>
      </c>
      <c r="J1034" s="27"/>
      <c r="K1034" s="28" t="str">
        <f t="shared" si="33"/>
        <v/>
      </c>
      <c r="L1034" s="27"/>
      <c r="M1034" s="27"/>
      <c r="N1034" s="27"/>
      <c r="O1034" s="27"/>
      <c r="P1034" s="27" t="s">
        <v>5289</v>
      </c>
      <c r="Q1034" s="27" t="s">
        <v>5290</v>
      </c>
    </row>
    <row r="1035" spans="1:17" ht="15" customHeight="1" x14ac:dyDescent="0.3">
      <c r="A1035" s="27" t="s">
        <v>5291</v>
      </c>
      <c r="B1035" s="27" t="s">
        <v>5292</v>
      </c>
      <c r="C1035" s="27" t="s">
        <v>5293</v>
      </c>
      <c r="D1035" s="27">
        <v>2025</v>
      </c>
      <c r="E1035" s="27" t="s">
        <v>48</v>
      </c>
      <c r="F1035" s="27" t="s">
        <v>13</v>
      </c>
      <c r="G1035" s="27"/>
      <c r="H1035" s="27"/>
      <c r="I1035" s="28" t="str">
        <f t="shared" si="32"/>
        <v/>
      </c>
      <c r="J1035" s="27"/>
      <c r="K1035" s="28" t="str">
        <f t="shared" si="33"/>
        <v/>
      </c>
      <c r="L1035" s="27"/>
      <c r="M1035" s="27"/>
      <c r="N1035" s="27"/>
      <c r="O1035" s="27"/>
      <c r="P1035" s="27" t="s">
        <v>5294</v>
      </c>
      <c r="Q1035" s="27" t="s">
        <v>5295</v>
      </c>
    </row>
    <row r="1036" spans="1:17" ht="15" customHeight="1" x14ac:dyDescent="0.3">
      <c r="A1036" s="27" t="s">
        <v>5296</v>
      </c>
      <c r="B1036" s="27" t="s">
        <v>5297</v>
      </c>
      <c r="C1036" s="27" t="s">
        <v>5298</v>
      </c>
      <c r="D1036" s="27">
        <v>2024</v>
      </c>
      <c r="E1036" s="27" t="s">
        <v>142</v>
      </c>
      <c r="F1036" s="27" t="s">
        <v>15</v>
      </c>
      <c r="G1036" s="27"/>
      <c r="H1036" s="27"/>
      <c r="I1036" s="28" t="str">
        <f t="shared" si="32"/>
        <v/>
      </c>
      <c r="J1036" s="27"/>
      <c r="K1036" s="28" t="str">
        <f t="shared" si="33"/>
        <v/>
      </c>
      <c r="L1036" s="27"/>
      <c r="M1036" s="27"/>
      <c r="N1036" s="27"/>
      <c r="O1036" s="27"/>
      <c r="P1036" s="27" t="s">
        <v>5299</v>
      </c>
      <c r="Q1036" s="27" t="s">
        <v>5300</v>
      </c>
    </row>
    <row r="1037" spans="1:17" ht="15" customHeight="1" x14ac:dyDescent="0.3">
      <c r="A1037" s="27" t="s">
        <v>5301</v>
      </c>
      <c r="B1037" s="27" t="s">
        <v>5302</v>
      </c>
      <c r="C1037" s="27" t="s">
        <v>5303</v>
      </c>
      <c r="D1037" s="27">
        <v>2025</v>
      </c>
      <c r="E1037" s="27" t="s">
        <v>48</v>
      </c>
      <c r="F1037" s="27" t="s">
        <v>11</v>
      </c>
      <c r="G1037" s="27"/>
      <c r="H1037" s="27"/>
      <c r="I1037" s="28" t="str">
        <f t="shared" si="32"/>
        <v/>
      </c>
      <c r="J1037" s="27"/>
      <c r="K1037" s="28" t="str">
        <f t="shared" si="33"/>
        <v/>
      </c>
      <c r="L1037" s="27"/>
      <c r="M1037" s="27"/>
      <c r="N1037" s="27"/>
      <c r="O1037" s="27"/>
      <c r="P1037" s="27" t="s">
        <v>5304</v>
      </c>
      <c r="Q1037" s="27" t="s">
        <v>5305</v>
      </c>
    </row>
    <row r="1038" spans="1:17" ht="15" customHeight="1" x14ac:dyDescent="0.3">
      <c r="A1038" s="27" t="s">
        <v>5306</v>
      </c>
      <c r="B1038" s="27" t="s">
        <v>5307</v>
      </c>
      <c r="C1038" s="27" t="s">
        <v>5308</v>
      </c>
      <c r="D1038" s="27">
        <v>2024</v>
      </c>
      <c r="E1038" s="27" t="s">
        <v>48</v>
      </c>
      <c r="F1038" s="27" t="s">
        <v>13</v>
      </c>
      <c r="G1038" s="27"/>
      <c r="H1038" s="27"/>
      <c r="I1038" s="28" t="str">
        <f t="shared" si="32"/>
        <v/>
      </c>
      <c r="J1038" s="27"/>
      <c r="K1038" s="28" t="str">
        <f t="shared" si="33"/>
        <v/>
      </c>
      <c r="L1038" s="27"/>
      <c r="M1038" s="27"/>
      <c r="N1038" s="27"/>
      <c r="O1038" s="27"/>
      <c r="P1038" s="27" t="s">
        <v>5309</v>
      </c>
      <c r="Q1038" s="27" t="s">
        <v>5310</v>
      </c>
    </row>
    <row r="1039" spans="1:17" ht="15" customHeight="1" x14ac:dyDescent="0.3">
      <c r="A1039" s="27" t="s">
        <v>5311</v>
      </c>
      <c r="B1039" s="27" t="s">
        <v>5312</v>
      </c>
      <c r="C1039" s="27" t="s">
        <v>5313</v>
      </c>
      <c r="D1039" s="27">
        <v>2020</v>
      </c>
      <c r="E1039" s="27" t="s">
        <v>48</v>
      </c>
      <c r="F1039" s="27" t="s">
        <v>15</v>
      </c>
      <c r="G1039" s="27"/>
      <c r="H1039" s="27"/>
      <c r="I1039" s="28" t="str">
        <f t="shared" si="32"/>
        <v/>
      </c>
      <c r="J1039" s="27"/>
      <c r="K1039" s="28" t="str">
        <f t="shared" si="33"/>
        <v/>
      </c>
      <c r="L1039" s="27"/>
      <c r="M1039" s="27"/>
      <c r="N1039" s="27"/>
      <c r="O1039" s="27"/>
      <c r="P1039" s="27" t="s">
        <v>5314</v>
      </c>
      <c r="Q1039" s="27" t="s">
        <v>5315</v>
      </c>
    </row>
    <row r="1040" spans="1:17" ht="15" customHeight="1" x14ac:dyDescent="0.3">
      <c r="A1040" s="27" t="s">
        <v>5316</v>
      </c>
      <c r="B1040" s="27" t="s">
        <v>5317</v>
      </c>
      <c r="C1040" s="27" t="s">
        <v>5318</v>
      </c>
      <c r="D1040" s="27">
        <v>2024</v>
      </c>
      <c r="E1040" s="27" t="s">
        <v>48</v>
      </c>
      <c r="F1040" s="27" t="s">
        <v>11</v>
      </c>
      <c r="G1040" s="27"/>
      <c r="H1040" s="27"/>
      <c r="I1040" s="28" t="str">
        <f t="shared" si="32"/>
        <v/>
      </c>
      <c r="J1040" s="27"/>
      <c r="K1040" s="28" t="str">
        <f t="shared" si="33"/>
        <v/>
      </c>
      <c r="L1040" s="27"/>
      <c r="M1040" s="27"/>
      <c r="N1040" s="27"/>
      <c r="O1040" s="27"/>
      <c r="P1040" s="27" t="s">
        <v>5319</v>
      </c>
      <c r="Q1040" s="27" t="s">
        <v>5320</v>
      </c>
    </row>
    <row r="1041" spans="1:17" ht="15" customHeight="1" x14ac:dyDescent="0.3">
      <c r="A1041" s="27" t="s">
        <v>5321</v>
      </c>
      <c r="B1041" s="27" t="s">
        <v>5322</v>
      </c>
      <c r="C1041" s="27" t="s">
        <v>5323</v>
      </c>
      <c r="D1041" s="27">
        <v>2026</v>
      </c>
      <c r="E1041" s="27" t="s">
        <v>48</v>
      </c>
      <c r="F1041" s="27" t="s">
        <v>13</v>
      </c>
      <c r="G1041" s="27"/>
      <c r="H1041" s="27"/>
      <c r="I1041" s="28" t="str">
        <f t="shared" si="32"/>
        <v/>
      </c>
      <c r="J1041" s="27"/>
      <c r="K1041" s="28" t="str">
        <f t="shared" si="33"/>
        <v/>
      </c>
      <c r="L1041" s="27"/>
      <c r="M1041" s="27"/>
      <c r="N1041" s="27"/>
      <c r="O1041" s="27"/>
      <c r="P1041" s="27" t="s">
        <v>5324</v>
      </c>
      <c r="Q1041" s="27" t="s">
        <v>5325</v>
      </c>
    </row>
    <row r="1042" spans="1:17" ht="15" customHeight="1" x14ac:dyDescent="0.3">
      <c r="A1042" s="27" t="s">
        <v>5326</v>
      </c>
      <c r="B1042" s="27" t="s">
        <v>5327</v>
      </c>
      <c r="C1042" s="27" t="s">
        <v>5328</v>
      </c>
      <c r="D1042" s="27">
        <v>2020</v>
      </c>
      <c r="E1042" s="27" t="s">
        <v>48</v>
      </c>
      <c r="F1042" s="27" t="s">
        <v>15</v>
      </c>
      <c r="G1042" s="27"/>
      <c r="H1042" s="27"/>
      <c r="I1042" s="28" t="str">
        <f t="shared" si="32"/>
        <v/>
      </c>
      <c r="J1042" s="27"/>
      <c r="K1042" s="28" t="str">
        <f t="shared" si="33"/>
        <v/>
      </c>
      <c r="L1042" s="27"/>
      <c r="M1042" s="27"/>
      <c r="N1042" s="27"/>
      <c r="O1042" s="27"/>
      <c r="P1042" s="27" t="s">
        <v>5329</v>
      </c>
      <c r="Q1042" s="27" t="s">
        <v>5330</v>
      </c>
    </row>
    <row r="1043" spans="1:17" ht="15" customHeight="1" x14ac:dyDescent="0.3">
      <c r="A1043" s="27" t="s">
        <v>5331</v>
      </c>
      <c r="B1043" s="27" t="s">
        <v>5332</v>
      </c>
      <c r="C1043" s="27" t="s">
        <v>5333</v>
      </c>
      <c r="D1043" s="27">
        <v>2022</v>
      </c>
      <c r="E1043" s="27" t="s">
        <v>48</v>
      </c>
      <c r="F1043" s="27" t="s">
        <v>11</v>
      </c>
      <c r="G1043" s="27"/>
      <c r="H1043" s="27"/>
      <c r="I1043" s="28" t="str">
        <f t="shared" si="32"/>
        <v/>
      </c>
      <c r="J1043" s="27"/>
      <c r="K1043" s="28" t="str">
        <f t="shared" si="33"/>
        <v/>
      </c>
      <c r="L1043" s="27"/>
      <c r="M1043" s="27"/>
      <c r="N1043" s="27"/>
      <c r="O1043" s="27"/>
      <c r="P1043" s="27" t="s">
        <v>5334</v>
      </c>
      <c r="Q1043" s="27" t="s">
        <v>5335</v>
      </c>
    </row>
    <row r="1044" spans="1:17" ht="15" customHeight="1" x14ac:dyDescent="0.3">
      <c r="A1044" s="27" t="s">
        <v>5336</v>
      </c>
      <c r="B1044" s="27" t="s">
        <v>5337</v>
      </c>
      <c r="C1044" s="27" t="s">
        <v>5338</v>
      </c>
      <c r="D1044" s="27">
        <v>2026</v>
      </c>
      <c r="E1044" s="27" t="s">
        <v>48</v>
      </c>
      <c r="F1044" s="27" t="s">
        <v>13</v>
      </c>
      <c r="G1044" s="27"/>
      <c r="H1044" s="27"/>
      <c r="I1044" s="28" t="str">
        <f t="shared" si="32"/>
        <v/>
      </c>
      <c r="J1044" s="27"/>
      <c r="K1044" s="28" t="str">
        <f t="shared" si="33"/>
        <v/>
      </c>
      <c r="L1044" s="27"/>
      <c r="M1044" s="27"/>
      <c r="N1044" s="27"/>
      <c r="O1044" s="27"/>
      <c r="P1044" s="27" t="s">
        <v>5339</v>
      </c>
      <c r="Q1044" s="27" t="s">
        <v>5340</v>
      </c>
    </row>
    <row r="1045" spans="1:17" ht="15" customHeight="1" x14ac:dyDescent="0.3">
      <c r="A1045" s="27" t="s">
        <v>5341</v>
      </c>
      <c r="B1045" s="27" t="s">
        <v>5342</v>
      </c>
      <c r="C1045" s="27" t="s">
        <v>5343</v>
      </c>
      <c r="D1045" s="27">
        <v>2022</v>
      </c>
      <c r="E1045" s="27" t="s">
        <v>48</v>
      </c>
      <c r="F1045" s="27" t="s">
        <v>15</v>
      </c>
      <c r="G1045" s="27"/>
      <c r="H1045" s="27"/>
      <c r="I1045" s="28" t="str">
        <f t="shared" si="32"/>
        <v/>
      </c>
      <c r="J1045" s="27"/>
      <c r="K1045" s="28" t="str">
        <f t="shared" si="33"/>
        <v/>
      </c>
      <c r="L1045" s="27"/>
      <c r="M1045" s="27"/>
      <c r="N1045" s="27"/>
      <c r="O1045" s="27"/>
      <c r="P1045" s="27" t="s">
        <v>5344</v>
      </c>
      <c r="Q1045" s="27" t="s">
        <v>5345</v>
      </c>
    </row>
    <row r="1046" spans="1:17" ht="15" customHeight="1" x14ac:dyDescent="0.3">
      <c r="A1046" s="27" t="s">
        <v>5346</v>
      </c>
      <c r="B1046" s="27" t="s">
        <v>42</v>
      </c>
      <c r="C1046" s="27" t="s">
        <v>44</v>
      </c>
      <c r="D1046" s="27">
        <v>2018</v>
      </c>
      <c r="E1046" s="27" t="s">
        <v>154</v>
      </c>
      <c r="F1046" s="27" t="s">
        <v>15</v>
      </c>
      <c r="G1046" s="27"/>
      <c r="H1046" s="27"/>
      <c r="I1046" s="28" t="str">
        <f t="shared" si="32"/>
        <v/>
      </c>
      <c r="J1046" s="27"/>
      <c r="K1046" s="28" t="str">
        <f t="shared" si="33"/>
        <v>n/a</v>
      </c>
      <c r="L1046" s="27"/>
      <c r="M1046" s="27"/>
      <c r="N1046" s="27"/>
      <c r="O1046" s="27"/>
      <c r="P1046" s="27" t="s">
        <v>5347</v>
      </c>
      <c r="Q1046" s="27" t="s">
        <v>5348</v>
      </c>
    </row>
  </sheetData>
  <autoFilter ref="A1:Q1046" xr:uid="{00000000-0009-0000-0000-000004000000}"/>
  <conditionalFormatting sqref="I2:I1046">
    <cfRule type="expression" dxfId="2" priority="2">
      <formula>I2="No"</formula>
    </cfRule>
  </conditionalFormatting>
  <conditionalFormatting sqref="K2:K1046">
    <cfRule type="expression" dxfId="1" priority="3">
      <formula>K2="Pending"</formula>
    </cfRule>
  </conditionalFormatting>
  <conditionalFormatting sqref="O2:O1046">
    <cfRule type="expression" dxfId="0" priority="4">
      <formula>AND(N2="Exclude",O2="")</formula>
    </cfRule>
  </conditionalFormatting>
  <dataValidations count="6">
    <dataValidation type="list" allowBlank="1" showErrorMessage="1" errorTitle="Pair" error="Pick a value from the list." sqref="F2:F1046" xr:uid="{00000000-0002-0000-0400-000001000000}">
      <formula1>"Pair 1,Pair 2,Pair 3"</formula1>
      <formula2>0</formula2>
    </dataValidation>
    <dataValidation type="list" allowBlank="1" showErrorMessage="1" errorTitle="Decision" error="Pick a value from the list." sqref="G2:H1046" xr:uid="{00000000-0002-0000-0400-000002000000}">
      <formula1>"Include,Exclude,Maybe"</formula1>
      <formula2>0</formula2>
    </dataValidation>
    <dataValidation type="list" allowBlank="1" showErrorMessage="1" errorTitle="Resolved decision" error="Pick a value from the list." sqref="J2:J1046" xr:uid="{00000000-0002-0000-0400-000003000000}">
      <formula1>"Include,Exclude"</formula1>
      <formula2>0</formula2>
    </dataValidation>
    <dataValidation type="list" allowBlank="1" showErrorMessage="1" errorTitle="Full text" error="Pick a value from the list." sqref="M2:M1046" xr:uid="{00000000-0002-0000-0400-000005000000}">
      <formula1>"Yes,No"</formula1>
      <formula2>0</formula2>
    </dataValidation>
    <dataValidation type="list" allowBlank="1" showErrorMessage="1" errorTitle="Full-text decision" error="Pick a value from the list." sqref="N2:N1046" xr:uid="{00000000-0002-0000-0400-000006000000}">
      <formula1>"Include,Exclude"</formula1>
      <formula2>0</formula2>
    </dataValidation>
    <dataValidation type="list" allowBlank="1" showErrorMessage="1" errorTitle="Exclusion code" error="Pick a value from the list." sqref="O2:O1046" xr:uid="{00000000-0002-0000-0400-000007000000}">
      <formula1>"E1,E2,E3,E4,E6"</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Source" error="Pick a value from the list." xr:uid="{00000000-0002-0000-0400-000000000000}">
          <x14:formula1>
            <xm:f>Lists!$D$2:$D$6</xm:f>
          </x14:formula1>
          <x14:formula2>
            <xm:f>0</xm:f>
          </x14:formula2>
          <xm:sqref>E2:E1046</xm:sqref>
        </x14:dataValidation>
        <x14:dataValidation type="list" allowBlank="1" showErrorMessage="1" errorTitle="Reader" error="Pick a value from the list." xr:uid="{00000000-0002-0000-0400-000004000000}">
          <x14:formula1>
            <xm:f>Lists!$E$2:$E$7</xm:f>
          </x14:formula1>
          <x14:formula2>
            <xm:f>0</xm:f>
          </x14:formula2>
          <xm:sqref>L2:L1046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PRISMA Counts</vt:lpstr>
      <vt:lpstr>Lists</vt:lpstr>
      <vt:lpstr>Search Log</vt:lpstr>
      <vt:lpstr>Screening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Abdullah Dar</cp:lastModifiedBy>
  <cp:revision>0</cp:revision>
  <dcterms:created xsi:type="dcterms:W3CDTF">2026-10-09T15:41:58Z</dcterms:created>
  <dcterms:modified xsi:type="dcterms:W3CDTF">2026-10-10T17:40:04Z</dcterms:modified>
  <dc:language>en-US</dc:language>
</cp:coreProperties>
</file>